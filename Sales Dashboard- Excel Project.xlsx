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mc:AlternateContent xmlns:mc="http://schemas.openxmlformats.org/markup-compatibility/2006">
    <mc:Choice Requires="x15">
      <x15ac:absPath xmlns:x15ac="http://schemas.microsoft.com/office/spreadsheetml/2010/11/ac" url="C:\Users\obeth\OneDrive\Documents\"/>
    </mc:Choice>
  </mc:AlternateContent>
  <xr:revisionPtr revIDLastSave="0" documentId="13_ncr:1_{C8FE419E-DA27-431F-A52A-BCB1A822F6B1}" xr6:coauthVersionLast="45" xr6:coauthVersionMax="45" xr10:uidLastSave="{00000000-0000-0000-0000-000000000000}"/>
  <bookViews>
    <workbookView xWindow="-120" yWindow="-120" windowWidth="24240" windowHeight="13140" activeTab="3" xr2:uid="{00000000-000D-0000-FFFF-FFFF00000000}"/>
  </bookViews>
  <sheets>
    <sheet name="Instructions" sheetId="2" r:id="rId1"/>
    <sheet name="Sales Data" sheetId="1" r:id="rId2"/>
    <sheet name="Pivot Table" sheetId="4" r:id="rId3"/>
    <sheet name="Dashboard" sheetId="3" r:id="rId4"/>
  </sheets>
  <definedNames>
    <definedName name="Slicer_Category">#N/A</definedName>
    <definedName name="Slicer_Region">#N/A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N2" i="1"/>
  <c r="P2" i="1" s="1"/>
  <c r="N3" i="1"/>
  <c r="P3" i="1" s="1"/>
  <c r="N4" i="1"/>
  <c r="P4" i="1" s="1"/>
  <c r="N5" i="1"/>
  <c r="P5" i="1" s="1"/>
  <c r="N6" i="1"/>
  <c r="P6" i="1" s="1"/>
  <c r="N7" i="1"/>
  <c r="P7" i="1" s="1"/>
  <c r="N8" i="1"/>
  <c r="P8" i="1" s="1"/>
  <c r="N9" i="1"/>
  <c r="P9" i="1" s="1"/>
  <c r="N10" i="1"/>
  <c r="P10" i="1" s="1"/>
  <c r="N11" i="1"/>
  <c r="P11" i="1" s="1"/>
  <c r="N12" i="1"/>
  <c r="P12" i="1" s="1"/>
  <c r="N13" i="1"/>
  <c r="P13" i="1" s="1"/>
  <c r="N14" i="1"/>
  <c r="P14" i="1" s="1"/>
  <c r="N15" i="1"/>
  <c r="P15" i="1" s="1"/>
  <c r="N16" i="1"/>
  <c r="P16" i="1" s="1"/>
  <c r="N17" i="1"/>
  <c r="P17" i="1" s="1"/>
  <c r="N18" i="1"/>
  <c r="P18" i="1" s="1"/>
  <c r="N19" i="1"/>
  <c r="P19" i="1" s="1"/>
  <c r="N20" i="1"/>
  <c r="P20" i="1" s="1"/>
  <c r="N21" i="1"/>
  <c r="P21" i="1" s="1"/>
  <c r="N22" i="1"/>
  <c r="P22" i="1" s="1"/>
  <c r="N23" i="1"/>
  <c r="P23" i="1" s="1"/>
  <c r="N24" i="1"/>
  <c r="P24" i="1" s="1"/>
  <c r="N25" i="1"/>
  <c r="P25" i="1" s="1"/>
  <c r="N26" i="1"/>
  <c r="P26" i="1" s="1"/>
  <c r="N27" i="1"/>
  <c r="P27" i="1" s="1"/>
  <c r="N28" i="1"/>
  <c r="P28" i="1" s="1"/>
  <c r="N29" i="1"/>
  <c r="P29" i="1" s="1"/>
  <c r="N30" i="1"/>
  <c r="P30" i="1" s="1"/>
  <c r="N31" i="1"/>
  <c r="P31" i="1" s="1"/>
  <c r="N32" i="1"/>
  <c r="P32" i="1" s="1"/>
  <c r="N33" i="1"/>
  <c r="P33" i="1" s="1"/>
  <c r="N34" i="1"/>
  <c r="P34" i="1" s="1"/>
  <c r="N35" i="1"/>
  <c r="P35" i="1" s="1"/>
  <c r="N36" i="1"/>
  <c r="P36" i="1" s="1"/>
  <c r="N37" i="1"/>
  <c r="P37" i="1" s="1"/>
  <c r="N38" i="1"/>
  <c r="P38" i="1" s="1"/>
  <c r="N39" i="1"/>
  <c r="P39" i="1" s="1"/>
  <c r="N40" i="1"/>
  <c r="P40" i="1" s="1"/>
  <c r="N41" i="1"/>
  <c r="P41" i="1" s="1"/>
  <c r="N42" i="1"/>
  <c r="P42" i="1" s="1"/>
  <c r="N43" i="1"/>
  <c r="P43" i="1" s="1"/>
  <c r="N44" i="1"/>
  <c r="P44" i="1" s="1"/>
  <c r="N45" i="1"/>
  <c r="P45" i="1" s="1"/>
  <c r="N46" i="1"/>
  <c r="P46" i="1" s="1"/>
  <c r="N47" i="1"/>
  <c r="P47" i="1" s="1"/>
  <c r="N48" i="1"/>
  <c r="P48" i="1" s="1"/>
  <c r="N49" i="1"/>
  <c r="P49" i="1" s="1"/>
  <c r="N50" i="1"/>
  <c r="P50" i="1" s="1"/>
  <c r="N51" i="1"/>
  <c r="P51" i="1" s="1"/>
  <c r="N52" i="1"/>
  <c r="P52" i="1" s="1"/>
  <c r="N53" i="1"/>
  <c r="P53" i="1" s="1"/>
  <c r="N54" i="1"/>
  <c r="P54" i="1" s="1"/>
  <c r="N55" i="1"/>
  <c r="P55" i="1" s="1"/>
  <c r="N56" i="1"/>
  <c r="P56" i="1" s="1"/>
  <c r="N57" i="1"/>
  <c r="P57" i="1" s="1"/>
  <c r="N58" i="1"/>
  <c r="P58" i="1" s="1"/>
  <c r="N59" i="1"/>
  <c r="P59" i="1" s="1"/>
  <c r="N60" i="1"/>
  <c r="P60" i="1" s="1"/>
  <c r="N61" i="1"/>
  <c r="P61" i="1" s="1"/>
  <c r="N62" i="1"/>
  <c r="P62" i="1" s="1"/>
  <c r="N63" i="1"/>
  <c r="P63" i="1" s="1"/>
  <c r="N64" i="1"/>
  <c r="P64" i="1" s="1"/>
  <c r="N65" i="1"/>
  <c r="P65" i="1" s="1"/>
  <c r="N66" i="1"/>
  <c r="P66" i="1" s="1"/>
  <c r="N67" i="1"/>
  <c r="P67" i="1" s="1"/>
  <c r="N68" i="1"/>
  <c r="P68" i="1" s="1"/>
  <c r="N69" i="1"/>
  <c r="P69" i="1" s="1"/>
  <c r="N70" i="1"/>
  <c r="P70" i="1" s="1"/>
  <c r="N71" i="1"/>
  <c r="P71" i="1" s="1"/>
  <c r="N72" i="1"/>
  <c r="P72" i="1" s="1"/>
  <c r="N73" i="1"/>
  <c r="P73" i="1" s="1"/>
  <c r="N74" i="1"/>
  <c r="P74" i="1" s="1"/>
  <c r="N75" i="1"/>
  <c r="P75" i="1" s="1"/>
  <c r="N76" i="1"/>
  <c r="P76" i="1" s="1"/>
  <c r="N77" i="1"/>
  <c r="P77" i="1" s="1"/>
  <c r="N78" i="1"/>
  <c r="P78" i="1" s="1"/>
  <c r="N79" i="1"/>
  <c r="P79" i="1" s="1"/>
  <c r="N80" i="1"/>
  <c r="P80" i="1" s="1"/>
  <c r="N81" i="1"/>
  <c r="P81" i="1" s="1"/>
  <c r="N82" i="1"/>
  <c r="P82" i="1" s="1"/>
  <c r="N83" i="1"/>
  <c r="P83" i="1" s="1"/>
  <c r="N84" i="1"/>
  <c r="P84" i="1" s="1"/>
  <c r="N85" i="1"/>
  <c r="P85" i="1" s="1"/>
  <c r="N86" i="1"/>
  <c r="P86" i="1" s="1"/>
  <c r="N87" i="1"/>
  <c r="P87" i="1" s="1"/>
  <c r="N88" i="1"/>
  <c r="P88" i="1" s="1"/>
  <c r="N89" i="1"/>
  <c r="P89" i="1" s="1"/>
  <c r="N90" i="1"/>
  <c r="P90" i="1" s="1"/>
  <c r="N91" i="1"/>
  <c r="P91" i="1" s="1"/>
  <c r="N92" i="1"/>
  <c r="P92" i="1" s="1"/>
  <c r="N93" i="1"/>
  <c r="P93" i="1" s="1"/>
  <c r="N94" i="1"/>
  <c r="P94" i="1" s="1"/>
  <c r="N95" i="1"/>
  <c r="P95" i="1" s="1"/>
  <c r="N96" i="1"/>
  <c r="P96" i="1" s="1"/>
  <c r="N97" i="1"/>
  <c r="P97" i="1" s="1"/>
  <c r="N98" i="1"/>
  <c r="P98" i="1" s="1"/>
  <c r="N99" i="1"/>
  <c r="P99" i="1" s="1"/>
  <c r="N100" i="1"/>
  <c r="P100" i="1" s="1"/>
  <c r="N101" i="1"/>
  <c r="P101" i="1" s="1"/>
  <c r="N102" i="1"/>
  <c r="P102" i="1" s="1"/>
  <c r="N103" i="1"/>
  <c r="P103" i="1" s="1"/>
  <c r="N104" i="1"/>
  <c r="P104" i="1" s="1"/>
  <c r="N105" i="1"/>
  <c r="P105" i="1" s="1"/>
  <c r="N106" i="1"/>
  <c r="P106" i="1" s="1"/>
  <c r="N107" i="1"/>
  <c r="P107" i="1" s="1"/>
  <c r="N108" i="1"/>
  <c r="P108" i="1" s="1"/>
  <c r="N109" i="1"/>
  <c r="P109" i="1" s="1"/>
  <c r="N110" i="1"/>
  <c r="P110" i="1" s="1"/>
  <c r="N111" i="1"/>
  <c r="P111" i="1" s="1"/>
  <c r="N112" i="1"/>
  <c r="P112" i="1" s="1"/>
  <c r="N113" i="1"/>
  <c r="P113" i="1" s="1"/>
  <c r="N114" i="1"/>
  <c r="P114" i="1" s="1"/>
  <c r="N115" i="1"/>
  <c r="P115" i="1" s="1"/>
  <c r="N116" i="1"/>
  <c r="P116" i="1" s="1"/>
  <c r="N117" i="1"/>
  <c r="P117" i="1" s="1"/>
  <c r="N118" i="1"/>
  <c r="P118" i="1" s="1"/>
  <c r="N119" i="1"/>
  <c r="P119" i="1" s="1"/>
  <c r="N120" i="1"/>
  <c r="P120" i="1" s="1"/>
  <c r="N121" i="1"/>
  <c r="P121" i="1" s="1"/>
  <c r="N122" i="1"/>
  <c r="P122" i="1" s="1"/>
  <c r="N123" i="1"/>
  <c r="P123" i="1" s="1"/>
  <c r="N124" i="1"/>
  <c r="P124" i="1" s="1"/>
  <c r="N125" i="1"/>
  <c r="P125" i="1" s="1"/>
  <c r="N126" i="1"/>
  <c r="P126" i="1" s="1"/>
  <c r="N127" i="1"/>
  <c r="P127" i="1" s="1"/>
  <c r="N128" i="1"/>
  <c r="P128" i="1" s="1"/>
  <c r="N129" i="1"/>
  <c r="P129" i="1" s="1"/>
  <c r="N130" i="1"/>
  <c r="P130" i="1" s="1"/>
  <c r="N131" i="1"/>
  <c r="P131" i="1" s="1"/>
  <c r="N132" i="1"/>
  <c r="P132" i="1" s="1"/>
  <c r="N133" i="1"/>
  <c r="P133" i="1" s="1"/>
  <c r="N134" i="1"/>
  <c r="P134" i="1" s="1"/>
  <c r="N135" i="1"/>
  <c r="P135" i="1" s="1"/>
  <c r="N136" i="1"/>
  <c r="P136" i="1" s="1"/>
  <c r="N137" i="1"/>
  <c r="P137" i="1" s="1"/>
  <c r="N138" i="1"/>
  <c r="P138" i="1" s="1"/>
  <c r="N139" i="1"/>
  <c r="P139" i="1" s="1"/>
  <c r="N140" i="1"/>
  <c r="P140" i="1" s="1"/>
  <c r="N141" i="1"/>
  <c r="P141" i="1" s="1"/>
  <c r="N142" i="1"/>
  <c r="P142" i="1" s="1"/>
  <c r="N143" i="1"/>
  <c r="P143" i="1" s="1"/>
  <c r="N144" i="1"/>
  <c r="P144" i="1" s="1"/>
  <c r="N145" i="1"/>
  <c r="P145" i="1" s="1"/>
  <c r="N146" i="1"/>
  <c r="P146" i="1" s="1"/>
  <c r="N147" i="1"/>
  <c r="P147" i="1" s="1"/>
  <c r="N148" i="1"/>
  <c r="P148" i="1" s="1"/>
  <c r="N149" i="1"/>
  <c r="P149" i="1" s="1"/>
  <c r="N150" i="1"/>
  <c r="P150" i="1" s="1"/>
  <c r="N151" i="1"/>
  <c r="P151" i="1" s="1"/>
  <c r="N152" i="1"/>
  <c r="P152" i="1" s="1"/>
  <c r="N153" i="1"/>
  <c r="P153" i="1" s="1"/>
  <c r="N154" i="1"/>
  <c r="P154" i="1" s="1"/>
  <c r="N155" i="1"/>
  <c r="P155" i="1" s="1"/>
  <c r="N156" i="1"/>
  <c r="P156" i="1" s="1"/>
  <c r="N157" i="1"/>
  <c r="P157" i="1" s="1"/>
  <c r="N158" i="1"/>
  <c r="P158" i="1" s="1"/>
  <c r="N159" i="1"/>
  <c r="P159" i="1" s="1"/>
  <c r="N160" i="1"/>
  <c r="P160" i="1" s="1"/>
  <c r="N161" i="1"/>
  <c r="P161" i="1" s="1"/>
  <c r="N162" i="1"/>
  <c r="P162" i="1" s="1"/>
  <c r="N163" i="1"/>
  <c r="P163" i="1" s="1"/>
  <c r="N164" i="1"/>
  <c r="P164" i="1" s="1"/>
  <c r="N165" i="1"/>
  <c r="P165" i="1" s="1"/>
  <c r="N166" i="1"/>
  <c r="P166" i="1" s="1"/>
  <c r="N167" i="1"/>
  <c r="P167" i="1" s="1"/>
  <c r="N168" i="1"/>
  <c r="P168" i="1" s="1"/>
  <c r="N169" i="1"/>
  <c r="P169" i="1" s="1"/>
  <c r="N170" i="1"/>
  <c r="P170" i="1" s="1"/>
  <c r="N171" i="1"/>
  <c r="P171" i="1" s="1"/>
  <c r="N172" i="1"/>
  <c r="P172" i="1" s="1"/>
  <c r="N173" i="1"/>
  <c r="P173" i="1" s="1"/>
  <c r="N174" i="1"/>
  <c r="P174" i="1" s="1"/>
  <c r="N175" i="1"/>
  <c r="P175" i="1" s="1"/>
  <c r="N176" i="1"/>
  <c r="P176" i="1" s="1"/>
  <c r="N177" i="1"/>
  <c r="P177" i="1" s="1"/>
  <c r="N178" i="1"/>
  <c r="P178" i="1" s="1"/>
  <c r="N179" i="1"/>
  <c r="P179" i="1" s="1"/>
  <c r="N180" i="1"/>
  <c r="P180" i="1" s="1"/>
  <c r="N181" i="1"/>
  <c r="P181" i="1" s="1"/>
  <c r="N182" i="1"/>
  <c r="P182" i="1" s="1"/>
  <c r="N183" i="1"/>
  <c r="P183" i="1" s="1"/>
  <c r="N184" i="1"/>
  <c r="P184" i="1" s="1"/>
  <c r="N185" i="1"/>
  <c r="P185" i="1" s="1"/>
  <c r="N186" i="1"/>
  <c r="P186" i="1" s="1"/>
  <c r="N187" i="1"/>
  <c r="P187" i="1" s="1"/>
  <c r="N188" i="1"/>
  <c r="P188" i="1" s="1"/>
  <c r="N189" i="1"/>
  <c r="P189" i="1" s="1"/>
  <c r="N190" i="1"/>
  <c r="P190" i="1" s="1"/>
  <c r="N191" i="1"/>
  <c r="P191" i="1" s="1"/>
  <c r="N192" i="1"/>
  <c r="P192" i="1" s="1"/>
  <c r="N193" i="1"/>
  <c r="P193" i="1" s="1"/>
  <c r="N194" i="1"/>
  <c r="P194" i="1" s="1"/>
  <c r="N195" i="1"/>
  <c r="P195" i="1" s="1"/>
  <c r="N196" i="1"/>
  <c r="P196" i="1" s="1"/>
  <c r="N197" i="1"/>
  <c r="P197" i="1" s="1"/>
  <c r="N198" i="1"/>
  <c r="P198" i="1" s="1"/>
  <c r="N199" i="1"/>
  <c r="P199" i="1" s="1"/>
  <c r="N200" i="1"/>
  <c r="P200" i="1" s="1"/>
  <c r="N201" i="1"/>
  <c r="P201" i="1" s="1"/>
  <c r="N202" i="1"/>
  <c r="P202" i="1" s="1"/>
  <c r="N203" i="1"/>
  <c r="P203" i="1" s="1"/>
  <c r="N204" i="1"/>
  <c r="P204" i="1" s="1"/>
  <c r="N205" i="1"/>
  <c r="P205" i="1" s="1"/>
  <c r="N206" i="1"/>
  <c r="P206" i="1" s="1"/>
  <c r="N207" i="1"/>
  <c r="P207" i="1" s="1"/>
  <c r="N208" i="1"/>
  <c r="P208" i="1" s="1"/>
  <c r="N209" i="1"/>
  <c r="P209" i="1" s="1"/>
  <c r="N210" i="1"/>
  <c r="P210" i="1" s="1"/>
  <c r="N211" i="1"/>
  <c r="P211" i="1" s="1"/>
  <c r="N212" i="1"/>
  <c r="P212" i="1" s="1"/>
  <c r="N213" i="1"/>
  <c r="P213" i="1" s="1"/>
  <c r="N214" i="1"/>
  <c r="P214" i="1" s="1"/>
  <c r="N215" i="1"/>
  <c r="P215" i="1" s="1"/>
  <c r="N216" i="1"/>
  <c r="P216" i="1" s="1"/>
  <c r="N217" i="1"/>
  <c r="P217" i="1" s="1"/>
  <c r="N218" i="1"/>
  <c r="P218" i="1" s="1"/>
  <c r="N219" i="1"/>
  <c r="P219" i="1" s="1"/>
  <c r="N220" i="1"/>
  <c r="P220" i="1" s="1"/>
  <c r="N221" i="1"/>
  <c r="P221" i="1" s="1"/>
  <c r="N222" i="1"/>
  <c r="P222" i="1" s="1"/>
  <c r="N223" i="1"/>
  <c r="P223" i="1" s="1"/>
  <c r="N224" i="1"/>
  <c r="P224" i="1" s="1"/>
  <c r="N225" i="1"/>
  <c r="P225" i="1" s="1"/>
  <c r="N226" i="1"/>
  <c r="P226" i="1" s="1"/>
  <c r="N227" i="1"/>
  <c r="P227" i="1" s="1"/>
  <c r="N228" i="1"/>
  <c r="P228" i="1" s="1"/>
  <c r="N229" i="1"/>
  <c r="P229" i="1" s="1"/>
  <c r="N230" i="1"/>
  <c r="P230" i="1" s="1"/>
  <c r="N231" i="1"/>
  <c r="P231" i="1" s="1"/>
  <c r="N232" i="1"/>
  <c r="P232" i="1" s="1"/>
  <c r="N233" i="1"/>
  <c r="P233" i="1" s="1"/>
  <c r="N234" i="1"/>
  <c r="P234" i="1" s="1"/>
  <c r="N235" i="1"/>
  <c r="P235" i="1" s="1"/>
  <c r="N236" i="1"/>
  <c r="P236" i="1" s="1"/>
  <c r="N237" i="1"/>
  <c r="P237" i="1" s="1"/>
  <c r="N238" i="1"/>
  <c r="P238" i="1" s="1"/>
  <c r="N239" i="1"/>
  <c r="P239" i="1" s="1"/>
  <c r="N240" i="1"/>
  <c r="P240" i="1" s="1"/>
  <c r="N241" i="1"/>
  <c r="P241" i="1" s="1"/>
  <c r="N242" i="1"/>
  <c r="P242" i="1" s="1"/>
  <c r="N243" i="1"/>
  <c r="P243" i="1" s="1"/>
  <c r="N244" i="1"/>
  <c r="P244" i="1" s="1"/>
  <c r="N245" i="1"/>
  <c r="P245" i="1" s="1"/>
  <c r="N246" i="1"/>
  <c r="P246" i="1" s="1"/>
  <c r="N247" i="1"/>
  <c r="P247" i="1" s="1"/>
  <c r="N248" i="1"/>
  <c r="P248" i="1" s="1"/>
  <c r="N249" i="1"/>
  <c r="P249" i="1" s="1"/>
  <c r="N250" i="1"/>
  <c r="P250" i="1" s="1"/>
  <c r="N251" i="1"/>
  <c r="P251" i="1" s="1"/>
  <c r="N252" i="1"/>
  <c r="P252" i="1" s="1"/>
  <c r="N253" i="1"/>
  <c r="P253" i="1" s="1"/>
  <c r="N254" i="1"/>
  <c r="P254" i="1" s="1"/>
  <c r="N255" i="1"/>
  <c r="P255" i="1" s="1"/>
  <c r="N256" i="1"/>
  <c r="P256" i="1" s="1"/>
  <c r="N257" i="1"/>
  <c r="P257" i="1" s="1"/>
  <c r="N258" i="1"/>
  <c r="P258" i="1" s="1"/>
  <c r="N259" i="1"/>
  <c r="P259" i="1" s="1"/>
  <c r="N260" i="1"/>
  <c r="P260" i="1" s="1"/>
  <c r="N261" i="1"/>
  <c r="P261" i="1" s="1"/>
  <c r="N262" i="1"/>
  <c r="P262" i="1" s="1"/>
  <c r="N263" i="1"/>
  <c r="P263" i="1" s="1"/>
  <c r="N264" i="1"/>
  <c r="P264" i="1" s="1"/>
  <c r="N265" i="1"/>
  <c r="P265" i="1" s="1"/>
  <c r="N266" i="1"/>
  <c r="P266" i="1" s="1"/>
  <c r="N267" i="1"/>
  <c r="P267" i="1" s="1"/>
  <c r="N268" i="1"/>
  <c r="P268" i="1" s="1"/>
  <c r="N269" i="1"/>
  <c r="P269" i="1" s="1"/>
  <c r="N270" i="1"/>
  <c r="P270" i="1" s="1"/>
  <c r="N271" i="1"/>
  <c r="P271" i="1" s="1"/>
  <c r="N272" i="1"/>
  <c r="P272" i="1" s="1"/>
  <c r="N273" i="1"/>
  <c r="P273" i="1" s="1"/>
  <c r="N274" i="1"/>
  <c r="P274" i="1" s="1"/>
  <c r="N275" i="1"/>
  <c r="P275" i="1" s="1"/>
  <c r="N276" i="1"/>
  <c r="P276" i="1" s="1"/>
  <c r="N277" i="1"/>
  <c r="P277" i="1" s="1"/>
  <c r="N278" i="1"/>
  <c r="P278" i="1" s="1"/>
  <c r="N279" i="1"/>
  <c r="P279" i="1" s="1"/>
  <c r="N280" i="1"/>
  <c r="P280" i="1" s="1"/>
  <c r="N281" i="1"/>
  <c r="P281" i="1" s="1"/>
  <c r="N282" i="1"/>
  <c r="P282" i="1" s="1"/>
  <c r="N283" i="1"/>
  <c r="P283" i="1" s="1"/>
  <c r="N284" i="1"/>
  <c r="P284" i="1" s="1"/>
  <c r="N285" i="1"/>
  <c r="P285" i="1" s="1"/>
  <c r="N286" i="1"/>
  <c r="P286" i="1" s="1"/>
  <c r="N287" i="1"/>
  <c r="P287" i="1" s="1"/>
  <c r="N288" i="1"/>
  <c r="P288" i="1" s="1"/>
  <c r="N289" i="1"/>
  <c r="P289" i="1" s="1"/>
  <c r="N290" i="1"/>
  <c r="P290" i="1" s="1"/>
  <c r="N291" i="1"/>
  <c r="P291" i="1" s="1"/>
  <c r="N292" i="1"/>
  <c r="P292" i="1" s="1"/>
  <c r="N293" i="1"/>
  <c r="P293" i="1" s="1"/>
  <c r="N294" i="1"/>
  <c r="P294" i="1" s="1"/>
  <c r="N295" i="1"/>
  <c r="P295" i="1" s="1"/>
  <c r="N296" i="1"/>
  <c r="P296" i="1" s="1"/>
  <c r="N297" i="1"/>
  <c r="P297" i="1" s="1"/>
  <c r="N298" i="1"/>
  <c r="P298" i="1" s="1"/>
  <c r="N299" i="1"/>
  <c r="P299" i="1" s="1"/>
  <c r="N300" i="1"/>
  <c r="P300" i="1" s="1"/>
  <c r="N301" i="1"/>
  <c r="P301" i="1" s="1"/>
  <c r="N302" i="1"/>
  <c r="P302" i="1" s="1"/>
  <c r="N303" i="1"/>
  <c r="P303" i="1" s="1"/>
  <c r="N304" i="1"/>
  <c r="P304" i="1" s="1"/>
  <c r="N305" i="1"/>
  <c r="P305" i="1" s="1"/>
  <c r="N306" i="1"/>
  <c r="P306" i="1" s="1"/>
  <c r="N307" i="1"/>
  <c r="P307" i="1" s="1"/>
  <c r="N308" i="1"/>
  <c r="P308" i="1" s="1"/>
  <c r="N309" i="1"/>
  <c r="P309" i="1" s="1"/>
  <c r="N310" i="1"/>
  <c r="P310" i="1" s="1"/>
  <c r="N311" i="1"/>
  <c r="P311" i="1" s="1"/>
  <c r="N312" i="1"/>
  <c r="P312" i="1" s="1"/>
  <c r="N313" i="1"/>
  <c r="P313" i="1" s="1"/>
  <c r="N314" i="1"/>
  <c r="P314" i="1" s="1"/>
  <c r="N315" i="1"/>
  <c r="P315" i="1" s="1"/>
  <c r="N316" i="1"/>
  <c r="P316" i="1" s="1"/>
  <c r="N317" i="1"/>
  <c r="P317" i="1" s="1"/>
  <c r="N318" i="1"/>
  <c r="P318" i="1" s="1"/>
  <c r="N319" i="1"/>
  <c r="P319" i="1" s="1"/>
  <c r="N320" i="1"/>
  <c r="P320" i="1" s="1"/>
  <c r="N321" i="1"/>
  <c r="P321" i="1" s="1"/>
  <c r="N322" i="1"/>
  <c r="P322" i="1" s="1"/>
  <c r="N323" i="1"/>
  <c r="P323" i="1" s="1"/>
  <c r="N324" i="1"/>
  <c r="P324" i="1" s="1"/>
  <c r="N325" i="1"/>
  <c r="P325" i="1" s="1"/>
  <c r="N326" i="1"/>
  <c r="P326" i="1" s="1"/>
  <c r="N327" i="1"/>
  <c r="P327" i="1" s="1"/>
  <c r="N328" i="1"/>
  <c r="P328" i="1" s="1"/>
  <c r="N329" i="1"/>
  <c r="P329" i="1" s="1"/>
  <c r="N330" i="1"/>
  <c r="P330" i="1" s="1"/>
  <c r="N331" i="1"/>
  <c r="P331" i="1" s="1"/>
  <c r="N332" i="1"/>
  <c r="P332" i="1" s="1"/>
  <c r="N333" i="1"/>
  <c r="P333" i="1" s="1"/>
  <c r="N334" i="1"/>
  <c r="P334" i="1" s="1"/>
  <c r="N335" i="1"/>
  <c r="P335" i="1" s="1"/>
  <c r="N336" i="1"/>
  <c r="P336" i="1" s="1"/>
  <c r="N337" i="1"/>
  <c r="P337" i="1" s="1"/>
  <c r="N338" i="1"/>
  <c r="P338" i="1" s="1"/>
  <c r="N339" i="1"/>
  <c r="P339" i="1" s="1"/>
  <c r="N340" i="1"/>
  <c r="P340" i="1" s="1"/>
  <c r="N341" i="1"/>
  <c r="P341" i="1" s="1"/>
  <c r="N342" i="1"/>
  <c r="P342" i="1" s="1"/>
  <c r="N343" i="1"/>
  <c r="P343" i="1" s="1"/>
  <c r="N344" i="1"/>
  <c r="P344" i="1" s="1"/>
  <c r="N345" i="1"/>
  <c r="P345" i="1" s="1"/>
  <c r="N346" i="1"/>
  <c r="P346" i="1" s="1"/>
  <c r="N347" i="1"/>
  <c r="P347" i="1" s="1"/>
  <c r="N348" i="1"/>
  <c r="P348" i="1" s="1"/>
  <c r="N349" i="1"/>
  <c r="P349" i="1" s="1"/>
  <c r="N350" i="1"/>
  <c r="P350" i="1" s="1"/>
  <c r="N351" i="1"/>
  <c r="P351" i="1" s="1"/>
  <c r="N352" i="1"/>
  <c r="P352" i="1" s="1"/>
  <c r="N353" i="1"/>
  <c r="P353" i="1" s="1"/>
  <c r="N354" i="1"/>
  <c r="P354" i="1" s="1"/>
  <c r="N355" i="1"/>
  <c r="P355" i="1" s="1"/>
  <c r="N356" i="1"/>
  <c r="P356" i="1" s="1"/>
  <c r="N357" i="1"/>
  <c r="P357" i="1" s="1"/>
  <c r="N358" i="1"/>
  <c r="P358" i="1" s="1"/>
  <c r="N359" i="1"/>
  <c r="P359" i="1" s="1"/>
  <c r="N360" i="1"/>
  <c r="P360" i="1" s="1"/>
  <c r="N361" i="1"/>
  <c r="P361" i="1" s="1"/>
  <c r="N362" i="1"/>
  <c r="P362" i="1" s="1"/>
  <c r="N363" i="1"/>
  <c r="P363" i="1" s="1"/>
  <c r="N364" i="1"/>
  <c r="P364" i="1" s="1"/>
  <c r="N365" i="1"/>
  <c r="P365" i="1" s="1"/>
  <c r="N366" i="1"/>
  <c r="P366" i="1" s="1"/>
  <c r="N367" i="1"/>
  <c r="P367" i="1" s="1"/>
  <c r="N368" i="1"/>
  <c r="P368" i="1" s="1"/>
  <c r="N369" i="1"/>
  <c r="P369" i="1" s="1"/>
  <c r="N370" i="1"/>
  <c r="P370" i="1" s="1"/>
  <c r="N371" i="1"/>
  <c r="P371" i="1" s="1"/>
  <c r="N372" i="1"/>
  <c r="P372" i="1" s="1"/>
  <c r="N373" i="1"/>
  <c r="P373" i="1" s="1"/>
  <c r="N374" i="1"/>
  <c r="P374" i="1" s="1"/>
  <c r="N375" i="1"/>
  <c r="P375" i="1" s="1"/>
  <c r="N376" i="1"/>
  <c r="P376" i="1" s="1"/>
  <c r="N377" i="1"/>
  <c r="P377" i="1" s="1"/>
  <c r="N378" i="1"/>
  <c r="P378" i="1" s="1"/>
  <c r="N379" i="1"/>
  <c r="P379" i="1" s="1"/>
  <c r="N380" i="1"/>
  <c r="P380" i="1" s="1"/>
  <c r="N381" i="1"/>
  <c r="P381" i="1" s="1"/>
  <c r="N382" i="1"/>
  <c r="P382" i="1" s="1"/>
  <c r="N383" i="1"/>
  <c r="P383" i="1" s="1"/>
  <c r="N384" i="1"/>
  <c r="P384" i="1" s="1"/>
  <c r="N385" i="1"/>
  <c r="P385" i="1" s="1"/>
  <c r="N386" i="1"/>
  <c r="P386" i="1" s="1"/>
  <c r="N387" i="1"/>
  <c r="P387" i="1" s="1"/>
  <c r="N388" i="1"/>
  <c r="P388" i="1" s="1"/>
  <c r="N389" i="1"/>
  <c r="P389" i="1" s="1"/>
  <c r="N390" i="1"/>
  <c r="P390" i="1" s="1"/>
  <c r="N391" i="1"/>
  <c r="P391" i="1" s="1"/>
  <c r="N392" i="1"/>
  <c r="P392" i="1" s="1"/>
  <c r="N393" i="1"/>
  <c r="P393" i="1" s="1"/>
  <c r="N394" i="1"/>
  <c r="P394" i="1" s="1"/>
  <c r="N395" i="1"/>
  <c r="P395" i="1" s="1"/>
  <c r="N396" i="1"/>
  <c r="P396" i="1" s="1"/>
  <c r="N397" i="1"/>
  <c r="P397" i="1" s="1"/>
  <c r="N398" i="1"/>
  <c r="P398" i="1" s="1"/>
  <c r="N399" i="1"/>
  <c r="P399" i="1" s="1"/>
  <c r="N400" i="1"/>
  <c r="P400" i="1" s="1"/>
  <c r="N401" i="1"/>
  <c r="P401" i="1" s="1"/>
  <c r="N402" i="1"/>
  <c r="P402" i="1" s="1"/>
  <c r="N403" i="1"/>
  <c r="P403" i="1" s="1"/>
  <c r="N404" i="1"/>
  <c r="P404" i="1" s="1"/>
  <c r="N405" i="1"/>
  <c r="P405" i="1" s="1"/>
  <c r="N406" i="1"/>
  <c r="P406" i="1" s="1"/>
  <c r="N407" i="1"/>
  <c r="P407" i="1" s="1"/>
  <c r="N408" i="1"/>
  <c r="P408" i="1" s="1"/>
  <c r="N409" i="1"/>
  <c r="P409" i="1" s="1"/>
  <c r="N410" i="1"/>
  <c r="P410" i="1" s="1"/>
  <c r="N411" i="1"/>
  <c r="P411" i="1" s="1"/>
  <c r="N412" i="1"/>
  <c r="P412" i="1" s="1"/>
  <c r="N413" i="1"/>
  <c r="P413" i="1" s="1"/>
  <c r="N414" i="1"/>
  <c r="P414" i="1" s="1"/>
  <c r="N415" i="1"/>
  <c r="P415" i="1" s="1"/>
  <c r="N416" i="1"/>
  <c r="P416" i="1" s="1"/>
  <c r="N417" i="1"/>
  <c r="P417" i="1" s="1"/>
  <c r="N418" i="1"/>
  <c r="P418" i="1" s="1"/>
  <c r="N419" i="1"/>
  <c r="P419" i="1" s="1"/>
  <c r="N420" i="1"/>
  <c r="P420" i="1" s="1"/>
  <c r="N421" i="1"/>
  <c r="P421" i="1" s="1"/>
  <c r="N422" i="1"/>
  <c r="P422" i="1" s="1"/>
  <c r="N423" i="1"/>
  <c r="P423" i="1" s="1"/>
  <c r="N424" i="1"/>
  <c r="P424" i="1" s="1"/>
  <c r="N425" i="1"/>
  <c r="P425" i="1" s="1"/>
  <c r="N426" i="1"/>
  <c r="P426" i="1" s="1"/>
  <c r="N427" i="1"/>
  <c r="P427" i="1" s="1"/>
  <c r="N428" i="1"/>
  <c r="P428" i="1" s="1"/>
  <c r="N429" i="1"/>
  <c r="P429" i="1" s="1"/>
  <c r="N430" i="1"/>
  <c r="P430" i="1" s="1"/>
  <c r="N431" i="1"/>
  <c r="P431" i="1" s="1"/>
  <c r="N432" i="1"/>
  <c r="P432" i="1" s="1"/>
  <c r="N433" i="1"/>
  <c r="P433" i="1" s="1"/>
  <c r="N434" i="1"/>
  <c r="P434" i="1" s="1"/>
  <c r="N435" i="1"/>
  <c r="P435" i="1" s="1"/>
  <c r="N436" i="1"/>
  <c r="P436" i="1" s="1"/>
  <c r="N437" i="1"/>
  <c r="P437" i="1" s="1"/>
  <c r="N438" i="1"/>
  <c r="P438" i="1" s="1"/>
  <c r="N439" i="1"/>
  <c r="P439" i="1" s="1"/>
  <c r="N440" i="1"/>
  <c r="P440" i="1" s="1"/>
  <c r="N441" i="1"/>
  <c r="P441" i="1" s="1"/>
  <c r="N442" i="1"/>
  <c r="P442" i="1" s="1"/>
  <c r="N443" i="1"/>
  <c r="P443" i="1" s="1"/>
  <c r="N444" i="1"/>
  <c r="P444" i="1" s="1"/>
  <c r="N445" i="1"/>
  <c r="P445" i="1" s="1"/>
  <c r="N446" i="1"/>
  <c r="P446" i="1" s="1"/>
  <c r="N447" i="1"/>
  <c r="P447" i="1" s="1"/>
  <c r="N448" i="1"/>
  <c r="P448" i="1" s="1"/>
  <c r="N449" i="1"/>
  <c r="P449" i="1" s="1"/>
  <c r="N450" i="1"/>
  <c r="P450" i="1" s="1"/>
  <c r="N451" i="1"/>
  <c r="P451" i="1" s="1"/>
  <c r="N452" i="1"/>
  <c r="P452" i="1" s="1"/>
  <c r="N453" i="1"/>
  <c r="P453" i="1" s="1"/>
  <c r="N454" i="1"/>
  <c r="P454" i="1" s="1"/>
  <c r="N455" i="1"/>
  <c r="P455" i="1" s="1"/>
  <c r="N456" i="1"/>
  <c r="P456" i="1" s="1"/>
  <c r="N457" i="1"/>
  <c r="P457" i="1" s="1"/>
  <c r="N458" i="1"/>
  <c r="P458" i="1" s="1"/>
  <c r="N459" i="1"/>
  <c r="P459" i="1" s="1"/>
  <c r="N460" i="1"/>
  <c r="P460" i="1" s="1"/>
  <c r="N461" i="1"/>
  <c r="P461" i="1" s="1"/>
  <c r="N462" i="1"/>
  <c r="P462" i="1" s="1"/>
  <c r="N463" i="1"/>
  <c r="P463" i="1" s="1"/>
  <c r="N464" i="1"/>
  <c r="P464" i="1" s="1"/>
  <c r="N465" i="1"/>
  <c r="P465" i="1" s="1"/>
  <c r="N466" i="1"/>
  <c r="P466" i="1" s="1"/>
  <c r="N467" i="1"/>
  <c r="P467" i="1" s="1"/>
  <c r="N468" i="1"/>
  <c r="P468" i="1" s="1"/>
  <c r="N469" i="1"/>
  <c r="P469" i="1" s="1"/>
  <c r="N470" i="1"/>
  <c r="P470" i="1" s="1"/>
  <c r="N471" i="1"/>
  <c r="P471" i="1" s="1"/>
  <c r="N472" i="1"/>
  <c r="P472" i="1" s="1"/>
  <c r="N473" i="1"/>
  <c r="P473" i="1" s="1"/>
  <c r="N474" i="1"/>
  <c r="P474" i="1" s="1"/>
  <c r="N475" i="1"/>
  <c r="P475" i="1" s="1"/>
  <c r="N476" i="1"/>
  <c r="P476" i="1" s="1"/>
  <c r="N477" i="1"/>
  <c r="P477" i="1" s="1"/>
  <c r="N478" i="1"/>
  <c r="P478" i="1" s="1"/>
  <c r="N479" i="1"/>
  <c r="P479" i="1" s="1"/>
  <c r="N480" i="1"/>
  <c r="P480" i="1" s="1"/>
  <c r="N481" i="1"/>
  <c r="P481" i="1" s="1"/>
  <c r="N482" i="1"/>
  <c r="P482" i="1" s="1"/>
  <c r="N483" i="1"/>
  <c r="P483" i="1" s="1"/>
  <c r="N484" i="1"/>
  <c r="P484" i="1" s="1"/>
  <c r="N485" i="1"/>
  <c r="P485" i="1" s="1"/>
  <c r="N486" i="1"/>
  <c r="P486" i="1" s="1"/>
  <c r="N487" i="1"/>
  <c r="P487" i="1" s="1"/>
  <c r="N488" i="1"/>
  <c r="P488" i="1" s="1"/>
  <c r="N489" i="1"/>
  <c r="P489" i="1" s="1"/>
  <c r="N490" i="1"/>
  <c r="P490" i="1" s="1"/>
  <c r="N491" i="1"/>
  <c r="P491" i="1" s="1"/>
  <c r="N492" i="1"/>
  <c r="P492" i="1" s="1"/>
  <c r="N493" i="1"/>
  <c r="P493" i="1" s="1"/>
  <c r="N494" i="1"/>
  <c r="P494" i="1" s="1"/>
  <c r="N495" i="1"/>
  <c r="P495" i="1" s="1"/>
  <c r="N496" i="1"/>
  <c r="P496" i="1" s="1"/>
  <c r="N497" i="1"/>
  <c r="P497" i="1" s="1"/>
  <c r="N498" i="1"/>
  <c r="P498" i="1" s="1"/>
  <c r="N499" i="1"/>
  <c r="P499" i="1" s="1"/>
  <c r="N500" i="1"/>
  <c r="P500" i="1" s="1"/>
  <c r="N501" i="1"/>
  <c r="P501" i="1" s="1"/>
  <c r="N502" i="1"/>
  <c r="P502" i="1" s="1"/>
  <c r="N503" i="1"/>
  <c r="P503" i="1" s="1"/>
  <c r="N504" i="1"/>
  <c r="P504" i="1" s="1"/>
  <c r="N505" i="1"/>
  <c r="P505" i="1" s="1"/>
  <c r="N506" i="1"/>
  <c r="P506" i="1" s="1"/>
  <c r="N507" i="1"/>
  <c r="P507" i="1" s="1"/>
  <c r="N508" i="1"/>
  <c r="P508" i="1" s="1"/>
  <c r="N509" i="1"/>
  <c r="P509" i="1" s="1"/>
  <c r="N510" i="1"/>
  <c r="P510" i="1" s="1"/>
  <c r="N511" i="1"/>
  <c r="P511" i="1" s="1"/>
  <c r="N512" i="1"/>
  <c r="P512" i="1" s="1"/>
  <c r="N513" i="1"/>
  <c r="P513" i="1" s="1"/>
  <c r="N514" i="1"/>
  <c r="P514" i="1" s="1"/>
  <c r="N515" i="1"/>
  <c r="P515" i="1" s="1"/>
  <c r="N516" i="1"/>
  <c r="P516" i="1" s="1"/>
  <c r="N517" i="1"/>
  <c r="P517" i="1" s="1"/>
  <c r="N518" i="1"/>
  <c r="P518" i="1" s="1"/>
  <c r="N519" i="1"/>
  <c r="P519" i="1" s="1"/>
  <c r="N520" i="1"/>
  <c r="P520" i="1" s="1"/>
  <c r="N521" i="1"/>
  <c r="P521" i="1" s="1"/>
  <c r="N522" i="1"/>
  <c r="P522" i="1" s="1"/>
  <c r="N523" i="1"/>
  <c r="P523" i="1" s="1"/>
  <c r="N524" i="1"/>
  <c r="P524" i="1" s="1"/>
  <c r="N525" i="1"/>
  <c r="P525" i="1" s="1"/>
  <c r="N526" i="1"/>
  <c r="P526" i="1" s="1"/>
  <c r="N527" i="1"/>
  <c r="P527" i="1" s="1"/>
  <c r="N528" i="1"/>
  <c r="P528" i="1" s="1"/>
  <c r="N529" i="1"/>
  <c r="P529" i="1" s="1"/>
  <c r="N530" i="1"/>
  <c r="P530" i="1" s="1"/>
  <c r="N531" i="1"/>
  <c r="P531" i="1" s="1"/>
  <c r="N532" i="1"/>
  <c r="P532" i="1" s="1"/>
  <c r="N533" i="1"/>
  <c r="P533" i="1" s="1"/>
  <c r="N534" i="1"/>
  <c r="P534" i="1" s="1"/>
  <c r="N535" i="1"/>
  <c r="P535" i="1" s="1"/>
  <c r="N536" i="1"/>
  <c r="P536" i="1" s="1"/>
  <c r="N537" i="1"/>
  <c r="P537" i="1" s="1"/>
  <c r="N538" i="1"/>
  <c r="P538" i="1" s="1"/>
  <c r="N539" i="1"/>
  <c r="P539" i="1" s="1"/>
  <c r="N540" i="1"/>
  <c r="P540" i="1" s="1"/>
  <c r="N541" i="1"/>
  <c r="P541" i="1" s="1"/>
  <c r="N542" i="1"/>
  <c r="P542" i="1" s="1"/>
  <c r="N543" i="1"/>
  <c r="P543" i="1" s="1"/>
  <c r="N544" i="1"/>
  <c r="P544" i="1" s="1"/>
  <c r="N545" i="1"/>
  <c r="P545" i="1" s="1"/>
  <c r="N546" i="1"/>
  <c r="P546" i="1" s="1"/>
  <c r="N547" i="1"/>
  <c r="P547" i="1" s="1"/>
  <c r="N548" i="1"/>
  <c r="P548" i="1" s="1"/>
  <c r="N549" i="1"/>
  <c r="P549" i="1" s="1"/>
  <c r="N550" i="1"/>
  <c r="P550" i="1" s="1"/>
  <c r="N551" i="1"/>
  <c r="P551" i="1" s="1"/>
  <c r="N552" i="1"/>
  <c r="P552" i="1" s="1"/>
  <c r="N553" i="1"/>
  <c r="P553" i="1" s="1"/>
  <c r="N554" i="1"/>
  <c r="P554" i="1" s="1"/>
  <c r="N555" i="1"/>
  <c r="P555" i="1" s="1"/>
  <c r="N556" i="1"/>
  <c r="P556" i="1" s="1"/>
  <c r="N557" i="1"/>
  <c r="P557" i="1" s="1"/>
  <c r="N558" i="1"/>
  <c r="P558" i="1" s="1"/>
  <c r="N559" i="1"/>
  <c r="P559" i="1" s="1"/>
  <c r="N560" i="1"/>
  <c r="P560" i="1" s="1"/>
  <c r="N561" i="1"/>
  <c r="P561" i="1" s="1"/>
  <c r="N562" i="1"/>
  <c r="P562" i="1" s="1"/>
  <c r="N563" i="1"/>
  <c r="P563" i="1" s="1"/>
  <c r="N564" i="1"/>
  <c r="P564" i="1" s="1"/>
  <c r="N565" i="1"/>
  <c r="P565" i="1" s="1"/>
  <c r="N566" i="1"/>
  <c r="P566" i="1" s="1"/>
  <c r="N567" i="1"/>
  <c r="P567" i="1" s="1"/>
  <c r="N568" i="1"/>
  <c r="P568" i="1" s="1"/>
  <c r="N569" i="1"/>
  <c r="P569" i="1" s="1"/>
  <c r="N570" i="1"/>
  <c r="P570" i="1" s="1"/>
  <c r="N571" i="1"/>
  <c r="P571" i="1" s="1"/>
  <c r="N572" i="1"/>
  <c r="P572" i="1" s="1"/>
  <c r="N573" i="1"/>
  <c r="P573" i="1" s="1"/>
  <c r="N574" i="1"/>
  <c r="P574" i="1" s="1"/>
  <c r="N575" i="1"/>
  <c r="P575" i="1" s="1"/>
  <c r="N576" i="1"/>
  <c r="P576" i="1" s="1"/>
  <c r="N577" i="1"/>
  <c r="P577" i="1" s="1"/>
  <c r="N578" i="1"/>
  <c r="P578" i="1" s="1"/>
  <c r="N579" i="1"/>
  <c r="P579" i="1" s="1"/>
  <c r="N580" i="1"/>
  <c r="P580" i="1" s="1"/>
  <c r="N581" i="1"/>
  <c r="P581" i="1" s="1"/>
  <c r="N582" i="1"/>
  <c r="P582" i="1" s="1"/>
  <c r="N583" i="1"/>
  <c r="P583" i="1" s="1"/>
  <c r="N584" i="1"/>
  <c r="P584" i="1" s="1"/>
  <c r="N585" i="1"/>
  <c r="P585" i="1" s="1"/>
  <c r="N586" i="1"/>
  <c r="P586" i="1" s="1"/>
  <c r="N587" i="1"/>
  <c r="P587" i="1" s="1"/>
  <c r="N588" i="1"/>
  <c r="P588" i="1" s="1"/>
  <c r="N589" i="1"/>
  <c r="P589" i="1" s="1"/>
  <c r="N590" i="1"/>
  <c r="P590" i="1" s="1"/>
  <c r="N591" i="1"/>
  <c r="P591" i="1" s="1"/>
  <c r="N592" i="1"/>
  <c r="P592" i="1" s="1"/>
  <c r="N593" i="1"/>
  <c r="P593" i="1" s="1"/>
  <c r="N594" i="1"/>
  <c r="P594" i="1" s="1"/>
  <c r="N595" i="1"/>
  <c r="P595" i="1" s="1"/>
  <c r="N596" i="1"/>
  <c r="P596" i="1" s="1"/>
  <c r="N597" i="1"/>
  <c r="P597" i="1" s="1"/>
  <c r="N598" i="1"/>
  <c r="P598" i="1" s="1"/>
  <c r="N599" i="1"/>
  <c r="P599" i="1" s="1"/>
  <c r="N600" i="1"/>
  <c r="P600" i="1" s="1"/>
  <c r="N601" i="1"/>
  <c r="P601" i="1" s="1"/>
  <c r="N602" i="1"/>
  <c r="P602" i="1" s="1"/>
  <c r="N603" i="1"/>
  <c r="P603" i="1" s="1"/>
  <c r="N604" i="1"/>
  <c r="P604" i="1" s="1"/>
  <c r="N605" i="1"/>
  <c r="P605" i="1" s="1"/>
  <c r="N606" i="1"/>
  <c r="P606" i="1" s="1"/>
  <c r="N607" i="1"/>
  <c r="P607" i="1" s="1"/>
  <c r="N608" i="1"/>
  <c r="P608" i="1" s="1"/>
  <c r="N609" i="1"/>
  <c r="P609" i="1" s="1"/>
  <c r="N610" i="1"/>
  <c r="P610" i="1" s="1"/>
  <c r="N611" i="1"/>
  <c r="P611" i="1" s="1"/>
  <c r="N612" i="1"/>
  <c r="P612" i="1" s="1"/>
  <c r="N613" i="1"/>
  <c r="P613" i="1" s="1"/>
  <c r="N614" i="1"/>
  <c r="P614" i="1" s="1"/>
  <c r="N615" i="1"/>
  <c r="P615" i="1" s="1"/>
  <c r="N616" i="1"/>
  <c r="P616" i="1" s="1"/>
  <c r="N617" i="1"/>
  <c r="P617" i="1" s="1"/>
  <c r="N618" i="1"/>
  <c r="P618" i="1" s="1"/>
  <c r="N619" i="1"/>
  <c r="P619" i="1" s="1"/>
  <c r="N620" i="1"/>
  <c r="P620" i="1" s="1"/>
  <c r="N621" i="1"/>
  <c r="P621" i="1" s="1"/>
  <c r="N622" i="1"/>
  <c r="P622" i="1" s="1"/>
  <c r="N623" i="1"/>
  <c r="P623" i="1" s="1"/>
  <c r="N624" i="1"/>
  <c r="P624" i="1" s="1"/>
  <c r="N625" i="1"/>
  <c r="P625" i="1" s="1"/>
  <c r="N626" i="1"/>
  <c r="P626" i="1" s="1"/>
  <c r="N627" i="1"/>
  <c r="P627" i="1" s="1"/>
  <c r="N628" i="1"/>
  <c r="P628" i="1" s="1"/>
  <c r="N629" i="1"/>
  <c r="P629" i="1" s="1"/>
  <c r="N630" i="1"/>
  <c r="P630" i="1" s="1"/>
  <c r="N631" i="1"/>
  <c r="P631" i="1" s="1"/>
  <c r="N632" i="1"/>
  <c r="P632" i="1" s="1"/>
  <c r="N633" i="1"/>
  <c r="P633" i="1" s="1"/>
  <c r="N634" i="1"/>
  <c r="P634" i="1" s="1"/>
  <c r="N635" i="1"/>
  <c r="P635" i="1" s="1"/>
  <c r="N636" i="1"/>
  <c r="P636" i="1" s="1"/>
  <c r="N637" i="1"/>
  <c r="P637" i="1" s="1"/>
  <c r="N638" i="1"/>
  <c r="P638" i="1" s="1"/>
  <c r="N639" i="1"/>
  <c r="P639" i="1" s="1"/>
  <c r="N640" i="1"/>
  <c r="P640" i="1" s="1"/>
  <c r="N641" i="1"/>
  <c r="P641" i="1" s="1"/>
  <c r="N642" i="1"/>
  <c r="P642" i="1" s="1"/>
  <c r="N643" i="1"/>
  <c r="P643" i="1" s="1"/>
  <c r="N644" i="1"/>
  <c r="P644" i="1" s="1"/>
  <c r="N645" i="1"/>
  <c r="P645" i="1" s="1"/>
  <c r="N646" i="1"/>
  <c r="P646" i="1" s="1"/>
  <c r="N647" i="1"/>
  <c r="P647" i="1" s="1"/>
  <c r="N648" i="1"/>
  <c r="P648" i="1" s="1"/>
  <c r="N649" i="1"/>
  <c r="P649" i="1" s="1"/>
  <c r="N650" i="1"/>
  <c r="P650" i="1" s="1"/>
  <c r="N651" i="1"/>
  <c r="P651" i="1" s="1"/>
  <c r="N652" i="1"/>
  <c r="P652" i="1" s="1"/>
  <c r="N653" i="1"/>
  <c r="P653" i="1" s="1"/>
  <c r="N654" i="1"/>
  <c r="P654" i="1" s="1"/>
  <c r="N655" i="1"/>
  <c r="P655" i="1" s="1"/>
  <c r="N656" i="1"/>
  <c r="P656" i="1" s="1"/>
  <c r="N657" i="1"/>
  <c r="P657" i="1" s="1"/>
  <c r="N658" i="1"/>
  <c r="P658" i="1" s="1"/>
  <c r="N659" i="1"/>
  <c r="P659" i="1" s="1"/>
  <c r="N660" i="1"/>
  <c r="P660" i="1" s="1"/>
  <c r="N661" i="1"/>
  <c r="P661" i="1" s="1"/>
  <c r="N662" i="1"/>
  <c r="P662" i="1" s="1"/>
  <c r="N663" i="1"/>
  <c r="P663" i="1" s="1"/>
  <c r="N664" i="1"/>
  <c r="P664" i="1" s="1"/>
  <c r="N665" i="1"/>
  <c r="P665" i="1" s="1"/>
  <c r="N666" i="1"/>
  <c r="P666" i="1" s="1"/>
  <c r="N667" i="1"/>
  <c r="P667" i="1" s="1"/>
  <c r="N668" i="1"/>
  <c r="P668" i="1" s="1"/>
  <c r="N669" i="1"/>
  <c r="P669" i="1" s="1"/>
  <c r="N670" i="1"/>
  <c r="P670" i="1" s="1"/>
  <c r="N671" i="1"/>
  <c r="P671" i="1" s="1"/>
  <c r="N672" i="1"/>
  <c r="P672" i="1" s="1"/>
  <c r="N673" i="1"/>
  <c r="P673" i="1" s="1"/>
  <c r="N674" i="1"/>
  <c r="P674" i="1" s="1"/>
  <c r="N675" i="1"/>
  <c r="P675" i="1" s="1"/>
  <c r="N676" i="1"/>
  <c r="P676" i="1" s="1"/>
  <c r="N677" i="1"/>
  <c r="P677" i="1" s="1"/>
  <c r="N678" i="1"/>
  <c r="P678" i="1" s="1"/>
  <c r="N679" i="1"/>
  <c r="P679" i="1" s="1"/>
  <c r="N680" i="1"/>
  <c r="P680" i="1" s="1"/>
  <c r="N681" i="1"/>
  <c r="P681" i="1" s="1"/>
  <c r="N682" i="1"/>
  <c r="P682" i="1" s="1"/>
  <c r="N683" i="1"/>
  <c r="P683" i="1" s="1"/>
  <c r="N684" i="1"/>
  <c r="P684" i="1" s="1"/>
  <c r="N685" i="1"/>
  <c r="P685" i="1" s="1"/>
  <c r="N686" i="1"/>
  <c r="P686" i="1" s="1"/>
  <c r="N687" i="1"/>
  <c r="P687" i="1" s="1"/>
  <c r="N688" i="1"/>
  <c r="P688" i="1" s="1"/>
  <c r="N689" i="1"/>
  <c r="P689" i="1" s="1"/>
  <c r="N690" i="1"/>
  <c r="P690" i="1" s="1"/>
  <c r="N691" i="1"/>
  <c r="P691" i="1" s="1"/>
  <c r="N692" i="1"/>
  <c r="P692" i="1" s="1"/>
  <c r="N693" i="1"/>
  <c r="P693" i="1" s="1"/>
  <c r="N694" i="1"/>
  <c r="P694" i="1" s="1"/>
  <c r="N695" i="1"/>
  <c r="P695" i="1" s="1"/>
  <c r="N696" i="1"/>
  <c r="P696" i="1" s="1"/>
  <c r="N697" i="1"/>
  <c r="P697" i="1" s="1"/>
  <c r="N698" i="1"/>
  <c r="P698" i="1" s="1"/>
  <c r="N699" i="1"/>
  <c r="P699" i="1" s="1"/>
  <c r="N700" i="1"/>
  <c r="P700" i="1" s="1"/>
  <c r="N701" i="1"/>
  <c r="P701" i="1" s="1"/>
  <c r="N702" i="1"/>
  <c r="P702" i="1" s="1"/>
  <c r="N703" i="1"/>
  <c r="P703" i="1" s="1"/>
  <c r="N704" i="1"/>
  <c r="P704" i="1" s="1"/>
  <c r="N705" i="1"/>
  <c r="P705" i="1" s="1"/>
  <c r="N706" i="1"/>
  <c r="P706" i="1" s="1"/>
  <c r="N707" i="1"/>
  <c r="P707" i="1" s="1"/>
  <c r="N708" i="1"/>
  <c r="P708" i="1" s="1"/>
  <c r="N709" i="1"/>
  <c r="P709" i="1" s="1"/>
  <c r="N710" i="1"/>
  <c r="P710" i="1" s="1"/>
  <c r="N711" i="1"/>
  <c r="P711" i="1" s="1"/>
  <c r="N712" i="1"/>
  <c r="P712" i="1" s="1"/>
  <c r="N713" i="1"/>
  <c r="P713" i="1" s="1"/>
  <c r="N714" i="1"/>
  <c r="P714" i="1" s="1"/>
  <c r="N715" i="1"/>
  <c r="P715" i="1" s="1"/>
  <c r="N716" i="1"/>
  <c r="P716" i="1" s="1"/>
  <c r="N717" i="1"/>
  <c r="P717" i="1" s="1"/>
  <c r="N718" i="1"/>
  <c r="P718" i="1" s="1"/>
  <c r="N719" i="1"/>
  <c r="P719" i="1" s="1"/>
  <c r="N720" i="1"/>
  <c r="P720" i="1" s="1"/>
  <c r="N721" i="1"/>
  <c r="P721" i="1" s="1"/>
  <c r="N722" i="1"/>
  <c r="P722" i="1" s="1"/>
  <c r="N723" i="1"/>
  <c r="P723" i="1" s="1"/>
  <c r="N724" i="1"/>
  <c r="P724" i="1" s="1"/>
  <c r="N725" i="1"/>
  <c r="P725" i="1" s="1"/>
  <c r="N726" i="1"/>
  <c r="P726" i="1" s="1"/>
  <c r="N727" i="1"/>
  <c r="P727" i="1" s="1"/>
  <c r="N728" i="1"/>
  <c r="P728" i="1" s="1"/>
  <c r="N729" i="1"/>
  <c r="P729" i="1" s="1"/>
  <c r="N730" i="1"/>
  <c r="P730" i="1" s="1"/>
  <c r="N731" i="1"/>
  <c r="P731" i="1" s="1"/>
  <c r="N732" i="1"/>
  <c r="P732" i="1" s="1"/>
  <c r="N733" i="1"/>
  <c r="P733" i="1" s="1"/>
  <c r="N734" i="1"/>
  <c r="P734" i="1" s="1"/>
  <c r="N735" i="1"/>
  <c r="P735" i="1" s="1"/>
  <c r="N736" i="1"/>
  <c r="P736" i="1" s="1"/>
  <c r="N737" i="1"/>
  <c r="P737" i="1" s="1"/>
  <c r="N738" i="1"/>
  <c r="P738" i="1" s="1"/>
  <c r="N739" i="1"/>
  <c r="P739" i="1" s="1"/>
  <c r="N740" i="1"/>
  <c r="P740" i="1" s="1"/>
  <c r="N741" i="1"/>
  <c r="P741" i="1" s="1"/>
  <c r="N742" i="1"/>
  <c r="P742" i="1" s="1"/>
  <c r="N743" i="1"/>
  <c r="P743" i="1" s="1"/>
  <c r="N744" i="1"/>
  <c r="P744" i="1" s="1"/>
  <c r="N745" i="1"/>
  <c r="P745" i="1" s="1"/>
  <c r="N746" i="1"/>
  <c r="P746" i="1" s="1"/>
  <c r="N747" i="1"/>
  <c r="P747" i="1" s="1"/>
  <c r="N748" i="1"/>
  <c r="P748" i="1" s="1"/>
  <c r="N749" i="1"/>
  <c r="P749" i="1" s="1"/>
  <c r="N750" i="1"/>
  <c r="P750" i="1" s="1"/>
  <c r="N751" i="1"/>
  <c r="P751" i="1" s="1"/>
  <c r="N752" i="1"/>
  <c r="P752" i="1" s="1"/>
  <c r="N753" i="1"/>
  <c r="P753" i="1" s="1"/>
  <c r="N754" i="1"/>
  <c r="P754" i="1" s="1"/>
  <c r="N755" i="1"/>
  <c r="P755" i="1" s="1"/>
  <c r="N756" i="1"/>
  <c r="P756" i="1" s="1"/>
  <c r="N757" i="1"/>
  <c r="P757" i="1" s="1"/>
  <c r="N758" i="1"/>
  <c r="P758" i="1" s="1"/>
  <c r="N759" i="1"/>
  <c r="P759" i="1" s="1"/>
  <c r="N760" i="1"/>
  <c r="P760" i="1" s="1"/>
  <c r="N761" i="1"/>
  <c r="P761" i="1" s="1"/>
  <c r="N762" i="1"/>
  <c r="P762" i="1" s="1"/>
  <c r="N763" i="1"/>
  <c r="P763" i="1" s="1"/>
  <c r="N764" i="1"/>
  <c r="P764" i="1" s="1"/>
  <c r="N765" i="1"/>
  <c r="P765" i="1" s="1"/>
  <c r="N766" i="1"/>
  <c r="P766" i="1" s="1"/>
  <c r="N767" i="1"/>
  <c r="P767" i="1" s="1"/>
  <c r="N768" i="1"/>
  <c r="P768" i="1" s="1"/>
  <c r="N769" i="1"/>
  <c r="P769" i="1" s="1"/>
  <c r="N770" i="1"/>
  <c r="P770" i="1" s="1"/>
  <c r="N771" i="1"/>
  <c r="P771" i="1" s="1"/>
  <c r="N772" i="1"/>
  <c r="P772" i="1" s="1"/>
  <c r="N773" i="1"/>
  <c r="P773" i="1" s="1"/>
  <c r="N774" i="1"/>
  <c r="P774" i="1" s="1"/>
  <c r="N775" i="1"/>
  <c r="P775" i="1" s="1"/>
  <c r="N776" i="1"/>
  <c r="P776" i="1" s="1"/>
  <c r="N777" i="1"/>
  <c r="P777" i="1" s="1"/>
  <c r="N778" i="1"/>
  <c r="P778" i="1" s="1"/>
  <c r="N779" i="1"/>
  <c r="P779" i="1" s="1"/>
  <c r="N780" i="1"/>
  <c r="P780" i="1" s="1"/>
  <c r="N781" i="1"/>
  <c r="P781" i="1" s="1"/>
  <c r="N782" i="1"/>
  <c r="P782" i="1" s="1"/>
  <c r="N783" i="1"/>
  <c r="P783" i="1" s="1"/>
  <c r="N784" i="1"/>
  <c r="P784" i="1" s="1"/>
  <c r="N785" i="1"/>
  <c r="P785" i="1" s="1"/>
  <c r="N786" i="1"/>
  <c r="P786" i="1" s="1"/>
  <c r="N787" i="1"/>
  <c r="P787" i="1" s="1"/>
  <c r="N788" i="1"/>
  <c r="P788" i="1" s="1"/>
  <c r="N789" i="1"/>
  <c r="P789" i="1" s="1"/>
  <c r="N790" i="1"/>
  <c r="P790" i="1" s="1"/>
  <c r="N791" i="1"/>
  <c r="P791" i="1" s="1"/>
  <c r="N792" i="1"/>
  <c r="P792" i="1" s="1"/>
  <c r="N793" i="1"/>
  <c r="P793" i="1" s="1"/>
  <c r="N794" i="1"/>
  <c r="P794" i="1" s="1"/>
  <c r="N795" i="1"/>
  <c r="P795" i="1" s="1"/>
  <c r="N796" i="1"/>
  <c r="P796" i="1" s="1"/>
  <c r="N797" i="1"/>
  <c r="P797" i="1" s="1"/>
  <c r="N798" i="1"/>
  <c r="P798" i="1" s="1"/>
  <c r="N799" i="1"/>
  <c r="P799" i="1" s="1"/>
  <c r="N800" i="1"/>
  <c r="P800" i="1" s="1"/>
  <c r="N801" i="1"/>
  <c r="P801" i="1" s="1"/>
  <c r="N802" i="1"/>
  <c r="P802" i="1" s="1"/>
  <c r="N803" i="1"/>
  <c r="P803" i="1" s="1"/>
  <c r="N804" i="1"/>
  <c r="P804" i="1" s="1"/>
  <c r="N805" i="1"/>
  <c r="P805" i="1" s="1"/>
  <c r="N806" i="1"/>
  <c r="P806" i="1" s="1"/>
  <c r="N807" i="1"/>
  <c r="P807" i="1" s="1"/>
  <c r="N808" i="1"/>
  <c r="P808" i="1" s="1"/>
  <c r="N809" i="1"/>
  <c r="P809" i="1" s="1"/>
  <c r="N810" i="1"/>
  <c r="P810" i="1" s="1"/>
  <c r="N811" i="1"/>
  <c r="P811" i="1" s="1"/>
  <c r="N812" i="1"/>
  <c r="P812" i="1" s="1"/>
  <c r="N813" i="1"/>
  <c r="P813" i="1" s="1"/>
  <c r="N814" i="1"/>
  <c r="P814" i="1" s="1"/>
  <c r="N815" i="1"/>
  <c r="P815" i="1" s="1"/>
  <c r="N816" i="1"/>
  <c r="P816" i="1" s="1"/>
  <c r="N817" i="1"/>
  <c r="P817" i="1" s="1"/>
  <c r="N818" i="1"/>
  <c r="P818" i="1" s="1"/>
  <c r="N819" i="1"/>
  <c r="P819" i="1" s="1"/>
  <c r="N820" i="1"/>
  <c r="P820" i="1" s="1"/>
  <c r="N821" i="1"/>
  <c r="P821" i="1" s="1"/>
  <c r="N822" i="1"/>
  <c r="P822" i="1" s="1"/>
  <c r="N823" i="1"/>
  <c r="P823" i="1" s="1"/>
  <c r="N824" i="1"/>
  <c r="P824" i="1" s="1"/>
  <c r="N825" i="1"/>
  <c r="P825" i="1" s="1"/>
  <c r="N826" i="1"/>
  <c r="P826" i="1" s="1"/>
  <c r="N827" i="1"/>
  <c r="P827" i="1" s="1"/>
  <c r="N828" i="1"/>
  <c r="P828" i="1" s="1"/>
  <c r="N829" i="1"/>
  <c r="P829" i="1" s="1"/>
  <c r="N830" i="1"/>
  <c r="P830" i="1" s="1"/>
  <c r="N831" i="1"/>
  <c r="P831" i="1" s="1"/>
  <c r="N832" i="1"/>
  <c r="P832" i="1" s="1"/>
  <c r="N833" i="1"/>
  <c r="P833" i="1" s="1"/>
  <c r="N834" i="1"/>
  <c r="P834" i="1" s="1"/>
  <c r="N835" i="1"/>
  <c r="P835" i="1" s="1"/>
  <c r="N836" i="1"/>
  <c r="P836" i="1" s="1"/>
  <c r="N837" i="1"/>
  <c r="P837" i="1" s="1"/>
  <c r="N838" i="1"/>
  <c r="P838" i="1" s="1"/>
  <c r="N839" i="1"/>
  <c r="P839" i="1" s="1"/>
  <c r="N840" i="1"/>
  <c r="P840" i="1" s="1"/>
  <c r="N841" i="1"/>
  <c r="P841" i="1" s="1"/>
  <c r="N842" i="1"/>
  <c r="P842" i="1" s="1"/>
  <c r="N843" i="1"/>
  <c r="P843" i="1" s="1"/>
  <c r="N844" i="1"/>
  <c r="P844" i="1" s="1"/>
  <c r="N845" i="1"/>
  <c r="P845" i="1" s="1"/>
  <c r="N846" i="1"/>
  <c r="P846" i="1" s="1"/>
  <c r="N847" i="1"/>
  <c r="P847" i="1" s="1"/>
  <c r="N848" i="1"/>
  <c r="P848" i="1" s="1"/>
  <c r="N849" i="1"/>
  <c r="P849" i="1" s="1"/>
  <c r="N850" i="1"/>
  <c r="P850" i="1" s="1"/>
  <c r="N851" i="1"/>
  <c r="P851" i="1" s="1"/>
  <c r="N852" i="1"/>
  <c r="P852" i="1" s="1"/>
  <c r="N853" i="1"/>
  <c r="P853" i="1" s="1"/>
  <c r="N854" i="1"/>
  <c r="P854" i="1" s="1"/>
  <c r="N855" i="1"/>
  <c r="P855" i="1" s="1"/>
  <c r="N856" i="1"/>
  <c r="P856" i="1" s="1"/>
  <c r="N857" i="1"/>
  <c r="P857" i="1" s="1"/>
  <c r="N858" i="1"/>
  <c r="P858" i="1" s="1"/>
  <c r="N859" i="1"/>
  <c r="P859" i="1" s="1"/>
  <c r="N860" i="1"/>
  <c r="P860" i="1" s="1"/>
  <c r="N861" i="1"/>
  <c r="P861" i="1" s="1"/>
  <c r="N862" i="1"/>
  <c r="P862" i="1" s="1"/>
  <c r="N863" i="1"/>
  <c r="P863" i="1" s="1"/>
  <c r="N864" i="1"/>
  <c r="P864" i="1" s="1"/>
  <c r="N865" i="1"/>
  <c r="P865" i="1" s="1"/>
  <c r="N866" i="1"/>
  <c r="P866" i="1" s="1"/>
  <c r="N867" i="1"/>
  <c r="P867" i="1" s="1"/>
  <c r="N868" i="1"/>
  <c r="P868" i="1" s="1"/>
  <c r="N869" i="1"/>
  <c r="P869" i="1" s="1"/>
  <c r="N870" i="1"/>
  <c r="P870" i="1" s="1"/>
  <c r="N871" i="1"/>
  <c r="P871" i="1" s="1"/>
  <c r="N872" i="1"/>
  <c r="P872" i="1" s="1"/>
  <c r="N873" i="1"/>
  <c r="P873" i="1" s="1"/>
  <c r="N874" i="1"/>
  <c r="P874" i="1" s="1"/>
  <c r="N875" i="1"/>
  <c r="P875" i="1" s="1"/>
  <c r="N876" i="1"/>
  <c r="P876" i="1" s="1"/>
  <c r="N877" i="1"/>
  <c r="P877" i="1" s="1"/>
  <c r="N878" i="1"/>
  <c r="P878" i="1" s="1"/>
  <c r="N879" i="1"/>
  <c r="P879" i="1" s="1"/>
  <c r="N880" i="1"/>
  <c r="P880" i="1" s="1"/>
  <c r="N881" i="1"/>
  <c r="P881" i="1" s="1"/>
  <c r="N882" i="1"/>
  <c r="P882" i="1" s="1"/>
  <c r="N883" i="1"/>
  <c r="P883" i="1" s="1"/>
  <c r="N884" i="1"/>
  <c r="P884" i="1" s="1"/>
  <c r="N885" i="1"/>
  <c r="P885" i="1" s="1"/>
  <c r="N886" i="1"/>
  <c r="P886" i="1" s="1"/>
  <c r="N887" i="1"/>
  <c r="P887" i="1" s="1"/>
  <c r="N888" i="1"/>
  <c r="P888" i="1" s="1"/>
  <c r="N889" i="1"/>
  <c r="P889" i="1" s="1"/>
  <c r="N890" i="1"/>
  <c r="P890" i="1" s="1"/>
  <c r="N891" i="1"/>
  <c r="P891" i="1" s="1"/>
  <c r="N892" i="1"/>
  <c r="P892" i="1" s="1"/>
  <c r="N893" i="1"/>
  <c r="P893" i="1" s="1"/>
  <c r="N894" i="1"/>
  <c r="P894" i="1" s="1"/>
  <c r="N895" i="1"/>
  <c r="P895" i="1" s="1"/>
  <c r="N896" i="1"/>
  <c r="P896" i="1" s="1"/>
  <c r="N897" i="1"/>
  <c r="P897" i="1" s="1"/>
  <c r="N898" i="1"/>
  <c r="P898" i="1" s="1"/>
  <c r="N899" i="1"/>
  <c r="P899" i="1" s="1"/>
  <c r="N900" i="1"/>
  <c r="P900" i="1" s="1"/>
  <c r="N901" i="1"/>
  <c r="P901" i="1" s="1"/>
  <c r="N902" i="1"/>
  <c r="P902" i="1" s="1"/>
  <c r="N903" i="1"/>
  <c r="P903" i="1" s="1"/>
  <c r="N904" i="1"/>
  <c r="P904" i="1" s="1"/>
  <c r="N905" i="1"/>
  <c r="P905" i="1" s="1"/>
  <c r="N906" i="1"/>
  <c r="P906" i="1" s="1"/>
  <c r="N907" i="1"/>
  <c r="P907" i="1" s="1"/>
  <c r="N908" i="1"/>
  <c r="P908" i="1" s="1"/>
  <c r="N909" i="1"/>
  <c r="P909" i="1" s="1"/>
  <c r="N910" i="1"/>
  <c r="P910" i="1" s="1"/>
  <c r="N911" i="1"/>
  <c r="P911" i="1" s="1"/>
  <c r="N912" i="1"/>
  <c r="P912" i="1" s="1"/>
  <c r="N913" i="1"/>
  <c r="P913" i="1" s="1"/>
  <c r="N914" i="1"/>
  <c r="P914" i="1" s="1"/>
  <c r="N915" i="1"/>
  <c r="P915" i="1" s="1"/>
  <c r="N916" i="1"/>
  <c r="P916" i="1" s="1"/>
  <c r="N917" i="1"/>
  <c r="P917" i="1" s="1"/>
  <c r="N918" i="1"/>
  <c r="P918" i="1" s="1"/>
  <c r="N919" i="1"/>
  <c r="P919" i="1" s="1"/>
  <c r="N920" i="1"/>
  <c r="P920" i="1" s="1"/>
  <c r="N921" i="1"/>
  <c r="P921" i="1" s="1"/>
  <c r="N922" i="1"/>
  <c r="P922" i="1" s="1"/>
  <c r="N923" i="1"/>
  <c r="P923" i="1" s="1"/>
  <c r="N924" i="1"/>
  <c r="P924" i="1" s="1"/>
  <c r="N925" i="1"/>
  <c r="P925" i="1" s="1"/>
  <c r="N926" i="1"/>
  <c r="P926" i="1" s="1"/>
  <c r="N927" i="1"/>
  <c r="P927" i="1" s="1"/>
  <c r="N928" i="1"/>
  <c r="P928" i="1" s="1"/>
  <c r="N929" i="1"/>
  <c r="P929" i="1" s="1"/>
  <c r="N930" i="1"/>
  <c r="P930" i="1" s="1"/>
  <c r="N931" i="1"/>
  <c r="P931" i="1" s="1"/>
  <c r="N932" i="1"/>
  <c r="P932" i="1" s="1"/>
  <c r="N933" i="1"/>
  <c r="P933" i="1" s="1"/>
  <c r="N934" i="1"/>
  <c r="P934" i="1" s="1"/>
  <c r="N935" i="1"/>
  <c r="P935" i="1" s="1"/>
  <c r="N936" i="1"/>
  <c r="P936" i="1" s="1"/>
  <c r="N937" i="1"/>
  <c r="P937" i="1" s="1"/>
  <c r="N938" i="1"/>
  <c r="P938" i="1" s="1"/>
  <c r="N939" i="1"/>
  <c r="P939" i="1" s="1"/>
  <c r="N940" i="1"/>
  <c r="P940" i="1" s="1"/>
  <c r="N941" i="1"/>
  <c r="P941" i="1" s="1"/>
  <c r="N942" i="1"/>
  <c r="P942" i="1" s="1"/>
  <c r="N943" i="1"/>
  <c r="P943" i="1" s="1"/>
  <c r="N944" i="1"/>
  <c r="P944" i="1" s="1"/>
  <c r="N945" i="1"/>
  <c r="P945" i="1" s="1"/>
  <c r="N946" i="1"/>
  <c r="P946" i="1" s="1"/>
  <c r="N947" i="1"/>
  <c r="P947" i="1" s="1"/>
  <c r="N948" i="1"/>
  <c r="P948" i="1" s="1"/>
  <c r="N949" i="1"/>
  <c r="P949" i="1" s="1"/>
  <c r="N950" i="1"/>
  <c r="P950" i="1" s="1"/>
  <c r="N951" i="1"/>
  <c r="P951" i="1" s="1"/>
  <c r="N952" i="1"/>
  <c r="P952" i="1" s="1"/>
  <c r="N953" i="1"/>
  <c r="P953" i="1" s="1"/>
  <c r="N954" i="1"/>
  <c r="P954" i="1" s="1"/>
  <c r="N955" i="1"/>
  <c r="P955" i="1" s="1"/>
  <c r="N956" i="1"/>
  <c r="P956" i="1" s="1"/>
  <c r="N957" i="1"/>
  <c r="P957" i="1" s="1"/>
  <c r="N958" i="1"/>
  <c r="P958" i="1" s="1"/>
  <c r="N959" i="1"/>
  <c r="P959" i="1" s="1"/>
  <c r="N960" i="1"/>
  <c r="P960" i="1" s="1"/>
  <c r="N961" i="1"/>
  <c r="P961" i="1" s="1"/>
  <c r="N962" i="1"/>
  <c r="P962" i="1" s="1"/>
  <c r="N963" i="1"/>
  <c r="P963" i="1" s="1"/>
  <c r="N964" i="1"/>
  <c r="P964" i="1" s="1"/>
  <c r="N965" i="1"/>
  <c r="P965" i="1" s="1"/>
  <c r="N966" i="1"/>
  <c r="P966" i="1" s="1"/>
  <c r="N967" i="1"/>
  <c r="P967" i="1" s="1"/>
  <c r="N968" i="1"/>
  <c r="P968" i="1" s="1"/>
  <c r="N969" i="1"/>
  <c r="P969" i="1" s="1"/>
  <c r="N970" i="1"/>
  <c r="P970" i="1" s="1"/>
  <c r="N971" i="1"/>
  <c r="P971" i="1" s="1"/>
  <c r="N972" i="1"/>
  <c r="P972" i="1" s="1"/>
  <c r="N973" i="1"/>
  <c r="P973" i="1" s="1"/>
  <c r="N974" i="1"/>
  <c r="P974" i="1" s="1"/>
  <c r="N975" i="1"/>
  <c r="P975" i="1" s="1"/>
  <c r="N976" i="1"/>
  <c r="P976" i="1" s="1"/>
  <c r="N977" i="1"/>
  <c r="P977" i="1" s="1"/>
  <c r="N978" i="1"/>
  <c r="P978" i="1" s="1"/>
  <c r="N979" i="1"/>
  <c r="P979" i="1" s="1"/>
  <c r="N980" i="1"/>
  <c r="P980" i="1" s="1"/>
  <c r="N981" i="1"/>
  <c r="P981" i="1" s="1"/>
  <c r="N982" i="1"/>
  <c r="P982" i="1" s="1"/>
  <c r="N983" i="1"/>
  <c r="P983" i="1" s="1"/>
  <c r="N984" i="1"/>
  <c r="P984" i="1" s="1"/>
  <c r="N985" i="1"/>
  <c r="P985" i="1" s="1"/>
  <c r="N986" i="1"/>
  <c r="P986" i="1" s="1"/>
  <c r="N987" i="1"/>
  <c r="P987" i="1" s="1"/>
  <c r="N988" i="1"/>
  <c r="P988" i="1" s="1"/>
  <c r="N989" i="1"/>
  <c r="P989" i="1" s="1"/>
  <c r="N990" i="1"/>
  <c r="P990" i="1" s="1"/>
  <c r="N991" i="1"/>
  <c r="P991" i="1" s="1"/>
  <c r="N992" i="1"/>
  <c r="P992" i="1" s="1"/>
  <c r="N993" i="1"/>
  <c r="P993" i="1" s="1"/>
  <c r="N994" i="1"/>
  <c r="P994" i="1" s="1"/>
  <c r="N995" i="1"/>
  <c r="P995" i="1" s="1"/>
  <c r="N996" i="1"/>
  <c r="P996" i="1" s="1"/>
  <c r="N997" i="1"/>
  <c r="P997" i="1" s="1"/>
  <c r="N998" i="1"/>
  <c r="P998" i="1" s="1"/>
  <c r="N999" i="1"/>
  <c r="P999" i="1" s="1"/>
  <c r="N1000" i="1"/>
  <c r="P1000" i="1" s="1"/>
  <c r="N1001" i="1"/>
  <c r="P1001" i="1" s="1"/>
  <c r="N1002" i="1"/>
  <c r="P1002" i="1" s="1"/>
  <c r="N1003" i="1"/>
  <c r="P1003" i="1" s="1"/>
  <c r="N1004" i="1"/>
  <c r="P1004" i="1" s="1"/>
  <c r="N1005" i="1"/>
  <c r="P1005" i="1" s="1"/>
  <c r="N1006" i="1"/>
  <c r="P1006" i="1" s="1"/>
  <c r="N1007" i="1"/>
  <c r="P1007" i="1" s="1"/>
  <c r="N1008" i="1"/>
  <c r="P1008" i="1" s="1"/>
  <c r="N1009" i="1"/>
  <c r="P1009" i="1" s="1"/>
  <c r="N1010" i="1"/>
  <c r="P1010" i="1" s="1"/>
  <c r="N1011" i="1"/>
  <c r="P1011" i="1" s="1"/>
  <c r="N1012" i="1"/>
  <c r="P1012" i="1" s="1"/>
  <c r="N1013" i="1"/>
  <c r="P1013" i="1" s="1"/>
  <c r="N1014" i="1"/>
  <c r="P1014" i="1" s="1"/>
  <c r="N1015" i="1"/>
  <c r="P1015" i="1" s="1"/>
  <c r="N1016" i="1"/>
  <c r="P1016" i="1" s="1"/>
  <c r="N1017" i="1"/>
  <c r="P1017" i="1" s="1"/>
  <c r="N1018" i="1"/>
  <c r="P1018" i="1" s="1"/>
  <c r="N1019" i="1"/>
  <c r="P1019" i="1" s="1"/>
  <c r="N1020" i="1"/>
  <c r="P1020" i="1" s="1"/>
  <c r="N1021" i="1"/>
  <c r="P1021" i="1" s="1"/>
  <c r="N1022" i="1"/>
  <c r="P1022" i="1" s="1"/>
  <c r="N1023" i="1"/>
  <c r="P1023" i="1" s="1"/>
  <c r="N1024" i="1"/>
  <c r="P1024" i="1" s="1"/>
  <c r="N1025" i="1"/>
  <c r="P1025" i="1" s="1"/>
  <c r="N1026" i="1"/>
  <c r="P1026" i="1" s="1"/>
  <c r="N1027" i="1"/>
  <c r="P1027" i="1" s="1"/>
  <c r="N1028" i="1"/>
  <c r="P1028" i="1" s="1"/>
  <c r="N1029" i="1"/>
  <c r="P1029" i="1" s="1"/>
  <c r="N1030" i="1"/>
  <c r="P1030" i="1" s="1"/>
  <c r="N1031" i="1"/>
  <c r="P1031" i="1" s="1"/>
  <c r="N1032" i="1"/>
  <c r="P1032" i="1" s="1"/>
  <c r="N1033" i="1"/>
  <c r="P1033" i="1" s="1"/>
  <c r="N1034" i="1"/>
  <c r="P1034" i="1" s="1"/>
  <c r="N1035" i="1"/>
  <c r="P1035" i="1" s="1"/>
  <c r="N1036" i="1"/>
  <c r="P1036" i="1" s="1"/>
  <c r="N1037" i="1"/>
  <c r="P1037" i="1" s="1"/>
  <c r="N1038" i="1"/>
  <c r="P1038" i="1" s="1"/>
  <c r="N1039" i="1"/>
  <c r="P1039" i="1" s="1"/>
  <c r="N1040" i="1"/>
  <c r="P1040" i="1" s="1"/>
  <c r="N1041" i="1"/>
  <c r="P1041" i="1" s="1"/>
  <c r="N1042" i="1"/>
  <c r="P1042" i="1" s="1"/>
  <c r="N1043" i="1"/>
  <c r="P1043" i="1" s="1"/>
  <c r="N1044" i="1"/>
  <c r="P1044" i="1" s="1"/>
  <c r="N1045" i="1"/>
  <c r="P1045" i="1" s="1"/>
  <c r="N1046" i="1"/>
  <c r="P1046" i="1" s="1"/>
  <c r="N1047" i="1"/>
  <c r="P1047" i="1" s="1"/>
  <c r="N1048" i="1"/>
  <c r="P1048" i="1" s="1"/>
  <c r="N1049" i="1"/>
  <c r="P1049" i="1" s="1"/>
  <c r="N1050" i="1"/>
  <c r="P1050" i="1" s="1"/>
  <c r="N1051" i="1"/>
  <c r="P1051" i="1" s="1"/>
  <c r="N1052" i="1"/>
  <c r="P1052" i="1" s="1"/>
  <c r="N1053" i="1"/>
  <c r="P1053" i="1" s="1"/>
  <c r="N1054" i="1"/>
  <c r="P1054" i="1" s="1"/>
  <c r="N1055" i="1"/>
  <c r="P1055" i="1" s="1"/>
  <c r="N1056" i="1"/>
  <c r="P1056" i="1" s="1"/>
  <c r="N1057" i="1"/>
  <c r="P1057" i="1" s="1"/>
  <c r="N1058" i="1"/>
  <c r="P1058" i="1" s="1"/>
  <c r="N1059" i="1"/>
  <c r="P1059" i="1" s="1"/>
  <c r="N1060" i="1"/>
  <c r="P1060" i="1" s="1"/>
  <c r="N1061" i="1"/>
  <c r="P1061" i="1" s="1"/>
  <c r="N1062" i="1"/>
  <c r="P1062" i="1" s="1"/>
  <c r="N1063" i="1"/>
  <c r="P1063" i="1" s="1"/>
  <c r="N1064" i="1"/>
  <c r="P1064" i="1" s="1"/>
  <c r="N1065" i="1"/>
  <c r="P1065" i="1" s="1"/>
  <c r="N1066" i="1"/>
  <c r="P1066" i="1" s="1"/>
  <c r="N1067" i="1"/>
  <c r="P1067" i="1" s="1"/>
  <c r="N1068" i="1"/>
  <c r="P1068" i="1" s="1"/>
  <c r="N1069" i="1"/>
  <c r="P1069" i="1" s="1"/>
  <c r="N1070" i="1"/>
  <c r="P1070" i="1" s="1"/>
  <c r="N1071" i="1"/>
  <c r="P1071" i="1" s="1"/>
  <c r="N1072" i="1"/>
  <c r="P1072" i="1" s="1"/>
  <c r="N1073" i="1"/>
  <c r="P1073" i="1" s="1"/>
  <c r="N1074" i="1"/>
  <c r="P1074" i="1" s="1"/>
  <c r="N1075" i="1"/>
  <c r="P1075" i="1" s="1"/>
  <c r="N1076" i="1"/>
  <c r="P1076" i="1" s="1"/>
  <c r="N1077" i="1"/>
  <c r="P1077" i="1" s="1"/>
  <c r="N1078" i="1"/>
  <c r="P1078" i="1" s="1"/>
  <c r="N1079" i="1"/>
  <c r="P1079" i="1" s="1"/>
  <c r="N1080" i="1"/>
  <c r="P1080" i="1" s="1"/>
  <c r="N1081" i="1"/>
  <c r="P1081" i="1" s="1"/>
  <c r="N1082" i="1"/>
  <c r="P1082" i="1" s="1"/>
  <c r="N1083" i="1"/>
  <c r="P1083" i="1" s="1"/>
  <c r="N1084" i="1"/>
  <c r="P1084" i="1" s="1"/>
  <c r="N1085" i="1"/>
  <c r="P1085" i="1" s="1"/>
  <c r="N1086" i="1"/>
  <c r="P1086" i="1" s="1"/>
  <c r="N1087" i="1"/>
  <c r="P1087" i="1" s="1"/>
  <c r="N1088" i="1"/>
  <c r="P1088" i="1" s="1"/>
  <c r="N1089" i="1"/>
  <c r="P1089" i="1" s="1"/>
  <c r="N1090" i="1"/>
  <c r="P1090" i="1" s="1"/>
  <c r="N1091" i="1"/>
  <c r="P1091" i="1" s="1"/>
  <c r="N1092" i="1"/>
  <c r="P1092" i="1" s="1"/>
  <c r="N1093" i="1"/>
  <c r="P1093" i="1" s="1"/>
  <c r="N1094" i="1"/>
  <c r="P1094" i="1" s="1"/>
  <c r="N1095" i="1"/>
  <c r="P1095" i="1" s="1"/>
  <c r="N1096" i="1"/>
  <c r="P1096" i="1" s="1"/>
  <c r="N1097" i="1"/>
  <c r="P1097" i="1" s="1"/>
  <c r="N1098" i="1"/>
  <c r="P1098" i="1" s="1"/>
  <c r="N1099" i="1"/>
  <c r="P1099" i="1" s="1"/>
  <c r="N1100" i="1"/>
  <c r="P1100" i="1" s="1"/>
  <c r="N1101" i="1"/>
  <c r="P1101" i="1" s="1"/>
  <c r="N1102" i="1"/>
  <c r="P1102" i="1" s="1"/>
  <c r="N1103" i="1"/>
  <c r="P1103" i="1" s="1"/>
  <c r="N1104" i="1"/>
  <c r="P1104" i="1" s="1"/>
  <c r="N1105" i="1"/>
  <c r="P1105" i="1" s="1"/>
  <c r="N1106" i="1"/>
  <c r="P1106" i="1" s="1"/>
  <c r="N1107" i="1"/>
  <c r="P1107" i="1" s="1"/>
  <c r="N1108" i="1"/>
  <c r="P1108" i="1" s="1"/>
  <c r="N1109" i="1"/>
  <c r="P1109" i="1" s="1"/>
  <c r="N1110" i="1"/>
  <c r="P1110" i="1" s="1"/>
  <c r="N1111" i="1"/>
  <c r="P1111" i="1" s="1"/>
  <c r="N1112" i="1"/>
  <c r="P1112" i="1" s="1"/>
  <c r="N1113" i="1"/>
  <c r="P1113" i="1" s="1"/>
  <c r="N1114" i="1"/>
  <c r="P1114" i="1" s="1"/>
  <c r="N1115" i="1"/>
  <c r="P1115" i="1" s="1"/>
  <c r="N1116" i="1"/>
  <c r="P1116" i="1" s="1"/>
  <c r="N1117" i="1"/>
  <c r="P1117" i="1" s="1"/>
  <c r="N1118" i="1"/>
  <c r="P1118" i="1" s="1"/>
  <c r="N1119" i="1"/>
  <c r="P1119" i="1" s="1"/>
  <c r="N1120" i="1"/>
  <c r="P1120" i="1" s="1"/>
  <c r="N1121" i="1"/>
  <c r="P1121" i="1" s="1"/>
  <c r="N1122" i="1"/>
  <c r="P1122" i="1" s="1"/>
  <c r="N1123" i="1"/>
  <c r="P1123" i="1" s="1"/>
  <c r="N1124" i="1"/>
  <c r="P1124" i="1" s="1"/>
  <c r="N1125" i="1"/>
  <c r="P1125" i="1" s="1"/>
  <c r="N1126" i="1"/>
  <c r="P1126" i="1" s="1"/>
  <c r="N1127" i="1"/>
  <c r="P1127" i="1" s="1"/>
  <c r="N1128" i="1"/>
  <c r="P1128" i="1" s="1"/>
  <c r="N1129" i="1"/>
  <c r="P1129" i="1" s="1"/>
  <c r="N1130" i="1"/>
  <c r="P1130" i="1" s="1"/>
  <c r="N1131" i="1"/>
  <c r="P1131" i="1" s="1"/>
  <c r="N1132" i="1"/>
  <c r="P1132" i="1" s="1"/>
  <c r="N1133" i="1"/>
  <c r="P1133" i="1" s="1"/>
  <c r="N1134" i="1"/>
  <c r="P1134" i="1" s="1"/>
  <c r="N1135" i="1"/>
  <c r="P1135" i="1" s="1"/>
  <c r="N1136" i="1"/>
  <c r="P1136" i="1" s="1"/>
  <c r="N1137" i="1"/>
  <c r="P1137" i="1" s="1"/>
  <c r="N1138" i="1"/>
  <c r="P1138" i="1" s="1"/>
  <c r="N1139" i="1"/>
  <c r="P1139" i="1" s="1"/>
  <c r="N1140" i="1"/>
  <c r="P1140" i="1" s="1"/>
  <c r="N1141" i="1"/>
  <c r="P1141" i="1" s="1"/>
  <c r="N1142" i="1"/>
  <c r="P1142" i="1" s="1"/>
  <c r="N1143" i="1"/>
  <c r="P1143" i="1" s="1"/>
  <c r="N1144" i="1"/>
  <c r="P1144" i="1" s="1"/>
  <c r="N1145" i="1"/>
  <c r="P1145" i="1" s="1"/>
  <c r="N1146" i="1"/>
  <c r="P1146" i="1" s="1"/>
  <c r="N1147" i="1"/>
  <c r="P1147" i="1" s="1"/>
  <c r="N1148" i="1"/>
  <c r="P1148" i="1" s="1"/>
  <c r="N1149" i="1"/>
  <c r="P1149" i="1" s="1"/>
  <c r="N1150" i="1"/>
  <c r="P1150" i="1" s="1"/>
  <c r="N1151" i="1"/>
  <c r="P1151" i="1" s="1"/>
  <c r="N1152" i="1"/>
  <c r="P1152" i="1" s="1"/>
  <c r="N1153" i="1"/>
  <c r="P1153" i="1" s="1"/>
  <c r="N1154" i="1"/>
  <c r="P1154" i="1" s="1"/>
  <c r="N1155" i="1"/>
  <c r="P1155" i="1" s="1"/>
  <c r="N1156" i="1"/>
  <c r="P1156" i="1" s="1"/>
  <c r="N1157" i="1"/>
  <c r="P1157" i="1" s="1"/>
  <c r="N1158" i="1"/>
  <c r="P1158" i="1" s="1"/>
  <c r="N1159" i="1"/>
  <c r="P1159" i="1" s="1"/>
  <c r="N1160" i="1"/>
  <c r="P1160" i="1" s="1"/>
  <c r="N1161" i="1"/>
  <c r="P1161" i="1" s="1"/>
  <c r="N1162" i="1"/>
  <c r="P1162" i="1" s="1"/>
  <c r="N1163" i="1"/>
  <c r="P1163" i="1" s="1"/>
  <c r="N1164" i="1"/>
  <c r="P1164" i="1" s="1"/>
  <c r="N1165" i="1"/>
  <c r="P1165" i="1" s="1"/>
  <c r="N1166" i="1"/>
  <c r="P1166" i="1" s="1"/>
  <c r="N1167" i="1"/>
  <c r="P1167" i="1" s="1"/>
  <c r="N1168" i="1"/>
  <c r="P1168" i="1" s="1"/>
  <c r="N1169" i="1"/>
  <c r="P1169" i="1" s="1"/>
  <c r="N1170" i="1"/>
  <c r="P1170" i="1" s="1"/>
  <c r="N1171" i="1"/>
  <c r="P1171" i="1" s="1"/>
  <c r="N1172" i="1"/>
  <c r="P1172" i="1" s="1"/>
  <c r="N1173" i="1"/>
  <c r="P1173" i="1" s="1"/>
  <c r="N1174" i="1"/>
  <c r="P1174" i="1" s="1"/>
  <c r="N1175" i="1"/>
  <c r="P1175" i="1" s="1"/>
  <c r="N1176" i="1"/>
  <c r="P1176" i="1" s="1"/>
  <c r="N1177" i="1"/>
  <c r="P1177" i="1" s="1"/>
  <c r="N1178" i="1"/>
  <c r="P1178" i="1" s="1"/>
  <c r="N1179" i="1"/>
  <c r="P1179" i="1" s="1"/>
  <c r="N1180" i="1"/>
  <c r="P1180" i="1" s="1"/>
  <c r="N1181" i="1"/>
  <c r="P1181" i="1" s="1"/>
  <c r="N1182" i="1"/>
  <c r="P1182" i="1" s="1"/>
  <c r="N1183" i="1"/>
  <c r="P1183" i="1" s="1"/>
  <c r="N1184" i="1"/>
  <c r="P1184" i="1" s="1"/>
  <c r="N1185" i="1"/>
  <c r="P1185" i="1" s="1"/>
  <c r="N1186" i="1"/>
  <c r="P1186" i="1" s="1"/>
  <c r="N1187" i="1"/>
  <c r="P1187" i="1" s="1"/>
  <c r="N1188" i="1"/>
  <c r="P1188" i="1" s="1"/>
  <c r="N1189" i="1"/>
  <c r="P1189" i="1" s="1"/>
  <c r="N1190" i="1"/>
  <c r="P1190" i="1" s="1"/>
  <c r="N1191" i="1"/>
  <c r="P1191" i="1" s="1"/>
  <c r="N1192" i="1"/>
  <c r="P1192" i="1" s="1"/>
  <c r="N1193" i="1"/>
  <c r="P1193" i="1" s="1"/>
  <c r="N1194" i="1"/>
  <c r="P1194" i="1" s="1"/>
  <c r="N1195" i="1"/>
  <c r="P1195" i="1" s="1"/>
  <c r="N1196" i="1"/>
  <c r="P1196" i="1" s="1"/>
  <c r="N1197" i="1"/>
  <c r="P1197" i="1" s="1"/>
  <c r="N1198" i="1"/>
  <c r="P1198" i="1" s="1"/>
  <c r="N1199" i="1"/>
  <c r="P1199" i="1" s="1"/>
  <c r="N1200" i="1"/>
  <c r="P1200" i="1" s="1"/>
  <c r="N1201" i="1"/>
  <c r="P1201" i="1" s="1"/>
  <c r="N1202" i="1"/>
  <c r="P1202" i="1" s="1"/>
  <c r="N1203" i="1"/>
  <c r="P1203" i="1" s="1"/>
  <c r="N1204" i="1"/>
  <c r="P1204" i="1" s="1"/>
  <c r="N1205" i="1"/>
  <c r="P1205" i="1" s="1"/>
  <c r="N1206" i="1"/>
  <c r="P1206" i="1" s="1"/>
  <c r="N1207" i="1"/>
  <c r="P1207" i="1" s="1"/>
  <c r="N1208" i="1"/>
  <c r="P1208" i="1" s="1"/>
  <c r="N1209" i="1"/>
  <c r="P1209" i="1" s="1"/>
  <c r="N1210" i="1"/>
  <c r="P1210" i="1" s="1"/>
  <c r="N1211" i="1"/>
  <c r="P1211" i="1" s="1"/>
  <c r="N1212" i="1"/>
  <c r="P1212" i="1" s="1"/>
  <c r="N1213" i="1"/>
  <c r="P1213" i="1" s="1"/>
  <c r="N1214" i="1"/>
  <c r="P1214" i="1" s="1"/>
  <c r="N1215" i="1"/>
  <c r="P1215" i="1" s="1"/>
  <c r="N1216" i="1"/>
  <c r="P1216" i="1" s="1"/>
  <c r="N1217" i="1"/>
  <c r="P1217" i="1" s="1"/>
  <c r="N1218" i="1"/>
  <c r="P1218" i="1" s="1"/>
  <c r="N1219" i="1"/>
  <c r="P1219" i="1" s="1"/>
  <c r="N1220" i="1"/>
  <c r="P1220" i="1" s="1"/>
  <c r="N1221" i="1"/>
  <c r="P1221" i="1" s="1"/>
  <c r="N1222" i="1"/>
  <c r="P1222" i="1" s="1"/>
  <c r="N1223" i="1"/>
  <c r="P1223" i="1" s="1"/>
  <c r="N1224" i="1"/>
  <c r="P1224" i="1" s="1"/>
  <c r="N1225" i="1"/>
  <c r="P1225" i="1" s="1"/>
  <c r="N1226" i="1"/>
  <c r="P1226" i="1" s="1"/>
  <c r="N1227" i="1"/>
  <c r="P1227" i="1" s="1"/>
  <c r="N1228" i="1"/>
  <c r="P1228" i="1" s="1"/>
  <c r="N1229" i="1"/>
  <c r="P1229" i="1" s="1"/>
  <c r="N1230" i="1"/>
  <c r="P1230" i="1" s="1"/>
  <c r="N1231" i="1"/>
  <c r="P1231" i="1" s="1"/>
  <c r="N1232" i="1"/>
  <c r="P1232" i="1" s="1"/>
  <c r="N1233" i="1"/>
  <c r="P1233" i="1" s="1"/>
  <c r="N1234" i="1"/>
  <c r="P1234" i="1" s="1"/>
  <c r="N1235" i="1"/>
  <c r="P1235" i="1" s="1"/>
  <c r="N1236" i="1"/>
  <c r="P1236" i="1" s="1"/>
  <c r="N1237" i="1"/>
  <c r="P1237" i="1" s="1"/>
  <c r="N1238" i="1"/>
  <c r="P1238" i="1" s="1"/>
  <c r="N1239" i="1"/>
  <c r="P1239" i="1" s="1"/>
  <c r="N1240" i="1"/>
  <c r="P1240" i="1" s="1"/>
  <c r="N1241" i="1"/>
  <c r="P1241" i="1" s="1"/>
  <c r="N1242" i="1"/>
  <c r="P1242" i="1" s="1"/>
  <c r="N1243" i="1"/>
  <c r="P1243" i="1" s="1"/>
  <c r="N1244" i="1"/>
  <c r="P1244" i="1" s="1"/>
  <c r="N1245" i="1"/>
  <c r="P1245" i="1" s="1"/>
  <c r="N1246" i="1"/>
  <c r="P1246" i="1" s="1"/>
  <c r="N1247" i="1"/>
  <c r="P1247" i="1" s="1"/>
  <c r="N1248" i="1"/>
  <c r="P1248" i="1" s="1"/>
  <c r="N1249" i="1"/>
  <c r="P1249" i="1" s="1"/>
  <c r="N1250" i="1"/>
  <c r="P1250" i="1" s="1"/>
  <c r="N1251" i="1"/>
  <c r="P1251" i="1" s="1"/>
  <c r="N1252" i="1"/>
  <c r="P1252" i="1" s="1"/>
  <c r="N1253" i="1"/>
  <c r="P1253" i="1" s="1"/>
  <c r="N1254" i="1"/>
  <c r="P1254" i="1" s="1"/>
  <c r="N1255" i="1"/>
  <c r="P1255" i="1" s="1"/>
  <c r="N1256" i="1"/>
  <c r="P1256" i="1" s="1"/>
  <c r="N1257" i="1"/>
  <c r="P1257" i="1" s="1"/>
  <c r="N1258" i="1"/>
  <c r="P1258" i="1" s="1"/>
  <c r="N1259" i="1"/>
  <c r="P1259" i="1" s="1"/>
  <c r="N1260" i="1"/>
  <c r="P1260" i="1" s="1"/>
  <c r="N1261" i="1"/>
  <c r="P1261" i="1" s="1"/>
  <c r="N1262" i="1"/>
  <c r="P1262" i="1" s="1"/>
  <c r="N1263" i="1"/>
  <c r="P1263" i="1" s="1"/>
  <c r="N1264" i="1"/>
  <c r="P1264" i="1" s="1"/>
  <c r="N1265" i="1"/>
  <c r="P1265" i="1" s="1"/>
  <c r="N1266" i="1"/>
  <c r="P1266" i="1" s="1"/>
  <c r="N1267" i="1"/>
  <c r="P1267" i="1" s="1"/>
  <c r="N1268" i="1"/>
  <c r="P1268" i="1" s="1"/>
  <c r="N1269" i="1"/>
  <c r="P1269" i="1" s="1"/>
  <c r="N1270" i="1"/>
  <c r="P1270" i="1" s="1"/>
  <c r="N1271" i="1"/>
  <c r="P1271" i="1" s="1"/>
  <c r="N1272" i="1"/>
  <c r="P1272" i="1" s="1"/>
  <c r="N1273" i="1"/>
  <c r="P1273" i="1" s="1"/>
  <c r="N1274" i="1"/>
  <c r="P1274" i="1" s="1"/>
  <c r="N1275" i="1"/>
  <c r="P1275" i="1" s="1"/>
  <c r="N1276" i="1"/>
  <c r="P1276" i="1" s="1"/>
  <c r="N1277" i="1"/>
  <c r="P1277" i="1" s="1"/>
  <c r="N1278" i="1"/>
  <c r="P1278" i="1" s="1"/>
  <c r="N1279" i="1"/>
  <c r="P1279" i="1" s="1"/>
  <c r="N1280" i="1"/>
  <c r="P1280" i="1" s="1"/>
  <c r="N1281" i="1"/>
  <c r="P1281" i="1" s="1"/>
  <c r="N1282" i="1"/>
  <c r="P1282" i="1" s="1"/>
  <c r="N1283" i="1"/>
  <c r="P1283" i="1" s="1"/>
  <c r="N1284" i="1"/>
  <c r="P1284" i="1" s="1"/>
  <c r="N1285" i="1"/>
  <c r="P1285" i="1" s="1"/>
  <c r="N1286" i="1"/>
  <c r="P1286" i="1" s="1"/>
  <c r="N1287" i="1"/>
  <c r="P1287" i="1" s="1"/>
  <c r="N1288" i="1"/>
  <c r="P1288" i="1" s="1"/>
  <c r="N1289" i="1"/>
  <c r="P1289" i="1" s="1"/>
  <c r="N1290" i="1"/>
  <c r="P1290" i="1" s="1"/>
  <c r="N1291" i="1"/>
  <c r="P1291" i="1" s="1"/>
  <c r="N1292" i="1"/>
  <c r="P1292" i="1" s="1"/>
  <c r="N1293" i="1"/>
  <c r="P1293" i="1" s="1"/>
  <c r="N1294" i="1"/>
  <c r="P1294" i="1" s="1"/>
  <c r="N1295" i="1"/>
  <c r="P1295" i="1" s="1"/>
  <c r="N1296" i="1"/>
  <c r="P1296" i="1" s="1"/>
  <c r="N1297" i="1"/>
  <c r="P1297" i="1" s="1"/>
  <c r="N1298" i="1"/>
  <c r="P1298" i="1" s="1"/>
  <c r="N1299" i="1"/>
  <c r="P1299" i="1" s="1"/>
  <c r="N1300" i="1"/>
  <c r="P1300" i="1" s="1"/>
  <c r="N1301" i="1"/>
  <c r="P1301" i="1" s="1"/>
  <c r="N1302" i="1"/>
  <c r="P1302" i="1" s="1"/>
  <c r="N1303" i="1"/>
  <c r="P1303" i="1" s="1"/>
  <c r="N1304" i="1"/>
  <c r="P1304" i="1" s="1"/>
  <c r="N1305" i="1"/>
  <c r="P1305" i="1" s="1"/>
  <c r="N1306" i="1"/>
  <c r="P1306" i="1" s="1"/>
  <c r="N1307" i="1"/>
  <c r="P1307" i="1" s="1"/>
  <c r="N1308" i="1"/>
  <c r="P1308" i="1" s="1"/>
  <c r="N1309" i="1"/>
  <c r="P1309" i="1" s="1"/>
  <c r="N1310" i="1"/>
  <c r="P1310" i="1" s="1"/>
  <c r="N1311" i="1"/>
  <c r="P1311" i="1" s="1"/>
  <c r="N1312" i="1"/>
  <c r="P1312" i="1" s="1"/>
  <c r="N1313" i="1"/>
  <c r="P1313" i="1" s="1"/>
  <c r="N1314" i="1"/>
  <c r="P1314" i="1" s="1"/>
  <c r="N1315" i="1"/>
  <c r="P1315" i="1" s="1"/>
  <c r="N1316" i="1"/>
  <c r="P1316" i="1" s="1"/>
  <c r="N1317" i="1"/>
  <c r="P1317" i="1" s="1"/>
  <c r="N1318" i="1"/>
  <c r="P1318" i="1" s="1"/>
  <c r="N1319" i="1"/>
  <c r="P1319" i="1" s="1"/>
  <c r="N1320" i="1"/>
  <c r="P1320" i="1" s="1"/>
  <c r="N1321" i="1"/>
  <c r="P1321" i="1" s="1"/>
  <c r="N1322" i="1"/>
  <c r="P1322" i="1" s="1"/>
  <c r="N1323" i="1"/>
  <c r="P1323" i="1" s="1"/>
  <c r="N1324" i="1"/>
  <c r="P1324" i="1" s="1"/>
  <c r="N1325" i="1"/>
  <c r="P1325" i="1" s="1"/>
  <c r="N1326" i="1"/>
  <c r="P1326" i="1" s="1"/>
  <c r="N1327" i="1"/>
  <c r="P1327" i="1" s="1"/>
  <c r="N1328" i="1"/>
  <c r="P1328" i="1" s="1"/>
  <c r="N1329" i="1"/>
  <c r="P1329" i="1" s="1"/>
  <c r="N1330" i="1"/>
  <c r="P1330" i="1" s="1"/>
  <c r="N1331" i="1"/>
  <c r="P1331" i="1" s="1"/>
  <c r="N1332" i="1"/>
  <c r="P1332" i="1" s="1"/>
  <c r="N1333" i="1"/>
  <c r="P1333" i="1" s="1"/>
  <c r="N1334" i="1"/>
  <c r="P1334" i="1" s="1"/>
  <c r="N1335" i="1"/>
  <c r="P1335" i="1" s="1"/>
  <c r="N1336" i="1"/>
  <c r="P1336" i="1" s="1"/>
  <c r="N1337" i="1"/>
  <c r="P1337" i="1" s="1"/>
  <c r="N1338" i="1"/>
  <c r="P1338" i="1" s="1"/>
  <c r="N1339" i="1"/>
  <c r="P1339" i="1" s="1"/>
  <c r="N1340" i="1"/>
  <c r="P1340" i="1" s="1"/>
  <c r="N1341" i="1"/>
  <c r="P1341" i="1" s="1"/>
  <c r="N1342" i="1"/>
  <c r="P1342" i="1" s="1"/>
  <c r="N1343" i="1"/>
  <c r="P1343" i="1" s="1"/>
  <c r="N1344" i="1"/>
  <c r="P1344" i="1" s="1"/>
  <c r="N1345" i="1"/>
  <c r="P1345" i="1" s="1"/>
  <c r="N1346" i="1"/>
  <c r="P1346" i="1" s="1"/>
  <c r="N1347" i="1"/>
  <c r="P1347" i="1" s="1"/>
  <c r="N1348" i="1"/>
  <c r="P1348" i="1" s="1"/>
  <c r="N1349" i="1"/>
  <c r="P1349" i="1" s="1"/>
  <c r="N1350" i="1"/>
  <c r="P1350" i="1" s="1"/>
  <c r="N1351" i="1"/>
  <c r="P1351" i="1" s="1"/>
  <c r="N1352" i="1"/>
  <c r="P1352" i="1" s="1"/>
  <c r="N1353" i="1"/>
  <c r="P1353" i="1" s="1"/>
  <c r="N1354" i="1"/>
  <c r="P1354" i="1" s="1"/>
  <c r="N1355" i="1"/>
  <c r="P1355" i="1" s="1"/>
  <c r="N1356" i="1"/>
  <c r="P1356" i="1" s="1"/>
  <c r="N1357" i="1"/>
  <c r="P1357" i="1" s="1"/>
  <c r="N1358" i="1"/>
  <c r="P1358" i="1" s="1"/>
  <c r="N1359" i="1"/>
  <c r="P1359" i="1" s="1"/>
  <c r="N1360" i="1"/>
  <c r="P1360" i="1" s="1"/>
  <c r="N1361" i="1"/>
  <c r="P1361" i="1" s="1"/>
  <c r="N1362" i="1"/>
  <c r="P1362" i="1" s="1"/>
  <c r="N1363" i="1"/>
  <c r="P1363" i="1" s="1"/>
  <c r="N1364" i="1"/>
  <c r="P1364" i="1" s="1"/>
  <c r="N1365" i="1"/>
  <c r="P1365" i="1" s="1"/>
  <c r="N1366" i="1"/>
  <c r="P1366" i="1" s="1"/>
  <c r="N1367" i="1"/>
  <c r="P1367" i="1" s="1"/>
  <c r="N1368" i="1"/>
  <c r="P1368" i="1" s="1"/>
  <c r="N1369" i="1"/>
  <c r="P1369" i="1" s="1"/>
  <c r="N1370" i="1"/>
  <c r="P1370" i="1" s="1"/>
  <c r="N1371" i="1"/>
  <c r="P1371" i="1" s="1"/>
  <c r="N1372" i="1"/>
  <c r="P1372" i="1" s="1"/>
  <c r="N1373" i="1"/>
  <c r="P1373" i="1" s="1"/>
  <c r="N1374" i="1"/>
  <c r="P1374" i="1" s="1"/>
  <c r="N1375" i="1"/>
  <c r="P1375" i="1" s="1"/>
  <c r="N1376" i="1"/>
  <c r="P1376" i="1" s="1"/>
  <c r="N1377" i="1"/>
  <c r="P1377" i="1" s="1"/>
  <c r="N1378" i="1"/>
  <c r="P1378" i="1" s="1"/>
  <c r="N1379" i="1"/>
  <c r="P1379" i="1" s="1"/>
  <c r="N1380" i="1"/>
  <c r="P1380" i="1" s="1"/>
  <c r="N1381" i="1"/>
  <c r="P1381" i="1" s="1"/>
  <c r="N1382" i="1"/>
  <c r="P1382" i="1" s="1"/>
  <c r="N1383" i="1"/>
  <c r="P1383" i="1" s="1"/>
  <c r="N1384" i="1"/>
  <c r="P1384" i="1" s="1"/>
  <c r="N1385" i="1"/>
  <c r="P1385" i="1" s="1"/>
  <c r="N1386" i="1"/>
  <c r="P1386" i="1" s="1"/>
  <c r="N1387" i="1"/>
  <c r="P1387" i="1" s="1"/>
  <c r="N1388" i="1"/>
  <c r="P1388" i="1" s="1"/>
  <c r="N1389" i="1"/>
  <c r="P1389" i="1" s="1"/>
  <c r="N1390" i="1"/>
  <c r="P1390" i="1" s="1"/>
  <c r="N1391" i="1"/>
  <c r="P1391" i="1" s="1"/>
  <c r="N1392" i="1"/>
  <c r="P1392" i="1" s="1"/>
  <c r="N1393" i="1"/>
  <c r="P1393" i="1" s="1"/>
  <c r="N1394" i="1"/>
  <c r="P1394" i="1" s="1"/>
  <c r="N1395" i="1"/>
  <c r="P1395" i="1" s="1"/>
  <c r="N1396" i="1"/>
  <c r="P1396" i="1" s="1"/>
  <c r="N1397" i="1"/>
  <c r="P1397" i="1" s="1"/>
  <c r="N1398" i="1"/>
  <c r="P1398" i="1" s="1"/>
  <c r="N1399" i="1"/>
  <c r="P1399" i="1" s="1"/>
  <c r="N1400" i="1"/>
  <c r="P1400" i="1" s="1"/>
  <c r="N1401" i="1"/>
  <c r="P1401" i="1" s="1"/>
  <c r="N1402" i="1"/>
  <c r="P1402" i="1" s="1"/>
  <c r="N1403" i="1"/>
  <c r="P1403" i="1" s="1"/>
  <c r="N1404" i="1"/>
  <c r="P1404" i="1" s="1"/>
  <c r="N1405" i="1"/>
  <c r="P1405" i="1" s="1"/>
  <c r="N1406" i="1"/>
  <c r="P1406" i="1" s="1"/>
  <c r="N1407" i="1"/>
  <c r="P1407" i="1" s="1"/>
  <c r="N1408" i="1"/>
  <c r="P1408" i="1" s="1"/>
  <c r="N1409" i="1"/>
  <c r="P1409" i="1" s="1"/>
  <c r="N1410" i="1"/>
  <c r="P1410" i="1" s="1"/>
  <c r="N1411" i="1"/>
  <c r="P1411" i="1" s="1"/>
  <c r="N1412" i="1"/>
  <c r="P1412" i="1" s="1"/>
  <c r="N1413" i="1"/>
  <c r="P1413" i="1" s="1"/>
  <c r="N1414" i="1"/>
  <c r="P1414" i="1" s="1"/>
  <c r="N1415" i="1"/>
  <c r="P1415" i="1" s="1"/>
  <c r="N1416" i="1"/>
  <c r="P1416" i="1" s="1"/>
  <c r="N1417" i="1"/>
  <c r="P1417" i="1" s="1"/>
  <c r="N1418" i="1"/>
  <c r="P1418" i="1" s="1"/>
  <c r="N1419" i="1"/>
  <c r="P1419" i="1" s="1"/>
  <c r="N1420" i="1"/>
  <c r="P1420" i="1" s="1"/>
  <c r="N1421" i="1"/>
  <c r="P1421" i="1" s="1"/>
  <c r="N1422" i="1"/>
  <c r="P1422" i="1" s="1"/>
  <c r="N1423" i="1"/>
  <c r="P1423" i="1" s="1"/>
  <c r="N1424" i="1"/>
  <c r="P1424" i="1" s="1"/>
  <c r="N1425" i="1"/>
  <c r="P1425" i="1" s="1"/>
  <c r="N1426" i="1"/>
  <c r="P1426" i="1" s="1"/>
  <c r="N1427" i="1"/>
  <c r="P1427" i="1" s="1"/>
  <c r="N1428" i="1"/>
  <c r="P1428" i="1" s="1"/>
  <c r="N1429" i="1"/>
  <c r="P1429" i="1" s="1"/>
  <c r="N1430" i="1"/>
  <c r="P1430" i="1" s="1"/>
  <c r="N1431" i="1"/>
  <c r="P1431" i="1" s="1"/>
  <c r="N1432" i="1"/>
  <c r="P1432" i="1" s="1"/>
  <c r="N1433" i="1"/>
  <c r="P1433" i="1" s="1"/>
  <c r="N1434" i="1"/>
  <c r="P1434" i="1" s="1"/>
  <c r="N1435" i="1"/>
  <c r="P1435" i="1" s="1"/>
  <c r="N1436" i="1"/>
  <c r="P1436" i="1" s="1"/>
  <c r="N1437" i="1"/>
  <c r="P1437" i="1" s="1"/>
  <c r="N1438" i="1"/>
  <c r="P1438" i="1" s="1"/>
  <c r="N1439" i="1"/>
  <c r="P1439" i="1" s="1"/>
  <c r="N1440" i="1"/>
  <c r="P1440" i="1" s="1"/>
  <c r="N1441" i="1"/>
  <c r="P1441" i="1" s="1"/>
  <c r="N1442" i="1"/>
  <c r="P1442" i="1" s="1"/>
  <c r="N1443" i="1"/>
  <c r="P1443" i="1" s="1"/>
  <c r="N1444" i="1"/>
  <c r="P1444" i="1" s="1"/>
  <c r="N1445" i="1"/>
  <c r="P1445" i="1" s="1"/>
  <c r="N1446" i="1"/>
  <c r="P1446" i="1" s="1"/>
  <c r="N1447" i="1"/>
  <c r="P1447" i="1" s="1"/>
  <c r="N1448" i="1"/>
  <c r="P1448" i="1" s="1"/>
  <c r="N1449" i="1"/>
  <c r="P1449" i="1" s="1"/>
  <c r="N1450" i="1"/>
  <c r="P1450" i="1" s="1"/>
  <c r="N1451" i="1"/>
  <c r="P1451" i="1" s="1"/>
  <c r="N1452" i="1"/>
  <c r="P1452" i="1" s="1"/>
  <c r="N1453" i="1"/>
  <c r="P1453" i="1" s="1"/>
  <c r="N1454" i="1"/>
  <c r="P1454" i="1" s="1"/>
  <c r="N1455" i="1"/>
  <c r="P1455" i="1" s="1"/>
  <c r="N1456" i="1"/>
  <c r="P1456" i="1" s="1"/>
  <c r="N1457" i="1"/>
  <c r="P1457" i="1" s="1"/>
  <c r="N1458" i="1"/>
  <c r="P1458" i="1" s="1"/>
  <c r="N1459" i="1"/>
  <c r="P1459" i="1" s="1"/>
  <c r="N1460" i="1"/>
  <c r="P1460" i="1" s="1"/>
  <c r="N1461" i="1"/>
  <c r="P1461" i="1" s="1"/>
  <c r="N1462" i="1"/>
  <c r="P1462" i="1" s="1"/>
  <c r="N1463" i="1"/>
  <c r="P1463" i="1" s="1"/>
  <c r="N1464" i="1"/>
  <c r="P1464" i="1" s="1"/>
  <c r="N1465" i="1"/>
  <c r="P1465" i="1" s="1"/>
  <c r="N1466" i="1"/>
  <c r="P1466" i="1" s="1"/>
  <c r="N1467" i="1"/>
  <c r="P1467" i="1" s="1"/>
  <c r="N1468" i="1"/>
  <c r="P1468" i="1" s="1"/>
  <c r="N1469" i="1"/>
  <c r="P1469" i="1" s="1"/>
  <c r="N1470" i="1"/>
  <c r="P1470" i="1" s="1"/>
  <c r="N1471" i="1"/>
  <c r="P1471" i="1" s="1"/>
  <c r="N1472" i="1"/>
  <c r="P1472" i="1" s="1"/>
  <c r="N1473" i="1"/>
  <c r="P1473" i="1" s="1"/>
  <c r="N1474" i="1"/>
  <c r="P1474" i="1" s="1"/>
  <c r="N1475" i="1"/>
  <c r="P1475" i="1" s="1"/>
  <c r="N1476" i="1"/>
  <c r="P1476" i="1" s="1"/>
  <c r="N1477" i="1"/>
  <c r="P1477" i="1" s="1"/>
  <c r="N1478" i="1"/>
  <c r="P1478" i="1" s="1"/>
  <c r="N1479" i="1"/>
  <c r="P1479" i="1" s="1"/>
  <c r="N1480" i="1"/>
  <c r="P1480" i="1" s="1"/>
  <c r="N1481" i="1"/>
  <c r="P1481" i="1" s="1"/>
  <c r="N1482" i="1"/>
  <c r="P1482" i="1" s="1"/>
  <c r="N1483" i="1"/>
  <c r="P1483" i="1" s="1"/>
  <c r="N1484" i="1"/>
  <c r="P1484" i="1" s="1"/>
  <c r="N1485" i="1"/>
  <c r="P1485" i="1" s="1"/>
  <c r="N1486" i="1"/>
  <c r="P1486" i="1" s="1"/>
  <c r="N1487" i="1"/>
  <c r="P1487" i="1" s="1"/>
  <c r="N1488" i="1"/>
  <c r="P1488" i="1" s="1"/>
  <c r="N1489" i="1"/>
  <c r="P1489" i="1" s="1"/>
  <c r="N1490" i="1"/>
  <c r="P1490" i="1" s="1"/>
  <c r="N1491" i="1"/>
  <c r="P1491" i="1" s="1"/>
  <c r="N1492" i="1"/>
  <c r="P1492" i="1" s="1"/>
  <c r="N1493" i="1"/>
  <c r="P1493" i="1" s="1"/>
  <c r="N1494" i="1"/>
  <c r="P1494" i="1" s="1"/>
  <c r="N1495" i="1"/>
  <c r="P1495" i="1" s="1"/>
  <c r="N1496" i="1"/>
  <c r="P1496" i="1" s="1"/>
  <c r="N1497" i="1"/>
  <c r="P1497" i="1" s="1"/>
  <c r="N1498" i="1"/>
  <c r="P1498" i="1" s="1"/>
  <c r="N1499" i="1"/>
  <c r="P1499" i="1" s="1"/>
  <c r="N1500" i="1"/>
  <c r="P1500" i="1" s="1"/>
  <c r="N1501" i="1"/>
  <c r="P1501" i="1" s="1"/>
  <c r="N1502" i="1"/>
  <c r="P1502" i="1" s="1"/>
  <c r="N1503" i="1"/>
  <c r="P1503" i="1" s="1"/>
  <c r="N1504" i="1"/>
  <c r="P1504" i="1" s="1"/>
  <c r="N1505" i="1"/>
  <c r="P1505" i="1" s="1"/>
  <c r="N1506" i="1"/>
  <c r="P1506" i="1" s="1"/>
  <c r="N1507" i="1"/>
  <c r="P1507" i="1" s="1"/>
  <c r="N1508" i="1"/>
  <c r="P1508" i="1" s="1"/>
  <c r="N1509" i="1"/>
  <c r="P1509" i="1" s="1"/>
  <c r="N1510" i="1"/>
  <c r="P1510" i="1" s="1"/>
  <c r="N1511" i="1"/>
  <c r="P1511" i="1" s="1"/>
  <c r="N1512" i="1"/>
  <c r="P1512" i="1" s="1"/>
  <c r="N1513" i="1"/>
  <c r="P1513" i="1" s="1"/>
  <c r="N1514" i="1"/>
  <c r="P1514" i="1" s="1"/>
  <c r="N1515" i="1"/>
  <c r="P1515" i="1" s="1"/>
  <c r="N1516" i="1"/>
  <c r="P1516" i="1" s="1"/>
  <c r="N1517" i="1"/>
  <c r="P1517" i="1" s="1"/>
  <c r="N1518" i="1"/>
  <c r="P1518" i="1" s="1"/>
  <c r="N1519" i="1"/>
  <c r="P1519" i="1" s="1"/>
  <c r="N1520" i="1"/>
  <c r="P1520" i="1" s="1"/>
  <c r="N1521" i="1"/>
  <c r="P1521" i="1" s="1"/>
  <c r="N1522" i="1"/>
  <c r="P1522" i="1" s="1"/>
  <c r="N1523" i="1"/>
  <c r="P1523" i="1" s="1"/>
  <c r="N1524" i="1"/>
  <c r="P1524" i="1" s="1"/>
  <c r="N1525" i="1"/>
  <c r="P1525" i="1" s="1"/>
  <c r="N1526" i="1"/>
  <c r="P1526" i="1" s="1"/>
  <c r="N1527" i="1"/>
  <c r="P1527" i="1" s="1"/>
  <c r="N1528" i="1"/>
  <c r="P1528" i="1" s="1"/>
  <c r="N1529" i="1"/>
  <c r="P1529" i="1" s="1"/>
  <c r="N1530" i="1"/>
  <c r="P1530" i="1" s="1"/>
  <c r="N1531" i="1"/>
  <c r="P1531" i="1" s="1"/>
  <c r="N1532" i="1"/>
  <c r="P1532" i="1" s="1"/>
  <c r="N1533" i="1"/>
  <c r="P1533" i="1" s="1"/>
  <c r="N1534" i="1"/>
  <c r="P1534" i="1" s="1"/>
  <c r="N1535" i="1"/>
  <c r="P1535" i="1" s="1"/>
  <c r="N1536" i="1"/>
  <c r="P1536" i="1" s="1"/>
  <c r="N1537" i="1"/>
  <c r="P1537" i="1" s="1"/>
  <c r="N1538" i="1"/>
  <c r="P1538" i="1" s="1"/>
  <c r="N1539" i="1"/>
  <c r="P1539" i="1" s="1"/>
  <c r="N1540" i="1"/>
  <c r="P1540" i="1" s="1"/>
  <c r="N1541" i="1"/>
  <c r="P1541" i="1" s="1"/>
  <c r="N1542" i="1"/>
  <c r="P1542" i="1" s="1"/>
  <c r="N1543" i="1"/>
  <c r="P1543" i="1" s="1"/>
  <c r="N1544" i="1"/>
  <c r="P1544" i="1" s="1"/>
  <c r="N1545" i="1"/>
  <c r="P1545" i="1" s="1"/>
  <c r="N1546" i="1"/>
  <c r="P1546" i="1" s="1"/>
  <c r="N1547" i="1"/>
  <c r="P1547" i="1" s="1"/>
  <c r="N1548" i="1"/>
  <c r="P1548" i="1" s="1"/>
  <c r="N1549" i="1"/>
  <c r="P1549" i="1" s="1"/>
  <c r="N1550" i="1"/>
  <c r="P1550" i="1" s="1"/>
  <c r="N1551" i="1"/>
  <c r="P1551" i="1" s="1"/>
  <c r="N1552" i="1"/>
  <c r="P1552" i="1" s="1"/>
  <c r="N1553" i="1"/>
  <c r="P1553" i="1" s="1"/>
  <c r="N1554" i="1"/>
  <c r="P1554" i="1" s="1"/>
  <c r="N1555" i="1"/>
  <c r="P1555" i="1" s="1"/>
  <c r="N1556" i="1"/>
  <c r="P1556" i="1" s="1"/>
  <c r="N1557" i="1"/>
  <c r="P1557" i="1" s="1"/>
  <c r="N1558" i="1"/>
  <c r="P1558" i="1" s="1"/>
  <c r="N1559" i="1"/>
  <c r="P1559" i="1" s="1"/>
  <c r="N1560" i="1"/>
  <c r="P1560" i="1" s="1"/>
  <c r="N1561" i="1"/>
  <c r="P1561" i="1" s="1"/>
  <c r="N1562" i="1"/>
  <c r="P1562" i="1" s="1"/>
  <c r="N1563" i="1"/>
  <c r="P1563" i="1" s="1"/>
  <c r="N1564" i="1"/>
  <c r="P1564" i="1" s="1"/>
  <c r="N1565" i="1"/>
  <c r="P1565" i="1" s="1"/>
  <c r="N1566" i="1"/>
  <c r="P1566" i="1" s="1"/>
  <c r="N1567" i="1"/>
  <c r="P1567" i="1" s="1"/>
  <c r="N1568" i="1"/>
  <c r="P1568" i="1" s="1"/>
  <c r="N1569" i="1"/>
  <c r="P1569" i="1" s="1"/>
  <c r="N1570" i="1"/>
  <c r="P1570" i="1" s="1"/>
  <c r="N1571" i="1"/>
  <c r="P1571" i="1" s="1"/>
  <c r="N1572" i="1"/>
  <c r="P1572" i="1" s="1"/>
  <c r="N1573" i="1"/>
  <c r="P1573" i="1" s="1"/>
  <c r="N1574" i="1"/>
  <c r="P1574" i="1" s="1"/>
  <c r="N1575" i="1"/>
  <c r="P1575" i="1" s="1"/>
  <c r="N1576" i="1"/>
  <c r="P1576" i="1" s="1"/>
  <c r="N1577" i="1"/>
  <c r="P1577" i="1" s="1"/>
  <c r="N1578" i="1"/>
  <c r="P1578" i="1" s="1"/>
  <c r="N1579" i="1"/>
  <c r="P1579" i="1" s="1"/>
  <c r="N1580" i="1"/>
  <c r="P1580" i="1" s="1"/>
  <c r="N1581" i="1"/>
  <c r="P1581" i="1" s="1"/>
  <c r="N1582" i="1"/>
  <c r="P1582" i="1" s="1"/>
  <c r="N1583" i="1"/>
  <c r="P1583" i="1" s="1"/>
  <c r="N1584" i="1"/>
  <c r="P1584" i="1" s="1"/>
  <c r="N1585" i="1"/>
  <c r="P1585" i="1" s="1"/>
  <c r="N1586" i="1"/>
  <c r="P1586" i="1" s="1"/>
  <c r="N1587" i="1"/>
  <c r="P1587" i="1" s="1"/>
  <c r="N1588" i="1"/>
  <c r="P1588" i="1" s="1"/>
  <c r="N1589" i="1"/>
  <c r="P1589" i="1" s="1"/>
  <c r="N1590" i="1"/>
  <c r="P1590" i="1" s="1"/>
  <c r="N1591" i="1"/>
  <c r="P1591" i="1" s="1"/>
  <c r="N1592" i="1"/>
  <c r="P1592" i="1" s="1"/>
  <c r="N1593" i="1"/>
  <c r="P1593" i="1" s="1"/>
  <c r="N1594" i="1"/>
  <c r="P1594" i="1" s="1"/>
  <c r="N1595" i="1"/>
  <c r="P1595" i="1" s="1"/>
  <c r="N1596" i="1"/>
  <c r="P1596" i="1" s="1"/>
  <c r="N1597" i="1"/>
  <c r="P1597" i="1" s="1"/>
  <c r="N1598" i="1"/>
  <c r="P1598" i="1" s="1"/>
  <c r="N1599" i="1"/>
  <c r="P1599" i="1" s="1"/>
  <c r="N1600" i="1"/>
  <c r="P1600" i="1" s="1"/>
  <c r="N1601" i="1"/>
  <c r="P1601" i="1" s="1"/>
  <c r="N1602" i="1"/>
  <c r="P1602" i="1" s="1"/>
  <c r="N1603" i="1"/>
  <c r="P1603" i="1" s="1"/>
  <c r="N1604" i="1"/>
  <c r="P1604" i="1" s="1"/>
  <c r="N1605" i="1"/>
  <c r="P1605" i="1" s="1"/>
  <c r="N1606" i="1"/>
  <c r="P1606" i="1" s="1"/>
  <c r="N1607" i="1"/>
  <c r="P1607" i="1" s="1"/>
  <c r="N1608" i="1"/>
  <c r="P1608" i="1" s="1"/>
  <c r="N1609" i="1"/>
  <c r="P1609" i="1" s="1"/>
  <c r="N1610" i="1"/>
  <c r="P1610" i="1" s="1"/>
  <c r="N1611" i="1"/>
  <c r="P1611" i="1" s="1"/>
  <c r="N1612" i="1"/>
  <c r="P1612" i="1" s="1"/>
  <c r="N1613" i="1"/>
  <c r="P1613" i="1" s="1"/>
  <c r="N1614" i="1"/>
  <c r="P1614" i="1" s="1"/>
  <c r="N1615" i="1"/>
  <c r="P1615" i="1" s="1"/>
  <c r="N1616" i="1"/>
  <c r="P1616" i="1" s="1"/>
  <c r="N1617" i="1"/>
  <c r="P1617" i="1" s="1"/>
  <c r="N1618" i="1"/>
  <c r="P1618" i="1" s="1"/>
  <c r="N1619" i="1"/>
  <c r="P1619" i="1" s="1"/>
  <c r="N1620" i="1"/>
  <c r="P1620" i="1" s="1"/>
  <c r="N1621" i="1"/>
  <c r="P1621" i="1" s="1"/>
  <c r="N1622" i="1"/>
  <c r="P1622" i="1" s="1"/>
  <c r="N1623" i="1"/>
  <c r="P1623" i="1" s="1"/>
  <c r="N1624" i="1"/>
  <c r="P1624" i="1" s="1"/>
  <c r="N1625" i="1"/>
  <c r="P1625" i="1" s="1"/>
  <c r="N1626" i="1"/>
  <c r="P1626" i="1" s="1"/>
  <c r="N1627" i="1"/>
  <c r="P1627" i="1" s="1"/>
  <c r="N1628" i="1"/>
  <c r="P1628" i="1" s="1"/>
  <c r="N1629" i="1"/>
  <c r="P1629" i="1" s="1"/>
  <c r="N1630" i="1"/>
  <c r="P1630" i="1" s="1"/>
  <c r="N1631" i="1"/>
  <c r="P1631" i="1" s="1"/>
  <c r="N1632" i="1"/>
  <c r="P1632" i="1" s="1"/>
  <c r="N1633" i="1"/>
  <c r="P1633" i="1" s="1"/>
  <c r="N1634" i="1"/>
  <c r="P1634" i="1" s="1"/>
  <c r="N1635" i="1"/>
  <c r="P1635" i="1" s="1"/>
  <c r="N1636" i="1"/>
  <c r="P1636" i="1" s="1"/>
  <c r="N1637" i="1"/>
  <c r="P1637" i="1" s="1"/>
  <c r="N1638" i="1"/>
  <c r="P1638" i="1" s="1"/>
  <c r="N1639" i="1"/>
  <c r="P1639" i="1" s="1"/>
  <c r="N1640" i="1"/>
  <c r="P1640" i="1" s="1"/>
  <c r="N1641" i="1"/>
  <c r="P1641" i="1" s="1"/>
  <c r="N1642" i="1"/>
  <c r="P1642" i="1" s="1"/>
  <c r="N1643" i="1"/>
  <c r="P1643" i="1" s="1"/>
  <c r="N1644" i="1"/>
  <c r="P1644" i="1" s="1"/>
  <c r="N1645" i="1"/>
  <c r="P1645" i="1" s="1"/>
  <c r="N1646" i="1"/>
  <c r="P1646" i="1" s="1"/>
  <c r="N1647" i="1"/>
  <c r="P1647" i="1" s="1"/>
  <c r="N1648" i="1"/>
  <c r="P1648" i="1" s="1"/>
  <c r="N1649" i="1"/>
  <c r="P1649" i="1" s="1"/>
  <c r="N1650" i="1"/>
  <c r="P1650" i="1" s="1"/>
  <c r="N1651" i="1"/>
  <c r="P1651" i="1" s="1"/>
  <c r="N1652" i="1"/>
  <c r="P1652" i="1" s="1"/>
  <c r="N1653" i="1"/>
  <c r="P1653" i="1" s="1"/>
  <c r="N1654" i="1"/>
  <c r="P1654" i="1" s="1"/>
  <c r="N1655" i="1"/>
  <c r="P1655" i="1" s="1"/>
  <c r="N1656" i="1"/>
  <c r="P1656" i="1" s="1"/>
  <c r="N1657" i="1"/>
  <c r="P1657" i="1" s="1"/>
  <c r="N1658" i="1"/>
  <c r="P1658" i="1" s="1"/>
  <c r="N1659" i="1"/>
  <c r="P1659" i="1" s="1"/>
  <c r="N1660" i="1"/>
  <c r="P1660" i="1" s="1"/>
  <c r="N1661" i="1"/>
  <c r="P1661" i="1" s="1"/>
  <c r="N1662" i="1"/>
  <c r="P1662" i="1" s="1"/>
  <c r="N1663" i="1"/>
  <c r="P1663" i="1" s="1"/>
  <c r="N1664" i="1"/>
  <c r="P1664" i="1" s="1"/>
  <c r="N1665" i="1"/>
  <c r="P1665" i="1" s="1"/>
  <c r="N1666" i="1"/>
  <c r="P1666" i="1" s="1"/>
  <c r="N1667" i="1"/>
  <c r="P1667" i="1" s="1"/>
  <c r="N1668" i="1"/>
  <c r="P1668" i="1" s="1"/>
  <c r="N1669" i="1"/>
  <c r="P1669" i="1" s="1"/>
  <c r="N1670" i="1"/>
  <c r="P1670" i="1" s="1"/>
  <c r="N1671" i="1"/>
  <c r="P1671" i="1" s="1"/>
  <c r="N1672" i="1"/>
  <c r="P1672" i="1" s="1"/>
  <c r="N1673" i="1"/>
  <c r="P1673" i="1" s="1"/>
  <c r="N1674" i="1"/>
  <c r="P1674" i="1" s="1"/>
  <c r="N1675" i="1"/>
  <c r="P1675" i="1" s="1"/>
  <c r="N1676" i="1"/>
  <c r="P1676" i="1" s="1"/>
  <c r="N1677" i="1"/>
  <c r="P1677" i="1" s="1"/>
  <c r="N1678" i="1"/>
  <c r="P1678" i="1" s="1"/>
  <c r="N1679" i="1"/>
  <c r="P1679" i="1" s="1"/>
  <c r="N1680" i="1"/>
  <c r="P1680" i="1" s="1"/>
  <c r="N1681" i="1"/>
  <c r="P1681" i="1" s="1"/>
  <c r="N1682" i="1"/>
  <c r="P1682" i="1" s="1"/>
  <c r="N1683" i="1"/>
  <c r="P1683" i="1" s="1"/>
  <c r="N1684" i="1"/>
  <c r="P1684" i="1" s="1"/>
  <c r="N1685" i="1"/>
  <c r="P1685" i="1" s="1"/>
  <c r="N1686" i="1"/>
  <c r="P1686" i="1" s="1"/>
  <c r="N1687" i="1"/>
  <c r="P1687" i="1" s="1"/>
  <c r="N1688" i="1"/>
  <c r="P1688" i="1" s="1"/>
  <c r="N1689" i="1"/>
  <c r="P1689" i="1" s="1"/>
  <c r="N1690" i="1"/>
  <c r="P1690" i="1" s="1"/>
  <c r="N1691" i="1"/>
  <c r="P1691" i="1" s="1"/>
  <c r="N1692" i="1"/>
  <c r="P1692" i="1" s="1"/>
  <c r="N1693" i="1"/>
  <c r="P1693" i="1" s="1"/>
  <c r="N1694" i="1"/>
  <c r="P1694" i="1" s="1"/>
  <c r="N1695" i="1"/>
  <c r="P1695" i="1" s="1"/>
  <c r="N1696" i="1"/>
  <c r="P1696" i="1" s="1"/>
  <c r="N1697" i="1"/>
  <c r="P1697" i="1" s="1"/>
  <c r="N1698" i="1"/>
  <c r="P1698" i="1" s="1"/>
  <c r="N1699" i="1"/>
  <c r="P1699" i="1" s="1"/>
  <c r="N1700" i="1"/>
  <c r="P1700" i="1" s="1"/>
  <c r="N1701" i="1"/>
  <c r="P1701" i="1" s="1"/>
  <c r="N1702" i="1"/>
  <c r="P1702" i="1" s="1"/>
  <c r="N1703" i="1"/>
  <c r="P1703" i="1" s="1"/>
  <c r="N1704" i="1"/>
  <c r="P1704" i="1" s="1"/>
  <c r="N1705" i="1"/>
  <c r="P1705" i="1" s="1"/>
  <c r="N1706" i="1"/>
  <c r="P1706" i="1" s="1"/>
  <c r="N1707" i="1"/>
  <c r="P1707" i="1" s="1"/>
  <c r="N1708" i="1"/>
  <c r="P1708" i="1" s="1"/>
  <c r="N1709" i="1"/>
  <c r="P1709" i="1" s="1"/>
  <c r="N1710" i="1"/>
  <c r="P1710" i="1" s="1"/>
  <c r="N1711" i="1"/>
  <c r="P1711" i="1" s="1"/>
  <c r="N1712" i="1"/>
  <c r="P1712" i="1" s="1"/>
  <c r="N1713" i="1"/>
  <c r="P1713" i="1" s="1"/>
  <c r="N1714" i="1"/>
  <c r="P1714" i="1" s="1"/>
  <c r="N1715" i="1"/>
  <c r="P1715" i="1" s="1"/>
  <c r="N1716" i="1"/>
  <c r="P1716" i="1" s="1"/>
  <c r="N1717" i="1"/>
  <c r="P1717" i="1" s="1"/>
  <c r="N1718" i="1"/>
  <c r="P1718" i="1" s="1"/>
  <c r="N1719" i="1"/>
  <c r="P1719" i="1" s="1"/>
  <c r="N1720" i="1"/>
  <c r="P1720" i="1" s="1"/>
  <c r="N1721" i="1"/>
  <c r="P1721" i="1" s="1"/>
  <c r="N1722" i="1"/>
  <c r="P1722" i="1" s="1"/>
  <c r="N1723" i="1"/>
  <c r="P1723" i="1" s="1"/>
  <c r="N1724" i="1"/>
  <c r="P1724" i="1" s="1"/>
  <c r="N1725" i="1"/>
  <c r="P1725" i="1" s="1"/>
  <c r="N1726" i="1"/>
  <c r="P1726" i="1" s="1"/>
  <c r="N1727" i="1"/>
  <c r="P1727" i="1" s="1"/>
  <c r="N1728" i="1"/>
  <c r="P1728" i="1" s="1"/>
  <c r="N1729" i="1"/>
  <c r="P1729" i="1" s="1"/>
  <c r="N1730" i="1"/>
  <c r="P1730" i="1" s="1"/>
  <c r="N1731" i="1"/>
  <c r="P1731" i="1" s="1"/>
  <c r="N1732" i="1"/>
  <c r="P1732" i="1" s="1"/>
  <c r="N1733" i="1"/>
  <c r="P1733" i="1" s="1"/>
  <c r="N1734" i="1"/>
  <c r="P1734" i="1" s="1"/>
  <c r="N1735" i="1"/>
  <c r="P1735" i="1" s="1"/>
  <c r="N1736" i="1"/>
  <c r="P1736" i="1" s="1"/>
  <c r="N1737" i="1"/>
  <c r="P1737" i="1" s="1"/>
  <c r="N1738" i="1"/>
  <c r="P1738" i="1" s="1"/>
  <c r="N1739" i="1"/>
  <c r="P1739" i="1" s="1"/>
  <c r="N1740" i="1"/>
  <c r="P1740" i="1" s="1"/>
  <c r="N1741" i="1"/>
  <c r="P1741" i="1" s="1"/>
  <c r="N1742" i="1"/>
  <c r="P1742" i="1" s="1"/>
  <c r="N1743" i="1"/>
  <c r="P1743" i="1" s="1"/>
  <c r="N1744" i="1"/>
  <c r="P1744" i="1" s="1"/>
  <c r="N1745" i="1"/>
  <c r="P1745" i="1" s="1"/>
  <c r="N1746" i="1"/>
  <c r="P1746" i="1" s="1"/>
  <c r="N1747" i="1"/>
  <c r="P1747" i="1" s="1"/>
  <c r="N1748" i="1"/>
  <c r="P1748" i="1" s="1"/>
  <c r="N1749" i="1"/>
  <c r="P1749" i="1" s="1"/>
  <c r="N1750" i="1"/>
  <c r="P1750" i="1" s="1"/>
  <c r="N1751" i="1"/>
  <c r="P1751" i="1" s="1"/>
  <c r="N1752" i="1"/>
  <c r="P1752" i="1" s="1"/>
  <c r="N1753" i="1"/>
  <c r="P1753" i="1" s="1"/>
  <c r="N1754" i="1"/>
  <c r="P1754" i="1" s="1"/>
  <c r="N1755" i="1"/>
  <c r="P1755" i="1" s="1"/>
  <c r="N1756" i="1"/>
  <c r="P1756" i="1" s="1"/>
  <c r="N1757" i="1"/>
  <c r="P1757" i="1" s="1"/>
  <c r="N1758" i="1"/>
  <c r="P1758" i="1" s="1"/>
  <c r="N1759" i="1"/>
  <c r="P1759" i="1" s="1"/>
  <c r="N1760" i="1"/>
  <c r="P1760" i="1" s="1"/>
  <c r="N1761" i="1"/>
  <c r="P1761" i="1" s="1"/>
  <c r="N1762" i="1"/>
  <c r="P1762" i="1" s="1"/>
  <c r="N1763" i="1"/>
  <c r="P1763" i="1" s="1"/>
  <c r="N1764" i="1"/>
  <c r="P1764" i="1" s="1"/>
  <c r="N1765" i="1"/>
  <c r="P1765" i="1" s="1"/>
  <c r="N1766" i="1"/>
  <c r="P1766" i="1" s="1"/>
  <c r="N1767" i="1"/>
  <c r="P1767" i="1" s="1"/>
  <c r="N1768" i="1"/>
  <c r="P1768" i="1" s="1"/>
  <c r="N1769" i="1"/>
  <c r="P1769" i="1" s="1"/>
  <c r="N1770" i="1"/>
  <c r="P1770" i="1" s="1"/>
  <c r="N1771" i="1"/>
  <c r="P1771" i="1" s="1"/>
  <c r="N1772" i="1"/>
  <c r="P1772" i="1" s="1"/>
  <c r="N1773" i="1"/>
  <c r="P1773" i="1" s="1"/>
  <c r="N1774" i="1"/>
  <c r="P1774" i="1" s="1"/>
  <c r="N1775" i="1"/>
  <c r="P1775" i="1" s="1"/>
  <c r="N1776" i="1"/>
  <c r="P1776" i="1" s="1"/>
  <c r="N1777" i="1"/>
  <c r="P1777" i="1" s="1"/>
  <c r="N1778" i="1"/>
  <c r="P1778" i="1" s="1"/>
  <c r="N1779" i="1"/>
  <c r="P1779" i="1" s="1"/>
  <c r="N1780" i="1"/>
  <c r="P1780" i="1" s="1"/>
  <c r="N1781" i="1"/>
  <c r="P1781" i="1" s="1"/>
  <c r="N1782" i="1"/>
  <c r="P1782" i="1" s="1"/>
  <c r="N1783" i="1"/>
  <c r="P1783" i="1" s="1"/>
  <c r="N1784" i="1"/>
  <c r="P1784" i="1" s="1"/>
  <c r="N1785" i="1"/>
  <c r="P1785" i="1" s="1"/>
  <c r="N1786" i="1"/>
  <c r="P1786" i="1" s="1"/>
  <c r="N1787" i="1"/>
  <c r="P1787" i="1" s="1"/>
  <c r="N1788" i="1"/>
  <c r="P1788" i="1" s="1"/>
  <c r="N1789" i="1"/>
  <c r="P1789" i="1" s="1"/>
  <c r="N1790" i="1"/>
  <c r="P1790" i="1" s="1"/>
  <c r="N1791" i="1"/>
  <c r="P1791" i="1" s="1"/>
  <c r="N1792" i="1"/>
  <c r="P1792" i="1" s="1"/>
  <c r="N1793" i="1"/>
  <c r="P1793" i="1" s="1"/>
  <c r="N1794" i="1"/>
  <c r="P1794" i="1" s="1"/>
  <c r="N1795" i="1"/>
  <c r="P1795" i="1" s="1"/>
  <c r="N1796" i="1"/>
  <c r="P1796" i="1" s="1"/>
  <c r="N1797" i="1"/>
  <c r="P1797" i="1" s="1"/>
  <c r="N1798" i="1"/>
  <c r="P1798" i="1" s="1"/>
  <c r="N1799" i="1"/>
  <c r="P1799" i="1" s="1"/>
  <c r="N1800" i="1"/>
  <c r="P1800" i="1" s="1"/>
  <c r="N1801" i="1"/>
  <c r="P1801" i="1" s="1"/>
  <c r="N1802" i="1"/>
  <c r="P1802" i="1" s="1"/>
  <c r="N1803" i="1"/>
  <c r="P1803" i="1" s="1"/>
  <c r="N1804" i="1"/>
  <c r="P1804" i="1" s="1"/>
  <c r="N1805" i="1"/>
  <c r="P1805" i="1" s="1"/>
  <c r="N1806" i="1"/>
  <c r="P1806" i="1" s="1"/>
  <c r="N1807" i="1"/>
  <c r="P1807" i="1" s="1"/>
  <c r="N1808" i="1"/>
  <c r="P1808" i="1" s="1"/>
  <c r="N1809" i="1"/>
  <c r="P1809" i="1" s="1"/>
  <c r="N1810" i="1"/>
  <c r="P1810" i="1" s="1"/>
  <c r="N1811" i="1"/>
  <c r="P1811" i="1" s="1"/>
  <c r="N1812" i="1"/>
  <c r="P1812" i="1" s="1"/>
  <c r="N1813" i="1"/>
  <c r="P1813" i="1" s="1"/>
  <c r="N1814" i="1"/>
  <c r="P1814" i="1" s="1"/>
  <c r="N1815" i="1"/>
  <c r="P1815" i="1" s="1"/>
  <c r="N1816" i="1"/>
  <c r="P1816" i="1" s="1"/>
  <c r="N1817" i="1"/>
  <c r="P1817" i="1" s="1"/>
  <c r="N1818" i="1"/>
  <c r="P1818" i="1" s="1"/>
  <c r="N1819" i="1"/>
  <c r="P1819" i="1" s="1"/>
  <c r="N1820" i="1"/>
  <c r="P1820" i="1" s="1"/>
  <c r="N1821" i="1"/>
  <c r="P1821" i="1" s="1"/>
  <c r="N1822" i="1"/>
  <c r="P1822" i="1" s="1"/>
  <c r="N1823" i="1"/>
  <c r="P1823" i="1" s="1"/>
  <c r="N1824" i="1"/>
  <c r="P1824" i="1" s="1"/>
  <c r="N1825" i="1"/>
  <c r="P1825" i="1" s="1"/>
  <c r="N1826" i="1"/>
  <c r="P1826" i="1" s="1"/>
  <c r="N1827" i="1"/>
  <c r="P1827" i="1" s="1"/>
  <c r="N1828" i="1"/>
  <c r="P1828" i="1" s="1"/>
  <c r="N1829" i="1"/>
  <c r="P1829" i="1" s="1"/>
  <c r="N1830" i="1"/>
  <c r="P1830" i="1" s="1"/>
  <c r="N1831" i="1"/>
  <c r="P1831" i="1" s="1"/>
  <c r="N1832" i="1"/>
  <c r="P1832" i="1" s="1"/>
  <c r="N1833" i="1"/>
  <c r="P1833" i="1" s="1"/>
  <c r="N1834" i="1"/>
  <c r="P1834" i="1" s="1"/>
  <c r="N1835" i="1"/>
  <c r="P1835" i="1" s="1"/>
  <c r="N1836" i="1"/>
  <c r="P1836" i="1" s="1"/>
  <c r="N1837" i="1"/>
  <c r="P1837" i="1" s="1"/>
  <c r="N1838" i="1"/>
  <c r="P1838" i="1" s="1"/>
  <c r="N1839" i="1"/>
  <c r="P1839" i="1" s="1"/>
  <c r="N1840" i="1"/>
  <c r="P1840" i="1" s="1"/>
  <c r="N1841" i="1"/>
  <c r="P1841" i="1" s="1"/>
  <c r="N1842" i="1"/>
  <c r="P1842" i="1" s="1"/>
  <c r="N1843" i="1"/>
  <c r="P1843" i="1" s="1"/>
  <c r="N1844" i="1"/>
  <c r="P1844" i="1" s="1"/>
  <c r="N1845" i="1"/>
  <c r="P1845" i="1" s="1"/>
  <c r="N1846" i="1"/>
  <c r="P1846" i="1" s="1"/>
  <c r="N1847" i="1"/>
  <c r="P1847" i="1" s="1"/>
  <c r="N1848" i="1"/>
  <c r="P1848" i="1" s="1"/>
  <c r="N1849" i="1"/>
  <c r="P1849" i="1" s="1"/>
  <c r="N1850" i="1"/>
  <c r="P1850" i="1" s="1"/>
  <c r="N1851" i="1"/>
  <c r="P1851" i="1" s="1"/>
  <c r="N1852" i="1"/>
  <c r="P1852" i="1" s="1"/>
  <c r="N1853" i="1"/>
  <c r="P1853" i="1" s="1"/>
  <c r="N1854" i="1"/>
  <c r="P1854" i="1" s="1"/>
  <c r="N1855" i="1"/>
  <c r="P1855" i="1" s="1"/>
  <c r="N1856" i="1"/>
  <c r="P1856" i="1" s="1"/>
  <c r="N1857" i="1"/>
  <c r="P1857" i="1" s="1"/>
  <c r="N1858" i="1"/>
  <c r="P1858" i="1" s="1"/>
  <c r="N1859" i="1"/>
  <c r="P1859" i="1" s="1"/>
  <c r="N1860" i="1"/>
  <c r="P1860" i="1" s="1"/>
  <c r="N1861" i="1"/>
  <c r="P1861" i="1" s="1"/>
  <c r="N1862" i="1"/>
  <c r="P1862" i="1" s="1"/>
  <c r="N1863" i="1"/>
  <c r="P1863" i="1" s="1"/>
  <c r="N1864" i="1"/>
  <c r="P1864" i="1" s="1"/>
  <c r="N1865" i="1"/>
  <c r="P1865" i="1" s="1"/>
  <c r="N1866" i="1"/>
  <c r="P1866" i="1" s="1"/>
  <c r="N1867" i="1"/>
  <c r="P1867" i="1" s="1"/>
  <c r="N1868" i="1"/>
  <c r="P1868" i="1" s="1"/>
  <c r="N1869" i="1"/>
  <c r="P1869" i="1" s="1"/>
  <c r="N1870" i="1"/>
  <c r="P1870" i="1" s="1"/>
  <c r="N1871" i="1"/>
  <c r="P1871" i="1" s="1"/>
  <c r="N1872" i="1"/>
  <c r="P1872" i="1" s="1"/>
  <c r="N1873" i="1"/>
  <c r="P1873" i="1" s="1"/>
  <c r="N1874" i="1"/>
  <c r="P1874" i="1" s="1"/>
  <c r="N1875" i="1"/>
  <c r="P1875" i="1" s="1"/>
  <c r="N1876" i="1"/>
  <c r="P1876" i="1" s="1"/>
  <c r="N1877" i="1"/>
  <c r="P1877" i="1" s="1"/>
  <c r="N1878" i="1"/>
  <c r="P1878" i="1" s="1"/>
  <c r="N1879" i="1"/>
  <c r="P1879" i="1" s="1"/>
  <c r="N1880" i="1"/>
  <c r="P1880" i="1" s="1"/>
  <c r="N1881" i="1"/>
  <c r="P1881" i="1" s="1"/>
  <c r="N1882" i="1"/>
  <c r="P1882" i="1" s="1"/>
  <c r="N1883" i="1"/>
  <c r="P1883" i="1" s="1"/>
  <c r="N1884" i="1"/>
  <c r="P1884" i="1" s="1"/>
  <c r="N1885" i="1"/>
  <c r="P1885" i="1" s="1"/>
  <c r="N1886" i="1"/>
  <c r="P1886" i="1" s="1"/>
  <c r="N1887" i="1"/>
  <c r="P1887" i="1" s="1"/>
  <c r="N1888" i="1"/>
  <c r="P1888" i="1" s="1"/>
  <c r="N1889" i="1"/>
  <c r="P1889" i="1" s="1"/>
  <c r="N1890" i="1"/>
  <c r="P1890" i="1" s="1"/>
  <c r="N1891" i="1"/>
  <c r="P1891" i="1" s="1"/>
  <c r="N1892" i="1"/>
  <c r="P1892" i="1" s="1"/>
  <c r="N1893" i="1"/>
  <c r="P1893" i="1" s="1"/>
  <c r="N1894" i="1"/>
  <c r="P1894" i="1" s="1"/>
  <c r="N1895" i="1"/>
  <c r="P1895" i="1" s="1"/>
  <c r="N1896" i="1"/>
  <c r="P1896" i="1" s="1"/>
  <c r="N1897" i="1"/>
  <c r="P1897" i="1" s="1"/>
  <c r="N1898" i="1"/>
  <c r="P1898" i="1" s="1"/>
  <c r="N1899" i="1"/>
  <c r="P1899" i="1" s="1"/>
  <c r="N1900" i="1"/>
  <c r="P1900" i="1" s="1"/>
  <c r="N1901" i="1"/>
  <c r="P1901" i="1" s="1"/>
  <c r="N1902" i="1"/>
  <c r="P1902" i="1" s="1"/>
  <c r="N1903" i="1"/>
  <c r="P1903" i="1" s="1"/>
  <c r="N1904" i="1"/>
  <c r="P1904" i="1" s="1"/>
  <c r="N1905" i="1"/>
  <c r="P1905" i="1" s="1"/>
  <c r="N1906" i="1"/>
  <c r="P1906" i="1" s="1"/>
  <c r="N1907" i="1"/>
  <c r="P1907" i="1" s="1"/>
  <c r="N1908" i="1"/>
  <c r="P1908" i="1" s="1"/>
  <c r="N1909" i="1"/>
  <c r="P1909" i="1" s="1"/>
  <c r="N1910" i="1"/>
  <c r="P1910" i="1" s="1"/>
  <c r="N1911" i="1"/>
  <c r="P1911" i="1" s="1"/>
  <c r="N1912" i="1"/>
  <c r="P1912" i="1" s="1"/>
  <c r="N1913" i="1"/>
  <c r="P1913" i="1" s="1"/>
  <c r="N1914" i="1"/>
  <c r="P1914" i="1" s="1"/>
  <c r="N1915" i="1"/>
  <c r="P1915" i="1" s="1"/>
  <c r="N1916" i="1"/>
  <c r="P1916" i="1" s="1"/>
  <c r="N1917" i="1"/>
  <c r="P1917" i="1" s="1"/>
  <c r="N1918" i="1"/>
  <c r="P1918" i="1" s="1"/>
  <c r="N1919" i="1"/>
  <c r="P1919" i="1" s="1"/>
  <c r="N1920" i="1"/>
  <c r="P1920" i="1" s="1"/>
  <c r="N1921" i="1"/>
  <c r="P1921" i="1" s="1"/>
  <c r="N1922" i="1"/>
  <c r="P1922" i="1" s="1"/>
  <c r="N1923" i="1"/>
  <c r="P1923" i="1" s="1"/>
  <c r="N1924" i="1"/>
  <c r="P1924" i="1" s="1"/>
  <c r="N1925" i="1"/>
  <c r="P1925" i="1" s="1"/>
  <c r="N1926" i="1"/>
  <c r="P1926" i="1" s="1"/>
  <c r="N1927" i="1"/>
  <c r="P1927" i="1" s="1"/>
  <c r="N1928" i="1"/>
  <c r="P1928" i="1" s="1"/>
  <c r="N1929" i="1"/>
  <c r="P1929" i="1" s="1"/>
  <c r="N1930" i="1"/>
  <c r="P1930" i="1" s="1"/>
  <c r="N1931" i="1"/>
  <c r="P1931" i="1" s="1"/>
  <c r="N1932" i="1"/>
  <c r="P1932" i="1" s="1"/>
  <c r="N1933" i="1"/>
  <c r="P1933" i="1" s="1"/>
  <c r="N1934" i="1"/>
  <c r="P1934" i="1" s="1"/>
  <c r="N1935" i="1"/>
  <c r="P1935" i="1" s="1"/>
  <c r="N1936" i="1"/>
  <c r="P1936" i="1" s="1"/>
  <c r="N1937" i="1"/>
  <c r="P1937" i="1" s="1"/>
  <c r="N1938" i="1"/>
  <c r="P1938" i="1" s="1"/>
  <c r="N1939" i="1"/>
  <c r="P1939" i="1" s="1"/>
  <c r="N1940" i="1"/>
  <c r="P1940" i="1" s="1"/>
  <c r="N1941" i="1"/>
  <c r="P1941" i="1" s="1"/>
  <c r="N1942" i="1"/>
  <c r="P1942" i="1" s="1"/>
  <c r="N1943" i="1"/>
  <c r="P1943" i="1" s="1"/>
  <c r="N1944" i="1"/>
  <c r="P1944" i="1" s="1"/>
  <c r="N1945" i="1"/>
  <c r="P1945" i="1" s="1"/>
  <c r="N1946" i="1"/>
  <c r="P1946" i="1" s="1"/>
  <c r="N1947" i="1"/>
  <c r="P1947" i="1" s="1"/>
  <c r="N1948" i="1"/>
  <c r="P1948" i="1" s="1"/>
  <c r="N1949" i="1"/>
  <c r="P1949" i="1" s="1"/>
  <c r="N1950" i="1"/>
  <c r="P1950" i="1" s="1"/>
  <c r="N1951" i="1"/>
  <c r="P1951" i="1" s="1"/>
  <c r="N1952" i="1"/>
  <c r="P1952" i="1" s="1"/>
  <c r="N1953" i="1"/>
  <c r="P1953" i="1" s="1"/>
  <c r="N1954" i="1"/>
  <c r="P1954" i="1" s="1"/>
  <c r="N1955" i="1"/>
  <c r="P1955" i="1" s="1"/>
  <c r="N1956" i="1"/>
  <c r="P1956" i="1" s="1"/>
  <c r="N1957" i="1"/>
  <c r="P1957" i="1" s="1"/>
  <c r="N1958" i="1"/>
  <c r="P1958" i="1" s="1"/>
  <c r="N1959" i="1"/>
  <c r="P1959" i="1" s="1"/>
  <c r="N1960" i="1"/>
  <c r="P1960" i="1" s="1"/>
  <c r="N1961" i="1"/>
  <c r="P1961" i="1" s="1"/>
  <c r="N1962" i="1"/>
  <c r="P1962" i="1" s="1"/>
  <c r="N1963" i="1"/>
  <c r="P1963" i="1" s="1"/>
  <c r="N1964" i="1"/>
  <c r="P1964" i="1" s="1"/>
  <c r="N1965" i="1"/>
  <c r="P1965" i="1" s="1"/>
  <c r="N1966" i="1"/>
  <c r="P1966" i="1" s="1"/>
  <c r="N1967" i="1"/>
  <c r="P1967" i="1" s="1"/>
  <c r="N1968" i="1"/>
  <c r="P1968" i="1" s="1"/>
  <c r="N1969" i="1"/>
  <c r="P1969" i="1" s="1"/>
  <c r="N1970" i="1"/>
  <c r="P1970" i="1" s="1"/>
  <c r="N1971" i="1"/>
  <c r="P1971" i="1" s="1"/>
  <c r="N1972" i="1"/>
  <c r="P1972" i="1" s="1"/>
  <c r="N1973" i="1"/>
  <c r="P1973" i="1" s="1"/>
  <c r="N1974" i="1"/>
  <c r="P1974" i="1" s="1"/>
  <c r="N1975" i="1"/>
  <c r="P1975" i="1" s="1"/>
  <c r="N1976" i="1"/>
  <c r="P1976" i="1" s="1"/>
  <c r="N1977" i="1"/>
  <c r="P1977" i="1" s="1"/>
  <c r="N1978" i="1"/>
  <c r="P1978" i="1" s="1"/>
  <c r="N1979" i="1"/>
  <c r="P1979" i="1" s="1"/>
  <c r="N1980" i="1"/>
  <c r="P1980" i="1" s="1"/>
  <c r="N1981" i="1"/>
  <c r="P1981" i="1" s="1"/>
  <c r="N1982" i="1"/>
  <c r="P1982" i="1" s="1"/>
  <c r="N1983" i="1"/>
  <c r="P1983" i="1" s="1"/>
  <c r="N1984" i="1"/>
  <c r="P1984" i="1" s="1"/>
  <c r="N1985" i="1"/>
  <c r="P1985" i="1" s="1"/>
  <c r="N1986" i="1"/>
  <c r="P1986" i="1" s="1"/>
  <c r="N1987" i="1"/>
  <c r="P1987" i="1" s="1"/>
  <c r="N1988" i="1"/>
  <c r="P1988" i="1" s="1"/>
  <c r="N1989" i="1"/>
  <c r="P1989" i="1" s="1"/>
  <c r="N1990" i="1"/>
  <c r="P1990" i="1" s="1"/>
  <c r="N1991" i="1"/>
  <c r="P1991" i="1" s="1"/>
  <c r="N1992" i="1"/>
  <c r="P1992" i="1" s="1"/>
  <c r="N1993" i="1"/>
  <c r="P1993" i="1" s="1"/>
  <c r="N1994" i="1"/>
  <c r="P1994" i="1" s="1"/>
  <c r="N1995" i="1"/>
  <c r="P1995" i="1" s="1"/>
  <c r="N1996" i="1"/>
  <c r="P1996" i="1" s="1"/>
  <c r="N1997" i="1"/>
  <c r="P1997" i="1" s="1"/>
  <c r="N1998" i="1"/>
  <c r="P1998" i="1" s="1"/>
  <c r="N1999" i="1"/>
  <c r="P1999" i="1" s="1"/>
  <c r="N2000" i="1"/>
  <c r="P2000" i="1" s="1"/>
  <c r="N2001" i="1"/>
  <c r="P2001" i="1" s="1"/>
  <c r="N2002" i="1"/>
  <c r="P2002" i="1" s="1"/>
  <c r="N2003" i="1"/>
  <c r="P2003" i="1" s="1"/>
  <c r="N2004" i="1"/>
  <c r="P2004" i="1" s="1"/>
  <c r="N2005" i="1"/>
  <c r="P2005" i="1" s="1"/>
  <c r="N2006" i="1"/>
  <c r="P2006" i="1" s="1"/>
  <c r="N2007" i="1"/>
  <c r="P2007" i="1" s="1"/>
  <c r="N2008" i="1"/>
  <c r="P2008" i="1" s="1"/>
  <c r="N2009" i="1"/>
  <c r="P2009" i="1" s="1"/>
  <c r="N2010" i="1"/>
  <c r="P2010" i="1" s="1"/>
  <c r="N2011" i="1"/>
  <c r="P2011" i="1" s="1"/>
  <c r="N2012" i="1"/>
  <c r="P2012" i="1" s="1"/>
  <c r="N2013" i="1"/>
  <c r="P2013" i="1" s="1"/>
  <c r="N2014" i="1"/>
  <c r="P2014" i="1" s="1"/>
  <c r="N2015" i="1"/>
  <c r="P2015" i="1" s="1"/>
  <c r="N2016" i="1"/>
  <c r="P2016" i="1" s="1"/>
  <c r="N2017" i="1"/>
  <c r="P2017" i="1" s="1"/>
  <c r="N2018" i="1"/>
  <c r="P2018" i="1" s="1"/>
  <c r="N2019" i="1"/>
  <c r="P2019" i="1" s="1"/>
  <c r="N2020" i="1"/>
  <c r="P2020" i="1" s="1"/>
  <c r="N2021" i="1"/>
  <c r="P2021" i="1" s="1"/>
  <c r="N2022" i="1"/>
  <c r="P2022" i="1" s="1"/>
  <c r="N2023" i="1"/>
  <c r="P2023" i="1" s="1"/>
  <c r="N2024" i="1"/>
  <c r="P2024" i="1" s="1"/>
  <c r="N2025" i="1"/>
  <c r="P2025" i="1" s="1"/>
  <c r="N2026" i="1"/>
  <c r="P2026" i="1" s="1"/>
  <c r="N2027" i="1"/>
  <c r="P2027" i="1" s="1"/>
  <c r="N2028" i="1"/>
  <c r="P2028" i="1" s="1"/>
  <c r="N2029" i="1"/>
  <c r="P2029" i="1" s="1"/>
  <c r="N2030" i="1"/>
  <c r="P2030" i="1" s="1"/>
  <c r="N2031" i="1"/>
  <c r="P2031" i="1" s="1"/>
  <c r="N2032" i="1"/>
  <c r="P2032" i="1" s="1"/>
  <c r="N2033" i="1"/>
  <c r="P2033" i="1" s="1"/>
  <c r="N2034" i="1"/>
  <c r="P2034" i="1" s="1"/>
  <c r="N2035" i="1"/>
  <c r="P2035" i="1" s="1"/>
  <c r="N2036" i="1"/>
  <c r="P2036" i="1" s="1"/>
  <c r="N2037" i="1"/>
  <c r="P2037" i="1" s="1"/>
  <c r="N2038" i="1"/>
  <c r="P2038" i="1" s="1"/>
  <c r="N2039" i="1"/>
  <c r="P2039" i="1" s="1"/>
  <c r="N2040" i="1"/>
  <c r="P2040" i="1" s="1"/>
  <c r="N2041" i="1"/>
  <c r="P2041" i="1" s="1"/>
  <c r="N2042" i="1"/>
  <c r="P2042" i="1" s="1"/>
  <c r="N2043" i="1"/>
  <c r="P2043" i="1" s="1"/>
  <c r="N2044" i="1"/>
  <c r="P2044" i="1" s="1"/>
  <c r="N2045" i="1"/>
  <c r="P2045" i="1" s="1"/>
  <c r="N2046" i="1"/>
  <c r="P2046" i="1" s="1"/>
  <c r="N2047" i="1"/>
  <c r="P2047" i="1" s="1"/>
  <c r="N2048" i="1"/>
  <c r="P2048" i="1" s="1"/>
  <c r="N2049" i="1"/>
  <c r="P2049" i="1" s="1"/>
  <c r="N2050" i="1"/>
  <c r="P2050" i="1" s="1"/>
  <c r="N2051" i="1"/>
  <c r="P2051" i="1" s="1"/>
  <c r="N2052" i="1"/>
  <c r="P2052" i="1" s="1"/>
  <c r="N2053" i="1"/>
  <c r="P2053" i="1" s="1"/>
  <c r="N2054" i="1"/>
  <c r="P2054" i="1" s="1"/>
  <c r="N2055" i="1"/>
  <c r="P2055" i="1" s="1"/>
  <c r="N2056" i="1"/>
  <c r="P2056" i="1" s="1"/>
  <c r="N2057" i="1"/>
  <c r="P2057" i="1" s="1"/>
  <c r="N2058" i="1"/>
  <c r="P2058" i="1" s="1"/>
  <c r="N2059" i="1"/>
  <c r="P2059" i="1" s="1"/>
  <c r="N2060" i="1"/>
  <c r="P2060" i="1" s="1"/>
  <c r="N2061" i="1"/>
  <c r="P2061" i="1" s="1"/>
  <c r="N2062" i="1"/>
  <c r="P2062" i="1" s="1"/>
  <c r="N2063" i="1"/>
  <c r="P2063" i="1" s="1"/>
  <c r="N2064" i="1"/>
  <c r="P2064" i="1" s="1"/>
  <c r="N2065" i="1"/>
  <c r="P2065" i="1" s="1"/>
  <c r="N2066" i="1"/>
  <c r="P2066" i="1" s="1"/>
  <c r="N2067" i="1"/>
  <c r="P2067" i="1" s="1"/>
  <c r="N2068" i="1"/>
  <c r="P2068" i="1" s="1"/>
  <c r="N2069" i="1"/>
  <c r="P2069" i="1" s="1"/>
  <c r="N2070" i="1"/>
  <c r="P2070" i="1" s="1"/>
  <c r="N2071" i="1"/>
  <c r="P2071" i="1" s="1"/>
  <c r="N2072" i="1"/>
  <c r="P2072" i="1" s="1"/>
  <c r="N2073" i="1"/>
  <c r="P2073" i="1" s="1"/>
  <c r="N2074" i="1"/>
  <c r="P2074" i="1" s="1"/>
  <c r="N2075" i="1"/>
  <c r="P2075" i="1" s="1"/>
  <c r="N2076" i="1"/>
  <c r="P2076" i="1" s="1"/>
  <c r="N2077" i="1"/>
  <c r="P2077" i="1" s="1"/>
  <c r="N2078" i="1"/>
  <c r="P2078" i="1" s="1"/>
  <c r="N2079" i="1"/>
  <c r="P2079" i="1" s="1"/>
  <c r="N2080" i="1"/>
  <c r="P2080" i="1" s="1"/>
  <c r="N2081" i="1"/>
  <c r="P2081" i="1" s="1"/>
  <c r="N2082" i="1"/>
  <c r="P2082" i="1" s="1"/>
  <c r="N2083" i="1"/>
  <c r="P2083" i="1" s="1"/>
  <c r="N2084" i="1"/>
  <c r="P2084" i="1" s="1"/>
  <c r="N2085" i="1"/>
  <c r="P2085" i="1" s="1"/>
  <c r="N2086" i="1"/>
  <c r="P2086" i="1" s="1"/>
  <c r="N2087" i="1"/>
  <c r="P2087" i="1" s="1"/>
  <c r="N2088" i="1"/>
  <c r="P2088" i="1" s="1"/>
  <c r="N2089" i="1"/>
  <c r="P2089" i="1" s="1"/>
  <c r="N2090" i="1"/>
  <c r="P2090" i="1" s="1"/>
  <c r="N2091" i="1"/>
  <c r="P2091" i="1" s="1"/>
  <c r="N2092" i="1"/>
  <c r="P2092" i="1" s="1"/>
  <c r="N2093" i="1"/>
  <c r="P2093" i="1" s="1"/>
  <c r="N2094" i="1"/>
  <c r="P2094" i="1" s="1"/>
  <c r="N2095" i="1"/>
  <c r="P2095" i="1" s="1"/>
  <c r="N2096" i="1"/>
  <c r="P2096" i="1" s="1"/>
  <c r="N2097" i="1"/>
  <c r="P2097" i="1" s="1"/>
  <c r="N2098" i="1"/>
  <c r="P2098" i="1" s="1"/>
  <c r="N2099" i="1"/>
  <c r="P2099" i="1" s="1"/>
</calcChain>
</file>

<file path=xl/sharedStrings.xml><?xml version="1.0" encoding="utf-8"?>
<sst xmlns="http://schemas.openxmlformats.org/spreadsheetml/2006/main" count="16853" uniqueCount="195">
  <si>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</si>
  <si>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</si>
  <si>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</si>
  <si>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</si>
  <si>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</si>
  <si>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</si>
  <si>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</si>
  <si>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</si>
  <si>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</si>
  <si>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</si>
  <si>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group or google</t>
  </si>
  <si>
    <t>Just make sure you do your best</t>
  </si>
  <si>
    <t>It doesn't have to be 100%</t>
  </si>
  <si>
    <t>And don't forget to watch the excel project video for direction❤️</t>
  </si>
  <si>
    <t>For any questions: https://t.me/+iwOKnjc8OecxODQ0</t>
  </si>
  <si>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</si>
  <si>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</si>
  <si>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</si>
  <si>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</si>
  <si>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</si>
  <si>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</si>
  <si>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</si>
  <si>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</si>
  <si>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</si>
  <si>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</si>
  <si>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</si>
  <si>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</si>
  <si>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</si>
  <si>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</si>
  <si>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</si>
  <si>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</si>
  <si>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</si>
  <si>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</si>
  <si>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</si>
  <si>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</si>
  <si>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</si>
  <si>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</si>
  <si>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</si>
  <si>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</si>
  <si>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</si>
  <si>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</si>
  <si>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</si>
  <si>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</si>
  <si>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</si>
  <si>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</si>
  <si>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</si>
  <si>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</si>
  <si>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</si>
  <si>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</si>
  <si>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</si>
  <si>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</si>
  <si>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</si>
  <si>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</si>
  <si>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</si>
  <si>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</si>
  <si>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</si>
  <si>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</si>
  <si>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</si>
  <si>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</si>
  <si>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</si>
  <si>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</si>
  <si>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</si>
  <si>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</si>
  <si>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</si>
  <si>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</si>
  <si>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</si>
  <si>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</si>
  <si>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</si>
  <si>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</si>
  <si>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</si>
  <si>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</si>
  <si>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</si>
  <si>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</si>
  <si>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</si>
  <si>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</si>
  <si>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</si>
  <si>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</si>
  <si>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</si>
  <si>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</si>
  <si>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</si>
  <si>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</si>
  <si>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</si>
  <si>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</si>
  <si>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</si>
  <si>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</si>
  <si>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</si>
  <si>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</si>
  <si>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</si>
  <si>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</si>
  <si>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</si>
  <si>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</si>
  <si>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</si>
  <si>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</si>
  <si>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</si>
  <si>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</si>
  <si>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</si>
  <si>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</si>
  <si>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</si>
  <si>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</si>
  <si>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</si>
  <si>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</si>
  <si>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</si>
  <si>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</si>
  <si>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</si>
  <si>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</si>
  <si>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</si>
  <si>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</si>
  <si>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</si>
  <si>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</si>
  <si>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</si>
  <si>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</si>
  <si>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</si>
  <si>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</si>
  <si>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</si>
  <si>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</si>
  <si>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</si>
  <si>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</si>
  <si>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</si>
  <si>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</si>
  <si>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</si>
  <si>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</si>
  <si>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</si>
  <si>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</si>
  <si>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</si>
  <si>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</si>
  <si>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</si>
  <si>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</si>
  <si>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</si>
  <si>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</si>
  <si>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</si>
  <si>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</si>
  <si>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</si>
  <si>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</si>
  <si>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</si>
  <si>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</si>
  <si>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</si>
  <si>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</si>
  <si>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</si>
  <si>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</si>
  <si>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</si>
  <si>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</si>
  <si>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</si>
  <si>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</si>
  <si>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</si>
  <si>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</si>
  <si>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</si>
  <si>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</si>
  <si>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</si>
  <si>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</si>
  <si>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</si>
  <si>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</si>
  <si>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</si>
  <si>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</si>
  <si>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</si>
  <si>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</si>
  <si>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</si>
  <si>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</si>
  <si>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</si>
  <si>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</si>
  <si>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</si>
  <si>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</si>
  <si>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</si>
  <si>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</si>
  <si>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</si>
  <si>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</si>
  <si>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</si>
  <si>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</si>
  <si>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</si>
  <si>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</si>
  <si>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</si>
  <si>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</si>
  <si>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</si>
  <si>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</si>
  <si>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</si>
  <si>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</si>
  <si>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</si>
  <si>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</si>
  <si>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</si>
  <si>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</si>
  <si>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</si>
  <si>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</si>
  <si>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Row Labels</t>
  </si>
  <si>
    <t>Grand Total</t>
  </si>
  <si>
    <t>Sum of Profit</t>
  </si>
  <si>
    <t>Sum of Revenue</t>
  </si>
  <si>
    <t>Sum of COGS</t>
  </si>
  <si>
    <t>Customer ID</t>
  </si>
  <si>
    <t>Month</t>
  </si>
  <si>
    <t>Weekday</t>
  </si>
  <si>
    <t>January</t>
  </si>
  <si>
    <t>February</t>
  </si>
  <si>
    <t>March</t>
  </si>
  <si>
    <t>April</t>
  </si>
  <si>
    <t>May</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</si>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</sst>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70]#,##0"/>
    <numFmt numFmtId="165" formatCode="[&gt;1000000000]\₦#,##0,,,&quot;B&quot;;[&gt;1000000]\₦#,##0,,&quot;M&quot;"/>
    <numFmt numFmtId="166" formatCode="[&gt;1000]#,##0,&quot;K&quot;;#,##0"/>
    <numFmt numFmtId="167" formatCode="[&gt;1000000000]\₦#,##0.0,,,&quot;B&quot;;[&gt;1000000]\₦#,##0,,&quot;M&quot;"/>
  </numFmts>
  <fonts count="4">
    <font>
      <sz val="11"/>
      <color theme="1"/>
      <name val="Calibri"/>
      <charset val="134"/>
      <scheme val="minor"/>
    </font>
    <font>
      <sz val="11"/>
      <color theme="1"/>
      <name val="Calibri"/>
      <family val="2"/>
      <scheme val="minor"/>
    </font>
    <font>
      <sz val="8"/>
      <name val="Calibri"/>
      <family val="2"/>
      <scheme val="minor"/>
    </font>
    <font>
      <sz val="11"/>
      <color theme="1"/>
      <name val="Calibri"/>
      <family val="2"/>
      <charset val="134"/>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0" fontId="0" fillId="0" borderId="0" xfId="0" applyFont="1" applyFill="1" applyAlignment="1"/>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3" fillId="0" borderId="0" xfId="0" applyFont="1"/>
    <xf numFmtId="0" fontId="1" fillId="0" borderId="0" xfId="0" applyNumberFormat="1" applyFont="1"/>
    <xf numFmtId="0" fontId="1" fillId="2" borderId="0" xfId="0" applyFont="1" applyFill="1"/>
    <xf numFmtId="0" fontId="0" fillId="2" borderId="0" xfId="0" applyFill="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69">
    <dxf>
      <numFmt numFmtId="164" formatCode="[$₦-470]#,##0"/>
    </dxf>
    <dxf>
      <numFmt numFmtId="166" formatCode="[&gt;1000]#,##0,&quot;K&quot;;#,##0"/>
    </dxf>
    <dxf>
      <numFmt numFmtId="164" formatCode="[$₦-470]#,##0"/>
    </dxf>
    <dxf>
      <numFmt numFmtId="166" formatCode="[&gt;1000]#,##0,&quot;K&quot;;#,##0"/>
    </dxf>
    <dxf>
      <numFmt numFmtId="164" formatCode="[$₦-470]#,##0"/>
    </dxf>
    <dxf>
      <numFmt numFmtId="166" formatCode="[&gt;1000]#,##0,&quot;K&quot;;#,##0"/>
    </dxf>
    <dxf>
      <numFmt numFmtId="164" formatCode="[$₦-470]#,##0"/>
    </dxf>
    <dxf>
      <numFmt numFmtId="166" formatCode="[&gt;1000]#,##0,&quot;K&quot;;#,##0"/>
    </dxf>
    <dxf>
      <numFmt numFmtId="167" formatCode="[&gt;1000000000]\₦#,##0.0,,,&quot;B&quot;;[&gt;1000000]\₦#,##0,,&quot;M&quot;"/>
    </dxf>
    <dxf>
      <numFmt numFmtId="167" formatCode="[&gt;1000000000]\₦#,##0.0,,,&quot;B&quot;;[&gt;1000000]\₦#,##0,,&quot;M&quot;"/>
    </dxf>
    <dxf>
      <numFmt numFmtId="168" formatCode="[&gt;1000000]\₦#,##0,,&quot;M&quot;;[&gt;1000]\]\₦#,##0,&quot;K&quot;"/>
    </dxf>
    <dxf>
      <numFmt numFmtId="165" formatCode="[&gt;1000000000]\₦#,##0,,,&quot;B&quot;;[&gt;1000000]\₦#,##0,,&quot;M&quot;"/>
    </dxf>
    <dxf>
      <numFmt numFmtId="165" formatCode="[&gt;1000000000]\₦#,##0,,,&quot;B&quot;;[&gt;1000000]\₦#,##0,,&quot;M&quot;"/>
    </dxf>
    <dxf>
      <numFmt numFmtId="165" formatCode="[&gt;1000000000]\₦#,##0,,,&quot;B&quot;;[&gt;1000000]\₦#,##0,,&quot;M&quot;"/>
    </dxf>
    <dxf>
      <numFmt numFmtId="0" formatCode="General"/>
    </dxf>
    <dxf>
      <numFmt numFmtId="167" formatCode="[&gt;1000000000]\₦#,##0.0,,,&quot;B&quot;;[&gt;1000000]\₦#,##0,,&quot;M&quot;"/>
    </dxf>
    <dxf>
      <numFmt numFmtId="167" formatCode="[&gt;1000000000]\₦#,##0.0,,,&quot;B&quot;;[&gt;1000000]\₦#,##0,,&quot;M&quot;"/>
    </dxf>
    <dxf>
      <numFmt numFmtId="164" formatCode="[$₦-470]#,##0"/>
    </dxf>
    <dxf>
      <numFmt numFmtId="166" formatCode="[&gt;1000]#,##0,&quot;K&quot;;#,##0"/>
    </dxf>
    <dxf>
      <numFmt numFmtId="167" formatCode="[&gt;1000000000]\₦#,##0.0,,,&quot;B&quot;;[&gt;1000000]\₦#,##0,,&quot;M&quot;"/>
    </dxf>
    <dxf>
      <numFmt numFmtId="167" formatCode="[&gt;1000000000]\₦#,##0.0,,,&quot;B&quot;;[&gt;1000000]\₦#,##0,,&quot;M&quot;"/>
    </dxf>
    <dxf>
      <numFmt numFmtId="168" formatCode="[&gt;1000000]\₦#,##0,,&quot;M&quot;;[&gt;1000]\]\₦#,##0,&quot;K&quot;"/>
    </dxf>
    <dxf>
      <numFmt numFmtId="165" formatCode="[&gt;1000000000]\₦#,##0,,,&quot;B&quot;;[&gt;1000000]\₦#,##0,,&quot;M&quot;"/>
    </dxf>
    <dxf>
      <numFmt numFmtId="165" formatCode="[&gt;1000000000]\₦#,##0,,,&quot;B&quot;;[&gt;1000000]\₦#,##0,,&quot;M&quot;"/>
    </dxf>
    <dxf>
      <numFmt numFmtId="165" formatCode="[&gt;1000000000]\₦#,##0,,,&quot;B&quot;;[&gt;1000000]\₦#,##0,,&quot;M&quot;"/>
    </dxf>
    <dxf>
      <numFmt numFmtId="0" formatCode="General"/>
    </dxf>
    <dxf>
      <numFmt numFmtId="167" formatCode="[&gt;1000000000]\₦#,##0.0,,,&quot;B&quot;;[&gt;1000000]\₦#,##0,,&quot;M&quot;"/>
    </dxf>
    <dxf>
      <numFmt numFmtId="167" formatCode="[&gt;1000000000]\₦#,##0.0,,,&quot;B&quot;;[&gt;1000000]\₦#,##0,,&quot;M&quot;"/>
    </dxf>
    <dxf>
      <numFmt numFmtId="164" formatCode="[$₦-470]#,##0"/>
    </dxf>
    <dxf>
      <numFmt numFmtId="166" formatCode="[&gt;1000]#,##0,&quot;K&quot;;#,##0"/>
    </dxf>
    <dxf>
      <numFmt numFmtId="167" formatCode="[&gt;1000000000]\₦#,##0.0,,,&quot;B&quot;;[&gt;1000000]\₦#,##0,,&quot;M&quot;"/>
    </dxf>
    <dxf>
      <numFmt numFmtId="167" formatCode="[&gt;1000000000]\₦#,##0.0,,,&quot;B&quot;;[&gt;1000000]\₦#,##0,,&quot;M&quot;"/>
    </dxf>
    <dxf>
      <numFmt numFmtId="168" formatCode="[&gt;1000000]\₦#,##0,,&quot;M&quot;;[&gt;1000]\]\₦#,##0,&quot;K&quot;"/>
    </dxf>
    <dxf>
      <numFmt numFmtId="165" formatCode="[&gt;1000000000]\₦#,##0,,,&quot;B&quot;;[&gt;1000000]\₦#,##0,,&quot;M&quot;"/>
    </dxf>
    <dxf>
      <numFmt numFmtId="165" formatCode="[&gt;1000000000]\₦#,##0,,,&quot;B&quot;;[&gt;1000000]\₦#,##0,,&quot;M&quot;"/>
    </dxf>
    <dxf>
      <numFmt numFmtId="165" formatCode="[&gt;1000000000]\₦#,##0,,,&quot;B&quot;;[&gt;1000000]\₦#,##0,,&quot;M&quot;"/>
    </dxf>
    <dxf>
      <numFmt numFmtId="0" formatCode="General"/>
    </dxf>
    <dxf>
      <numFmt numFmtId="167" formatCode="[&gt;1000000000]\₦#,##0.0,,,&quot;B&quot;;[&gt;1000000]\₦#,##0,,&quot;M&quot;"/>
    </dxf>
    <dxf>
      <numFmt numFmtId="167" formatCode="[&gt;1000000000]\₦#,##0.0,,,&quot;B&quot;;[&gt;1000000]\₦#,##0,,&quot;M&quot;"/>
    </dxf>
    <dxf>
      <numFmt numFmtId="164" formatCode="[$₦-470]#,##0"/>
    </dxf>
    <dxf>
      <numFmt numFmtId="166" formatCode="[&gt;1000]#,##0,&quot;K&quot;;#,##0"/>
    </dxf>
    <dxf>
      <numFmt numFmtId="167" formatCode="[&gt;1000000000]\₦#,##0.0,,,&quot;B&quot;;[&gt;1000000]\₦#,##0,,&quot;M&quot;"/>
    </dxf>
    <dxf>
      <numFmt numFmtId="167" formatCode="[&gt;1000000000]\₦#,##0.0,,,&quot;B&quot;;[&gt;1000000]\₦#,##0,,&quot;M&quot;"/>
    </dxf>
    <dxf>
      <numFmt numFmtId="168" formatCode="[&gt;1000000]\₦#,##0,,&quot;M&quot;;[&gt;1000]\]\₦#,##0,&quot;K&quot;"/>
    </dxf>
    <dxf>
      <numFmt numFmtId="165" formatCode="[&gt;1000000000]\₦#,##0,,,&quot;B&quot;;[&gt;1000000]\₦#,##0,,&quot;M&quot;"/>
    </dxf>
    <dxf>
      <numFmt numFmtId="165" formatCode="[&gt;1000000000]\₦#,##0,,,&quot;B&quot;;[&gt;1000000]\₦#,##0,,&quot;M&quot;"/>
    </dxf>
    <dxf>
      <numFmt numFmtId="165" formatCode="[&gt;1000000000]\₦#,##0,,,&quot;B&quot;;[&gt;1000000]\₦#,##0,,&quot;M&quot;"/>
    </dxf>
    <dxf>
      <numFmt numFmtId="0" formatCode="General"/>
    </dxf>
    <dxf>
      <numFmt numFmtId="167" formatCode="[&gt;1000000000]\₦#,##0.0,,,&quot;B&quot;;[&gt;1000000]\₦#,##0,,&quot;M&quot;"/>
    </dxf>
    <dxf>
      <numFmt numFmtId="167" formatCode="[&gt;1000000000]\₦#,##0.0,,,&quot;B&quot;;[&gt;1000000]\₦#,##0,,&quot;M&quot;"/>
    </dxf>
    <dxf>
      <numFmt numFmtId="167" formatCode="[&gt;1000000000]\₦#,##0.0,,,&quot;B&quot;;[&gt;1000000]\₦#,##0,,&quot;M&quot;"/>
    </dxf>
    <dxf>
      <numFmt numFmtId="167" formatCode="[&gt;1000000000]\₦#,##0.0,,,&quot;B&quot;;[&gt;1000000]\₦#,##0,,&quot;M&quot;"/>
    </dxf>
    <dxf>
      <numFmt numFmtId="165" formatCode="[&gt;1000000000]\₦#,##0,,,&quot;B&quot;;[&gt;1000000]\₦#,##0,,&quot;M&quot;"/>
    </dxf>
    <dxf>
      <numFmt numFmtId="165" formatCode="[&gt;1000000000]\₦#,##0,,,&quot;B&quot;;[&gt;1000000]\₦#,##0,,&quot;M&quot;"/>
    </dxf>
    <dxf>
      <numFmt numFmtId="165" formatCode="[&gt;1000000000]\₦#,##0,,,&quot;B&quot;;[&gt;1000000]\₦#,##0,,&quot;M&quot;"/>
    </dxf>
    <dxf>
      <numFmt numFmtId="168" formatCode="[&gt;1000000]\₦#,##0,,&quot;M&quot;;[&gt;1000]\]\₦#,##0,&quot;K&quot;"/>
    </dxf>
    <dxf>
      <numFmt numFmtId="166" formatCode="[&gt;1000]#,##0,&quot;K&quot;;#,##0"/>
    </dxf>
    <dxf>
      <numFmt numFmtId="164" formatCode="[$₦-470]#,##0"/>
    </dxf>
    <dxf>
      <numFmt numFmtId="167" formatCode="[&gt;1000000000]\₦#,##0.0,,,&quot;B&quot;;[&gt;1000000]\₦#,##0,,&quot;M&quot;"/>
    </dxf>
    <dxf>
      <numFmt numFmtId="167" formatCode="[&gt;1000000000]\₦#,##0.0,,,&quot;B&quot;;[&gt;1000000]\₦#,##0,,&quot;M&quot;"/>
    </dxf>
    <dxf>
      <numFmt numFmtId="0" formatCode="General"/>
    </dxf>
    <dxf>
      <numFmt numFmtId="0" formatCode="General"/>
    </dxf>
    <dxf>
      <numFmt numFmtId="164" formatCode="[$₦-470]#,##0"/>
    </dxf>
    <dxf>
      <numFmt numFmtId="164" formatCode="[$₦-470]#,##0"/>
    </dxf>
    <dxf>
      <numFmt numFmtId="164" formatCode="[$₦-470]#,##0"/>
    </dxf>
    <dxf>
      <numFmt numFmtId="164" formatCode="[$₦-470]#,##0"/>
    </dxf>
    <dxf>
      <numFmt numFmtId="164" formatCode="[$₦-470]#,##0"/>
    </dxf>
    <dxf>
      <numFmt numFmtId="0" formatCode="General"/>
    </dxf>
    <dxf>
      <numFmt numFmtId="0" formatCode="General"/>
    </dxf>
  </dxfs>
  <tableStyles count="2" defaultTableStyle="TableStyleMedium9" defaultPivotStyle="PivotStyleLight16">
    <tableStyle name="Slicer Style 1" pivot="0" table="0" count="2" xr9:uid="{B582FE95-354A-4FA9-A644-1CA6B9E78A12}"/>
    <tableStyle name="Slicer Style 1 2" pivot="0" table="0" count="2" xr9:uid="{73524779-F1DF-4103-90C1-5685C50827EC}"/>
  </tableStyles>
  <colors>
    <mruColors>
      <color rgb="FF331834"/>
      <color rgb="FF2F1444"/>
      <color rgb="FF321547"/>
      <color rgb="FF403151"/>
      <color rgb="FF604781"/>
      <color rgb="FFFFFFFF"/>
      <color rgb="FF7030A0"/>
      <color rgb="FF0C2618"/>
      <color rgb="FF5F3742"/>
      <color rgb="FF10253F"/>
    </mruColors>
  </colors>
  <extLst>
    <ext xmlns:x14="http://schemas.microsoft.com/office/spreadsheetml/2009/9/main" uri="{46F421CA-312F-682f-3DD2-61675219B42D}">
      <x14:dxfs count="4">
        <dxf>
          <font>
            <b/>
            <i val="0"/>
            <sz val="14"/>
            <color theme="0"/>
            <name val="Times New Roman"/>
            <family val="1"/>
            <scheme val="none"/>
          </font>
          <fill>
            <patternFill>
              <fgColor rgb="FF604781"/>
              <bgColor theme="7" tint="-0.499984740745262"/>
            </patternFill>
          </fill>
        </dxf>
        <dxf>
          <font>
            <sz val="12"/>
            <name val="Times New Roman"/>
            <family val="1"/>
            <scheme val="none"/>
          </font>
          <fill>
            <patternFill>
              <bgColor theme="7" tint="0.59996337778862885"/>
            </patternFill>
          </fill>
        </dxf>
        <dxf>
          <font>
            <sz val="14"/>
            <name val="Times New Roman"/>
            <family val="1"/>
            <scheme val="none"/>
          </font>
          <fill>
            <patternFill>
              <fgColor rgb="FF604781"/>
              <bgColor rgb="FF2F1444"/>
            </patternFill>
          </fill>
        </dxf>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1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[Okechukwu Precious Amarachi_Excel Project (1).xlsx]Pivot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c:f>
              <c:strCache>
                <c:ptCount val="1"/>
                <c:pt idx="0">
                  <c:v>Total</c:v>
                </c:pt>
              </c:strCache>
            </c:strRef>
          </c:tx>
          <c:spPr>
            <a:ln w="28575" cap="rnd">
              <a:solidFill>
                <a:schemeClr val="accent1"/>
              </a:solidFill>
              <a:round/>
            </a:ln>
            <a:effectLst/>
          </c:spPr>
          <c:marker>
            <c:symbol val="none"/>
          </c:marker>
          <c:cat>
            <c:strRef>
              <c:f>'Pivot Table'!$A$42:$A$47</c:f>
              <c:strCache>
                <c:ptCount val="5"/>
                <c:pt idx="0">
                  <c:v>January</c:v>
                </c:pt>
                <c:pt idx="1">
                  <c:v>February</c:v>
                </c:pt>
                <c:pt idx="2">
                  <c:v>March</c:v>
                </c:pt>
                <c:pt idx="3">
                  <c:v>April</c:v>
                </c:pt>
                <c:pt idx="4">
                  <c:v>May</c:v>
                </c:pt>
              </c:strCache>
            </c:strRef>
          </c:cat>
          <c:val>
            <c:numRef>
              <c:f>'Pivot Table'!$B$42:$B$47</c:f>
              <c:numCache>
                <c:formatCode>[&gt;1000]#,##0,"K";#,##0</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CD60-4575-999F-2C7E766D96DF}"/>
            </c:ext>
          </c:extLst>
        </c:ser>
        <c:dLbls>
          <c:showLegendKey val="0"/>
          <c:showVal val="0"/>
          <c:showCatName val="0"/>
          <c:showSerName val="0"/>
          <c:showPercent val="0"/>
          <c:showBubbleSize val="0"/>
        </c:dLbls>
        <c:smooth val="0"/>
        <c:axId val="824487119"/>
        <c:axId val="834204431"/>
      </c:lineChart>
      <c:catAx>
        <c:axId val="82448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204431"/>
        <c:crosses val="autoZero"/>
        <c:auto val="1"/>
        <c:lblAlgn val="ctr"/>
        <c:lblOffset val="100"/>
        <c:noMultiLvlLbl val="0"/>
      </c:catAx>
      <c:valAx>
        <c:axId val="834204431"/>
        <c:scaling>
          <c:orientation val="minMax"/>
        </c:scaling>
        <c:delete val="0"/>
        <c:axPos val="l"/>
        <c:majorGridlines>
          <c:spPr>
            <a:ln w="9525" cap="flat" cmpd="sng" algn="ctr">
              <a:solidFill>
                <a:schemeClr val="tx1">
                  <a:lumMod val="15000"/>
                  <a:lumOff val="85000"/>
                </a:schemeClr>
              </a:solidFill>
              <a:round/>
            </a:ln>
            <a:effectLst/>
          </c:spPr>
        </c:majorGridlines>
        <c:numFmt formatCode="[&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48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[Okechukwu Precious Amarachi_Excel Project (1).xlsx]Pivot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'Pivot Table'!$B$31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FDE-4831-B32E-517CDCDFACD6}"/>
              </c:ext>
            </c:extLst>
          </c:dPt>
          <c:dPt>
            <c:idx val="1"/>
            <c:bubble3D val="0"/>
            <c:spPr>
              <a:solidFill>
                <a:schemeClr val="accent2"/>
              </a:solidFill>
              <a:ln>
                <a:noFill/>
              </a:ln>
              <a:effectLst/>
            </c:spPr>
            <c:extLst>
              <c:ext xmlns:c16="http://schemas.microsoft.com/office/drawing/2014/chart" uri="{C3380CC4-5D6E-409C-BE32-E72D297353CC}">
                <c16:uniqueId val="{00000003-4FDE-4831-B32E-517CDCDFACD6}"/>
              </c:ext>
            </c:extLst>
          </c:dPt>
          <c:dPt>
            <c:idx val="2"/>
            <c:bubble3D val="0"/>
            <c:spPr>
              <a:solidFill>
                <a:schemeClr val="accent3"/>
              </a:solidFill>
              <a:ln>
                <a:noFill/>
              </a:ln>
              <a:effectLst/>
            </c:spPr>
            <c:extLst>
              <c:ext xmlns:c16="http://schemas.microsoft.com/office/drawing/2014/chart" uri="{C3380CC4-5D6E-409C-BE32-E72D297353CC}">
                <c16:uniqueId val="{00000005-4FDE-4831-B32E-517CDCDFACD6}"/>
              </c:ext>
            </c:extLst>
          </c:dPt>
          <c:dPt>
            <c:idx val="3"/>
            <c:bubble3D val="0"/>
            <c:spPr>
              <a:solidFill>
                <a:schemeClr val="accent4"/>
              </a:solidFill>
              <a:ln>
                <a:noFill/>
              </a:ln>
              <a:effectLst/>
            </c:spPr>
            <c:extLst>
              <c:ext xmlns:c16="http://schemas.microsoft.com/office/drawing/2014/chart" uri="{C3380CC4-5D6E-409C-BE32-E72D297353CC}">
                <c16:uniqueId val="{00000007-4FDE-4831-B32E-517CDCDFACD6}"/>
              </c:ext>
            </c:extLst>
          </c:dPt>
          <c:cat>
            <c:strRef>
              <c:f>'Pivot Table'!$A$32:$A$36</c:f>
              <c:strCache>
                <c:ptCount val="4"/>
                <c:pt idx="0">
                  <c:v>Lagos</c:v>
                </c:pt>
                <c:pt idx="1">
                  <c:v>Kano</c:v>
                </c:pt>
                <c:pt idx="2">
                  <c:v>Port Harcourt</c:v>
                </c:pt>
                <c:pt idx="3">
                  <c:v>Abuja</c:v>
                </c:pt>
              </c:strCache>
            </c:strRef>
          </c:cat>
          <c:val>
            <c:numRef>
              <c:f>'Pivot Table'!$B$32:$B$36</c:f>
              <c:numCache>
                <c:formatCode>[&gt;1000000000]\₦#,##0.0,,,"B";[&gt;1000000]\₦#,##0,,"M"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8BE2-4219-BC94-6ACD6A0F7E5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[Okechukwu Precious Amarachi_Excel Project (1).xlsx]Pivot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Table'!$A$20:$A$26</c:f>
              <c:strCache>
                <c:ptCount val="6"/>
                <c:pt idx="0">
                  <c:v>Peter</c:v>
                </c:pt>
                <c:pt idx="1">
                  <c:v>Musa</c:v>
                </c:pt>
                <c:pt idx="2">
                  <c:v>David</c:v>
                </c:pt>
                <c:pt idx="3">
                  <c:v>Aisha</c:v>
                </c:pt>
                <c:pt idx="4">
                  <c:v>Chidinma</c:v>
                </c:pt>
                <c:pt idx="5">
                  <c:v>Grace</c:v>
                </c:pt>
              </c:strCache>
            </c:strRef>
          </c:cat>
          <c:val>
            <c:numRef>
              <c:f>'Pivot Table'!$B$20:$B$26</c:f>
              <c:numCache>
                <c:formatCode>[&gt;1000000000]\₦#,##0.0,,,"B";[&gt;1000000]\₦#,##0,,"M"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9492-4C03-BF4B-F4AE27B1EB5E}"/>
            </c:ext>
          </c:extLst>
        </c:ser>
        <c:dLbls>
          <c:showLegendKey val="0"/>
          <c:showVal val="0"/>
          <c:showCatName val="0"/>
          <c:showSerName val="0"/>
          <c:showPercent val="0"/>
          <c:showBubbleSize val="0"/>
        </c:dLbls>
        <c:gapWidth val="182"/>
        <c:axId val="824483119"/>
        <c:axId val="834194031"/>
      </c:barChart>
      <c:catAx>
        <c:axId val="82448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194031"/>
        <c:crosses val="autoZero"/>
        <c:auto val="1"/>
        <c:lblAlgn val="ctr"/>
        <c:lblOffset val="100"/>
        <c:noMultiLvlLbl val="0"/>
      </c:catAx>
      <c:valAx>
        <c:axId val="834194031"/>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0.0,,,&quot;B&quot;;[&gt;10000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48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[Okechukwu Precious Amarachi_Excel Project (1).xlsx]Pivot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Table'!$B$4:$B$14</c:f>
              <c:numCache>
                <c:formatCode>[&gt;1000000000]\₦#,##0,,,"B";[&gt;1000000]\₦#,##0,,"M"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02B9-4A20-9AB8-395B4219F0FE}"/>
            </c:ext>
          </c:extLst>
        </c:ser>
        <c:dLbls>
          <c:showLegendKey val="0"/>
          <c:showVal val="0"/>
          <c:showCatName val="0"/>
          <c:showSerName val="0"/>
          <c:showPercent val="0"/>
          <c:showBubbleSize val="0"/>
        </c:dLbls>
        <c:gapWidth val="219"/>
        <c:axId val="669824639"/>
        <c:axId val="834190287"/>
      </c:barChart>
      <c:catAx>
        <c:axId val="66982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190287"/>
        <c:crosses val="autoZero"/>
        <c:auto val="1"/>
        <c:lblAlgn val="ctr"/>
        <c:lblOffset val="100"/>
        <c:noMultiLvlLbl val="0"/>
      </c:catAx>
      <c:valAx>
        <c:axId val="834190287"/>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0,,,&quot;B&quot;;[&gt;10000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82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[Okechukwu Precious Amarachi_Excel Project (1).xlsx]Pivot Table!PivotTable3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18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331834">
              <a:alpha val="80000"/>
            </a:srgbClr>
          </a:solidFill>
          <a:ln>
            <a:noFill/>
          </a:ln>
          <a:effectLst/>
        </c:spPr>
        <c:dLbl>
          <c:idx val="0"/>
          <c:layout>
            <c:manualLayout>
              <c:x val="8.0295138888888812E-2"/>
              <c:y val="-9.680134680134680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331834">
              <a:alpha val="70000"/>
            </a:srgbClr>
          </a:solidFill>
          <a:ln>
            <a:noFill/>
          </a:ln>
          <a:effectLst/>
        </c:spPr>
        <c:dLbl>
          <c:idx val="0"/>
          <c:layout>
            <c:manualLayout>
              <c:x val="0.10633680555555555"/>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331834"/>
          </a:solidFill>
          <a:ln>
            <a:noFill/>
          </a:ln>
          <a:effectLst/>
        </c:spPr>
        <c:dLbl>
          <c:idx val="0"/>
          <c:layout>
            <c:manualLayout>
              <c:x val="-7.8125000000000042E-2"/>
              <c:y val="9.259259259259243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331834">
              <a:alpha val="30000"/>
            </a:srgbClr>
          </a:solidFill>
          <a:ln>
            <a:noFill/>
          </a:ln>
          <a:effectLst/>
        </c:spPr>
        <c:dLbl>
          <c:idx val="0"/>
          <c:layout>
            <c:manualLayout>
              <c:x val="-9.765625E-2"/>
              <c:y val="-7.996632996632996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66255536417323"/>
          <c:y val="0.23085016835016839"/>
          <c:w val="0.35785590277777779"/>
          <c:h val="0.69402356902356899"/>
        </c:manualLayout>
      </c:layout>
      <c:doughnutChart>
        <c:varyColors val="1"/>
        <c:ser>
          <c:idx val="0"/>
          <c:order val="0"/>
          <c:tx>
            <c:strRef>
              <c:f>'Pivot Table'!$B$31</c:f>
              <c:strCache>
                <c:ptCount val="1"/>
                <c:pt idx="0">
                  <c:v>Total</c:v>
                </c:pt>
              </c:strCache>
            </c:strRef>
          </c:tx>
          <c:spPr>
            <a:solidFill>
              <a:srgbClr val="331834"/>
            </a:solidFill>
          </c:spPr>
          <c:dPt>
            <c:idx val="0"/>
            <c:bubble3D val="0"/>
            <c:spPr>
              <a:solidFill>
                <a:srgbClr val="331834">
                  <a:alpha val="80000"/>
                </a:srgbClr>
              </a:solidFill>
              <a:ln>
                <a:noFill/>
              </a:ln>
              <a:effectLst/>
            </c:spPr>
            <c:extLst>
              <c:ext xmlns:c16="http://schemas.microsoft.com/office/drawing/2014/chart" uri="{C3380CC4-5D6E-409C-BE32-E72D297353CC}">
                <c16:uniqueId val="{00000001-2DA6-445A-9311-30388CD5007A}"/>
              </c:ext>
            </c:extLst>
          </c:dPt>
          <c:dPt>
            <c:idx val="1"/>
            <c:bubble3D val="0"/>
            <c:spPr>
              <a:solidFill>
                <a:srgbClr val="331834">
                  <a:alpha val="70000"/>
                </a:srgbClr>
              </a:solidFill>
              <a:ln>
                <a:noFill/>
              </a:ln>
              <a:effectLst/>
            </c:spPr>
            <c:extLst>
              <c:ext xmlns:c16="http://schemas.microsoft.com/office/drawing/2014/chart" uri="{C3380CC4-5D6E-409C-BE32-E72D297353CC}">
                <c16:uniqueId val="{00000002-2DA6-445A-9311-30388CD5007A}"/>
              </c:ext>
            </c:extLst>
          </c:dPt>
          <c:dPt>
            <c:idx val="2"/>
            <c:bubble3D val="0"/>
            <c:spPr>
              <a:solidFill>
                <a:srgbClr val="331834"/>
              </a:solidFill>
              <a:ln>
                <a:noFill/>
              </a:ln>
              <a:effectLst/>
            </c:spPr>
            <c:extLst>
              <c:ext xmlns:c16="http://schemas.microsoft.com/office/drawing/2014/chart" uri="{C3380CC4-5D6E-409C-BE32-E72D297353CC}">
                <c16:uniqueId val="{00000003-2DA6-445A-9311-30388CD5007A}"/>
              </c:ext>
            </c:extLst>
          </c:dPt>
          <c:dPt>
            <c:idx val="3"/>
            <c:bubble3D val="0"/>
            <c:spPr>
              <a:solidFill>
                <a:srgbClr val="331834">
                  <a:alpha val="30000"/>
                </a:srgbClr>
              </a:solidFill>
              <a:ln>
                <a:noFill/>
              </a:ln>
              <a:effectLst/>
            </c:spPr>
            <c:extLst>
              <c:ext xmlns:c16="http://schemas.microsoft.com/office/drawing/2014/chart" uri="{C3380CC4-5D6E-409C-BE32-E72D297353CC}">
                <c16:uniqueId val="{00000004-2DA6-445A-9311-30388CD5007A}"/>
              </c:ext>
            </c:extLst>
          </c:dPt>
          <c:dLbls>
            <c:dLbl>
              <c:idx val="0"/>
              <c:layout>
                <c:manualLayout>
                  <c:x val="8.0295138888888812E-2"/>
                  <c:y val="-9.68013468013468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A6-445A-9311-30388CD5007A}"/>
                </c:ext>
              </c:extLst>
            </c:dLbl>
            <c:dLbl>
              <c:idx val="1"/>
              <c:layout>
                <c:manualLayout>
                  <c:x val="0.10633680555555555"/>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DA6-445A-9311-30388CD5007A}"/>
                </c:ext>
              </c:extLst>
            </c:dLbl>
            <c:dLbl>
              <c:idx val="2"/>
              <c:layout>
                <c:manualLayout>
                  <c:x val="-7.8125000000000042E-2"/>
                  <c:y val="9.25925925925924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A6-445A-9311-30388CD5007A}"/>
                </c:ext>
              </c:extLst>
            </c:dLbl>
            <c:dLbl>
              <c:idx val="3"/>
              <c:layout>
                <c:manualLayout>
                  <c:x val="-9.765625E-2"/>
                  <c:y val="-7.99663299663299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DA6-445A-9311-30388CD5007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cap="flat" cmpd="sng" algn="ctr">
                  <a:solidFill>
                    <a:srgbClr val="331834"/>
                  </a:solidFill>
                  <a:round/>
                </a:ln>
                <a:effectLst/>
              </c:spPr>
            </c:leaderLines>
            <c:extLst>
              <c:ext xmlns:c15="http://schemas.microsoft.com/office/drawing/2012/chart" uri="{CE6537A1-D6FC-4f65-9D91-7224C49458BB}"/>
            </c:extLst>
          </c:dLbls>
          <c:cat>
            <c:strRef>
              <c:f>'Pivot Table'!$A$32:$A$36</c:f>
              <c:strCache>
                <c:ptCount val="4"/>
                <c:pt idx="0">
                  <c:v>Lagos</c:v>
                </c:pt>
                <c:pt idx="1">
                  <c:v>Kano</c:v>
                </c:pt>
                <c:pt idx="2">
                  <c:v>Port Harcourt</c:v>
                </c:pt>
                <c:pt idx="3">
                  <c:v>Abuja</c:v>
                </c:pt>
              </c:strCache>
            </c:strRef>
          </c:cat>
          <c:val>
            <c:numRef>
              <c:f>'Pivot Table'!$B$32:$B$36</c:f>
              <c:numCache>
                <c:formatCode>[&gt;1000000000]\₦#,##0.0,,,"B";[&gt;1000000]\₦#,##0,,"M"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2DA6-445A-9311-30388CD5007A}"/>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[Okechukwu Precious Amarachi_Excel Project (1).xlsx]Pivot Table!PivotTable4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331834">
                <a:alpha val="70000"/>
              </a:srgbClr>
            </a:solidFill>
            <a:round/>
          </a:ln>
          <a:effectLst/>
        </c:spPr>
        <c:marker>
          <c:symbol val="circle"/>
          <c:size val="5"/>
          <c:spPr>
            <a:solidFill>
              <a:srgbClr val="331834"/>
            </a:solidFill>
            <a:ln w="41275">
              <a:solidFill>
                <a:srgbClr val="33183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63500" cap="rnd">
            <a:solidFill>
              <a:srgbClr val="331834">
                <a:alpha val="70000"/>
              </a:srgbClr>
            </a:solidFill>
            <a:round/>
          </a:ln>
          <a:effectLst/>
        </c:spPr>
        <c:marker>
          <c:symbol val="circle"/>
          <c:size val="5"/>
          <c:spPr>
            <a:solidFill>
              <a:srgbClr val="331834"/>
            </a:solidFill>
            <a:ln w="41275">
              <a:solidFill>
                <a:srgbClr val="331834"/>
              </a:solidFill>
            </a:ln>
            <a:effectLst/>
          </c:spPr>
        </c:marker>
      </c:pivotFmt>
    </c:pivotFmts>
    <c:plotArea>
      <c:layout>
        <c:manualLayout>
          <c:layoutTarget val="inner"/>
          <c:xMode val="edge"/>
          <c:yMode val="edge"/>
          <c:x val="1.7259975492873381E-2"/>
          <c:y val="0.14987557711922023"/>
          <c:w val="0.95253506739459826"/>
          <c:h val="0.69166651669657886"/>
        </c:manualLayout>
      </c:layout>
      <c:lineChart>
        <c:grouping val="standard"/>
        <c:varyColors val="0"/>
        <c:ser>
          <c:idx val="0"/>
          <c:order val="0"/>
          <c:tx>
            <c:strRef>
              <c:f>'Pivot Table'!$B$41</c:f>
              <c:strCache>
                <c:ptCount val="1"/>
                <c:pt idx="0">
                  <c:v>Total</c:v>
                </c:pt>
              </c:strCache>
            </c:strRef>
          </c:tx>
          <c:spPr>
            <a:ln w="50800" cap="rnd">
              <a:solidFill>
                <a:srgbClr val="331834">
                  <a:alpha val="70000"/>
                </a:srgbClr>
              </a:solidFill>
              <a:round/>
            </a:ln>
            <a:effectLst/>
          </c:spPr>
          <c:marker>
            <c:symbol val="circle"/>
            <c:size val="5"/>
            <c:spPr>
              <a:solidFill>
                <a:srgbClr val="331834"/>
              </a:solidFill>
              <a:ln w="41275">
                <a:solidFill>
                  <a:srgbClr val="331834"/>
                </a:solidFill>
              </a:ln>
              <a:effectLst/>
            </c:spPr>
          </c:marker>
          <c:dPt>
            <c:idx val="3"/>
            <c:marker>
              <c:symbol val="circle"/>
              <c:size val="5"/>
              <c:spPr>
                <a:solidFill>
                  <a:srgbClr val="331834"/>
                </a:solidFill>
                <a:ln w="41275">
                  <a:solidFill>
                    <a:srgbClr val="331834"/>
                  </a:solidFill>
                </a:ln>
                <a:effectLst/>
              </c:spPr>
            </c:marker>
            <c:bubble3D val="0"/>
            <c:spPr>
              <a:ln w="63500" cap="rnd">
                <a:solidFill>
                  <a:srgbClr val="331834">
                    <a:alpha val="70000"/>
                  </a:srgbClr>
                </a:solidFill>
                <a:round/>
              </a:ln>
              <a:effectLst/>
            </c:spPr>
          </c:dPt>
          <c:dPt>
            <c:idx val="4"/>
            <c:marker>
              <c:symbol val="circle"/>
              <c:size val="5"/>
              <c:spPr>
                <a:solidFill>
                  <a:srgbClr val="331834"/>
                </a:solidFill>
                <a:ln w="41275">
                  <a:solidFill>
                    <a:srgbClr val="331834"/>
                  </a:solidFill>
                </a:ln>
                <a:effectLst/>
              </c:spPr>
            </c:marker>
            <c:bubble3D val="0"/>
            <c:extLst>
              <c:ext xmlns:c16="http://schemas.microsoft.com/office/drawing/2014/chart" uri="{C3380CC4-5D6E-409C-BE32-E72D297353CC}">
                <c16:uniqueId val="{00000002-1BEF-4313-BB39-DD393F48E67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January</c:v>
                </c:pt>
                <c:pt idx="1">
                  <c:v>February</c:v>
                </c:pt>
                <c:pt idx="2">
                  <c:v>March</c:v>
                </c:pt>
                <c:pt idx="3">
                  <c:v>April</c:v>
                </c:pt>
                <c:pt idx="4">
                  <c:v>May</c:v>
                </c:pt>
              </c:strCache>
            </c:strRef>
          </c:cat>
          <c:val>
            <c:numRef>
              <c:f>'Pivot Table'!$B$42:$B$47</c:f>
              <c:numCache>
                <c:formatCode>[&gt;1000]#,##0,"K";#,##0</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1BEF-4313-BB39-DD393F48E67A}"/>
            </c:ext>
          </c:extLst>
        </c:ser>
        <c:dLbls>
          <c:dLblPos val="t"/>
          <c:showLegendKey val="0"/>
          <c:showVal val="1"/>
          <c:showCatName val="0"/>
          <c:showSerName val="0"/>
          <c:showPercent val="0"/>
          <c:showBubbleSize val="0"/>
        </c:dLbls>
        <c:marker val="1"/>
        <c:smooth val="0"/>
        <c:axId val="824487119"/>
        <c:axId val="834204431"/>
      </c:lineChart>
      <c:catAx>
        <c:axId val="82448711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834204431"/>
        <c:crosses val="autoZero"/>
        <c:auto val="1"/>
        <c:lblAlgn val="ctr"/>
        <c:lblOffset val="100"/>
        <c:noMultiLvlLbl val="0"/>
      </c:catAx>
      <c:valAx>
        <c:axId val="834204431"/>
        <c:scaling>
          <c:orientation val="minMax"/>
        </c:scaling>
        <c:delete val="1"/>
        <c:axPos val="l"/>
        <c:numFmt formatCode="[&gt;1000]#,##0,&quot;K&quot;;#,##0" sourceLinked="1"/>
        <c:majorTickMark val="out"/>
        <c:minorTickMark val="none"/>
        <c:tickLblPos val="nextTo"/>
        <c:crossAx val="824487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[Okechukwu Precious Amarachi_Excel Project (1).xlsx]Pivot Table!PivotTable1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1834">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1834">
              <a:alpha val="90000"/>
            </a:srgbClr>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rgbClr val="331834">
                <a:alpha val="70000"/>
              </a:srgbClr>
            </a:solidFill>
            <a:ln>
              <a:noFill/>
            </a:ln>
            <a:effectLst/>
          </c:spPr>
          <c:invertIfNegative val="0"/>
          <c:dPt>
            <c:idx val="9"/>
            <c:invertIfNegative val="0"/>
            <c:bubble3D val="0"/>
            <c:spPr>
              <a:solidFill>
                <a:srgbClr val="331834">
                  <a:alpha val="90000"/>
                </a:srgbClr>
              </a:solidFill>
              <a:ln>
                <a:noFill/>
              </a:ln>
              <a:effectLst/>
            </c:spPr>
            <c:extLst>
              <c:ext xmlns:c16="http://schemas.microsoft.com/office/drawing/2014/chart" uri="{C3380CC4-5D6E-409C-BE32-E72D297353CC}">
                <c16:uniqueId val="{00000001-E3D6-41CF-A611-563DA62BB0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Table'!$B$4:$B$14</c:f>
              <c:numCache>
                <c:formatCode>[&gt;1000000000]\₦#,##0,,,"B";[&gt;1000000]\₦#,##0,,"M"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4579-4131-8FB1-6DC7F2A58D14}"/>
            </c:ext>
          </c:extLst>
        </c:ser>
        <c:dLbls>
          <c:dLblPos val="outEnd"/>
          <c:showLegendKey val="0"/>
          <c:showVal val="1"/>
          <c:showCatName val="0"/>
          <c:showSerName val="0"/>
          <c:showPercent val="0"/>
          <c:showBubbleSize val="0"/>
        </c:dLbls>
        <c:gapWidth val="64"/>
        <c:axId val="669824639"/>
        <c:axId val="834190287"/>
      </c:barChart>
      <c:catAx>
        <c:axId val="669824639"/>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834190287"/>
        <c:crosses val="autoZero"/>
        <c:auto val="1"/>
        <c:lblAlgn val="ctr"/>
        <c:lblOffset val="100"/>
        <c:noMultiLvlLbl val="0"/>
      </c:catAx>
      <c:valAx>
        <c:axId val="834190287"/>
        <c:scaling>
          <c:orientation val="minMax"/>
        </c:scaling>
        <c:delete val="1"/>
        <c:axPos val="b"/>
        <c:numFmt formatCode="[&gt;1000000000]\₦#,##0,,,&quot;B&quot;;[&gt;1000000]\₦#,##0,,&quot;M&quot;" sourceLinked="1"/>
        <c:majorTickMark val="none"/>
        <c:minorTickMark val="none"/>
        <c:tickLblPos val="nextTo"/>
        <c:crossAx val="66982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[Okechukwu Precious Amarachi_Excel Project (1).xlsx]Pivot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1834">
              <a:alpha val="69804"/>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1834">
              <a:alpha val="69804"/>
            </a:srgbClr>
          </a:solidFill>
          <a:ln>
            <a:noFill/>
          </a:ln>
          <a:effectLst/>
        </c:spPr>
      </c:pivotFmt>
      <c:pivotFmt>
        <c:idx val="6"/>
        <c:spPr>
          <a:solidFill>
            <a:srgbClr val="331834">
              <a:alpha val="90000"/>
            </a:srgbClr>
          </a:solidFill>
          <a:ln>
            <a:noFill/>
          </a:ln>
          <a:effectLst/>
        </c:spPr>
      </c:pivotFmt>
    </c:pivotFmts>
    <c:plotArea>
      <c:layout/>
      <c:barChart>
        <c:barDir val="col"/>
        <c:grouping val="clustered"/>
        <c:varyColors val="0"/>
        <c:ser>
          <c:idx val="0"/>
          <c:order val="0"/>
          <c:tx>
            <c:strRef>
              <c:f>'Pivot Table'!$B$19</c:f>
              <c:strCache>
                <c:ptCount val="1"/>
                <c:pt idx="0">
                  <c:v>Total</c:v>
                </c:pt>
              </c:strCache>
            </c:strRef>
          </c:tx>
          <c:spPr>
            <a:solidFill>
              <a:srgbClr val="331834">
                <a:alpha val="69804"/>
              </a:srgbClr>
            </a:solidFill>
            <a:ln>
              <a:noFill/>
            </a:ln>
            <a:effectLst/>
          </c:spPr>
          <c:invertIfNegative val="0"/>
          <c:dPt>
            <c:idx val="0"/>
            <c:invertIfNegative val="0"/>
            <c:bubble3D val="0"/>
            <c:spPr>
              <a:solidFill>
                <a:srgbClr val="331834">
                  <a:alpha val="90000"/>
                </a:srgbClr>
              </a:solidFill>
              <a:ln>
                <a:noFill/>
              </a:ln>
              <a:effectLst/>
            </c:spPr>
            <c:extLst>
              <c:ext xmlns:c16="http://schemas.microsoft.com/office/drawing/2014/chart" uri="{C3380CC4-5D6E-409C-BE32-E72D297353CC}">
                <c16:uniqueId val="{00000000-9942-4CB9-BFE7-3A1BB7C56F9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Table'!$A$20:$A$26</c:f>
              <c:strCache>
                <c:ptCount val="6"/>
                <c:pt idx="0">
                  <c:v>Peter</c:v>
                </c:pt>
                <c:pt idx="1">
                  <c:v>Musa</c:v>
                </c:pt>
                <c:pt idx="2">
                  <c:v>David</c:v>
                </c:pt>
                <c:pt idx="3">
                  <c:v>Aisha</c:v>
                </c:pt>
                <c:pt idx="4">
                  <c:v>Chidinma</c:v>
                </c:pt>
                <c:pt idx="5">
                  <c:v>Grace</c:v>
                </c:pt>
              </c:strCache>
            </c:strRef>
          </c:cat>
          <c:val>
            <c:numRef>
              <c:f>'Pivot Table'!$B$20:$B$26</c:f>
              <c:numCache>
                <c:formatCode>[&gt;1000000000]\₦#,##0.0,,,"B";[&gt;1000000]\₦#,##0,,"M"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3694-42FB-9B0F-23E705A1B961}"/>
            </c:ext>
          </c:extLst>
        </c:ser>
        <c:dLbls>
          <c:dLblPos val="outEnd"/>
          <c:showLegendKey val="0"/>
          <c:showVal val="1"/>
          <c:showCatName val="0"/>
          <c:showSerName val="0"/>
          <c:showPercent val="0"/>
          <c:showBubbleSize val="0"/>
        </c:dLbls>
        <c:gapWidth val="182"/>
        <c:axId val="824483119"/>
        <c:axId val="834194031"/>
      </c:barChart>
      <c:catAx>
        <c:axId val="8244831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34194031"/>
        <c:crosses val="autoZero"/>
        <c:auto val="1"/>
        <c:lblAlgn val="ctr"/>
        <c:lblOffset val="100"/>
        <c:noMultiLvlLbl val="0"/>
      </c:catAx>
      <c:valAx>
        <c:axId val="834194031"/>
        <c:scaling>
          <c:orientation val="minMax"/>
        </c:scaling>
        <c:delete val="1"/>
        <c:axPos val="l"/>
        <c:numFmt formatCode="[&gt;1000000000]\₦#,##0.0,,,&quot;B&quot;;[&gt;1000000]\₦#,##0,,&quot;M&quot;" sourceLinked="1"/>
        <c:majorTickMark val="none"/>
        <c:minorTickMark val="none"/>
        <c:tickLblPos val="nextTo"/>
        <c:crossAx val="82448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chart" Target="../charts/chart8.xml"/><Relationship Id="rId4" Type="http://schemas.openxmlformats.org/officeDocument/2006/relationships/image" Target="../media/image1.png"/><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628650</xdr:colOff>
      <xdr:row>39</xdr:row>
      <xdr:rowOff>142875</xdr:rowOff>
    </xdr:from>
    <xdr:to>
      <xdr:col>7</xdr:col>
      <xdr:colOff>542925</xdr:colOff>
      <xdr:row>49</xdr:row>
      <xdr:rowOff>104775</xdr:rowOff>
    </xdr:to>
    <xdr:graphicFrame macro="">
      <xdr:nvGraphicFramePr>
        <xdr:cNvPr id="2" name="Chart 1">
          <a:extLst>
            <a:ext uri="{FF2B5EF4-FFF2-40B4-BE49-F238E27FC236}">
              <a16:creationId xmlns:a16="http://schemas.microsoft.com/office/drawing/2014/main" id="{4F12AFB2-6137-4EB5-84BC-686DF5ED1D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523875</xdr:colOff>
      <xdr:row>24</xdr:row>
      <xdr:rowOff>85725</xdr:rowOff>
    </xdr:from>
    <xdr:to>
      <xdr:col>7</xdr:col>
      <xdr:colOff>123825</xdr:colOff>
      <xdr:row>38</xdr:row>
      <xdr:rowOff>133350</xdr:rowOff>
    </xdr:to>
    <xdr:graphicFrame macro="">
      <xdr:nvGraphicFramePr>
        <xdr:cNvPr id="3" name="Chart 2">
          <a:extLst>
            <a:ext uri="{FF2B5EF4-FFF2-40B4-BE49-F238E27FC236}">
              <a16:creationId xmlns:a16="http://schemas.microsoft.com/office/drawing/2014/main" id="{5E1C2413-8ABF-4F2B-B812-FC22AA8C1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866775</xdr:colOff>
      <xdr:row>15</xdr:row>
      <xdr:rowOff>19050</xdr:rowOff>
    </xdr:from>
    <xdr:to>
      <xdr:col>7</xdr:col>
      <xdr:colOff>561975</xdr:colOff>
      <xdr:row>23</xdr:row>
      <xdr:rowOff>123825</xdr:rowOff>
    </xdr:to>
    <xdr:graphicFrame macro="">
      <xdr:nvGraphicFramePr>
        <xdr:cNvPr id="4" name="Chart 3">
          <a:extLst>
            <a:ext uri="{FF2B5EF4-FFF2-40B4-BE49-F238E27FC236}">
              <a16:creationId xmlns:a16="http://schemas.microsoft.com/office/drawing/2014/main" id="{49447F6E-10EA-4B8F-BB61-B907FB182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238124</xdr:colOff>
      <xdr:row>1</xdr:row>
      <xdr:rowOff>171450</xdr:rowOff>
    </xdr:from>
    <xdr:to>
      <xdr:col>9</xdr:col>
      <xdr:colOff>66675</xdr:colOff>
      <xdr:row>14</xdr:row>
      <xdr:rowOff>76199</xdr:rowOff>
    </xdr:to>
    <xdr:graphicFrame macro="">
      <xdr:nvGraphicFramePr>
        <xdr:cNvPr id="5" name="Chart 4">
          <a:extLst>
            <a:ext uri="{FF2B5EF4-FFF2-40B4-BE49-F238E27FC236}">
              <a16:creationId xmlns:a16="http://schemas.microsoft.com/office/drawing/2014/main" id="{B769337D-83E2-4297-96E6-4B7552915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419100</xdr:colOff>
      <xdr:row>30</xdr:row>
      <xdr:rowOff>171451</xdr:rowOff>
    </xdr:from>
    <xdr:to>
      <xdr:col>12</xdr:col>
      <xdr:colOff>419100</xdr:colOff>
      <xdr:row>38</xdr:row>
      <xdr:rowOff>171451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3AB84F0-9DEE-498D-8B45-5DCC55701D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48525" y="588645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40</xdr:row>
      <xdr:rowOff>47625</xdr:rowOff>
    </xdr:from>
    <xdr:to>
      <xdr:col>14</xdr:col>
      <xdr:colOff>457200</xdr:colOff>
      <xdr:row>47</xdr:row>
      <xdr:rowOff>57150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E2E5903E-AB18-4C7B-A8FA-2D941F5FC4E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05825" y="7667625"/>
              <a:ext cx="182880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335991</xdr:colOff>
      <xdr:row>0</xdr:row>
      <xdr:rowOff>8375</xdr:rowOff>
    </xdr:from>
    <xdr:to>
      <xdr:col>34</xdr:col>
      <xdr:colOff>36634</xdr:colOff>
      <xdr:row>42</xdr:row>
      <xdr:rowOff>101356</xdr:rowOff>
    </xdr:to>
    <xdr:grpSp>
      <xdr:nvGrpSpPr>
        <xdr:cNvPr id="14" name="Group 13">
          <a:extLst>
            <a:ext uri="{FF2B5EF4-FFF2-40B4-BE49-F238E27FC236}">
              <a16:creationId xmlns:a16="http://schemas.microsoft.com/office/drawing/2014/main" id="{D058B852-E57D-468E-AC36-14D9F744901A}"/>
            </a:ext>
          </a:extLst>
        </xdr:cNvPr>
        <xdr:cNvGrpSpPr/>
      </xdr:nvGrpSpPr>
      <xdr:grpSpPr>
        <a:xfrm>
          <a:off x="6490606" y="8375"/>
          <a:ext cx="14471720" cy="8093981"/>
          <a:chOff x="6427107" y="81644"/>
          <a:chExt cx="14178643" cy="8093981"/>
        </a:xfrm>
      </xdr:grpSpPr>
      <xdr:grpSp>
        <xdr:nvGrpSpPr>
          <xdr:cNvPr id="10" name="Group 9">
            <a:extLst>
              <a:ext uri="{FF2B5EF4-FFF2-40B4-BE49-F238E27FC236}">
                <a16:creationId xmlns:a16="http://schemas.microsoft.com/office/drawing/2014/main" id="{29898A52-AD72-4FF0-A528-B1D351BB9A9C}"/>
              </a:ext>
            </a:extLst>
          </xdr:cNvPr>
          <xdr:cNvGrpSpPr/>
        </xdr:nvGrpSpPr>
        <xdr:grpSpPr>
          <a:xfrm>
            <a:off x="6427107" y="81644"/>
            <a:ext cx="14178643" cy="8093981"/>
            <a:chOff x="6427107" y="81644"/>
            <a:chExt cx="14178643" cy="8093981"/>
          </a:xfrm>
        </xdr:grpSpPr>
        <xdr:grpSp>
          <xdr:nvGrpSpPr>
            <xdr:cNvPr id="96" name="Group 95">
              <a:extLst>
                <a:ext uri="{FF2B5EF4-FFF2-40B4-BE49-F238E27FC236}">
                  <a16:creationId xmlns:a16="http://schemas.microsoft.com/office/drawing/2014/main" id="{A0FE9634-7967-49F0-B014-7576D006E118}"/>
                </a:ext>
              </a:extLst>
            </xdr:cNvPr>
            <xdr:cNvGrpSpPr/>
          </xdr:nvGrpSpPr>
          <xdr:grpSpPr>
            <a:xfrm>
              <a:off x="6427107" y="81644"/>
              <a:ext cx="14178643" cy="8093981"/>
              <a:chOff x="6517821" y="81644"/>
              <a:chExt cx="13875430" cy="7688036"/>
            </a:xfrm>
          </xdr:grpSpPr>
          <xdr:sp macro="" textlink="">
            <xdr:nvSpPr>
              <xdr:cNvPr id="2" name="Rectangle: Rounded Corners 1">
                <a:extLst>
                  <a:ext uri="{FF2B5EF4-FFF2-40B4-BE49-F238E27FC236}">
                    <a16:creationId xmlns:a16="http://schemas.microsoft.com/office/drawing/2014/main" id="{CAC10D47-121A-4EA7-B087-E5693A5AED0B}"/>
                  </a:ext>
                </a:extLst>
              </xdr:cNvPr>
              <xdr:cNvSpPr/>
            </xdr:nvSpPr>
            <xdr:spPr>
              <a:xfrm>
                <a:off x="6517821" y="81644"/>
                <a:ext cx="13875430" cy="7688036"/>
              </a:xfrm>
              <a:prstGeom prst="roundRect">
                <a:avLst>
                  <a:gd name="adj" fmla="val 193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5" name="Group 94">
                <a:extLst>
                  <a:ext uri="{FF2B5EF4-FFF2-40B4-BE49-F238E27FC236}">
                    <a16:creationId xmlns:a16="http://schemas.microsoft.com/office/drawing/2014/main" id="{949CCDEF-4A6F-435D-8C33-7048EFE3DB9E}"/>
                  </a:ext>
                </a:extLst>
              </xdr:cNvPr>
              <xdr:cNvGrpSpPr/>
            </xdr:nvGrpSpPr>
            <xdr:grpSpPr>
              <a:xfrm>
                <a:off x="6531429" y="81655"/>
                <a:ext cx="13840392" cy="7682581"/>
                <a:chOff x="6531429" y="81655"/>
                <a:chExt cx="13840392" cy="7682581"/>
              </a:xfrm>
            </xdr:grpSpPr>
            <xdr:grpSp>
              <xdr:nvGrpSpPr>
                <xdr:cNvPr id="94" name="Group 93">
                  <a:extLst>
                    <a:ext uri="{FF2B5EF4-FFF2-40B4-BE49-F238E27FC236}">
                      <a16:creationId xmlns:a16="http://schemas.microsoft.com/office/drawing/2014/main" id="{79A528C3-9D78-4502-90EC-5FF3D6B3DF6E}"/>
                    </a:ext>
                  </a:extLst>
                </xdr:cNvPr>
                <xdr:cNvGrpSpPr/>
              </xdr:nvGrpSpPr>
              <xdr:grpSpPr>
                <a:xfrm>
                  <a:off x="6566807" y="1450521"/>
                  <a:ext cx="11914414" cy="6313715"/>
                  <a:chOff x="6566807" y="1450521"/>
                  <a:chExt cx="11914414" cy="6313715"/>
                </a:xfrm>
              </xdr:grpSpPr>
              <xdr:grpSp>
                <xdr:nvGrpSpPr>
                  <xdr:cNvPr id="93" name="Group 92">
                    <a:extLst>
                      <a:ext uri="{FF2B5EF4-FFF2-40B4-BE49-F238E27FC236}">
                        <a16:creationId xmlns:a16="http://schemas.microsoft.com/office/drawing/2014/main" id="{4AF1F51C-6F95-4E69-BFA7-1C64B41EA3A5}"/>
                      </a:ext>
                    </a:extLst>
                  </xdr:cNvPr>
                  <xdr:cNvGrpSpPr/>
                </xdr:nvGrpSpPr>
                <xdr:grpSpPr>
                  <a:xfrm>
                    <a:off x="12551227" y="1502227"/>
                    <a:ext cx="5916387" cy="3088823"/>
                    <a:chOff x="12551227" y="1502227"/>
                    <a:chExt cx="5916387" cy="3088823"/>
                  </a:xfrm>
                </xdr:grpSpPr>
                <xdr:sp macro="" textlink="">
                  <xdr:nvSpPr>
                    <xdr:cNvPr id="36" name="Rectangle 35">
                      <a:extLst>
                        <a:ext uri="{FF2B5EF4-FFF2-40B4-BE49-F238E27FC236}">
                          <a16:creationId xmlns:a16="http://schemas.microsoft.com/office/drawing/2014/main" id="{D32CC891-6AFA-4FCF-9092-74ED3FC6A1DF}"/>
                        </a:ext>
                      </a:extLst>
                    </xdr:cNvPr>
                    <xdr:cNvSpPr/>
                  </xdr:nvSpPr>
                  <xdr:spPr>
                    <a:xfrm>
                      <a:off x="12551228" y="1502228"/>
                      <a:ext cx="5916386" cy="308882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1" name="Chart 40">
                      <a:extLst>
                        <a:ext uri="{FF2B5EF4-FFF2-40B4-BE49-F238E27FC236}">
                          <a16:creationId xmlns:a16="http://schemas.microsoft.com/office/drawing/2014/main" id="{54340668-1FB9-47FE-9A70-D31FB451D85F}"/>
                        </a:ext>
                      </a:extLst>
                    </xdr:cNvPr>
                    <xdr:cNvGraphicFramePr>
                      <a:graphicFrameLocks/>
                    </xdr:cNvGraphicFramePr>
                  </xdr:nvGraphicFramePr>
                  <xdr:xfrm>
                    <a:off x="12551227" y="1502227"/>
                    <a:ext cx="5852160" cy="3069773"/>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92" name="Group 91">
                    <a:extLst>
                      <a:ext uri="{FF2B5EF4-FFF2-40B4-BE49-F238E27FC236}">
                        <a16:creationId xmlns:a16="http://schemas.microsoft.com/office/drawing/2014/main" id="{1BBEA526-94BF-4944-91C7-E74444A7277C}"/>
                      </a:ext>
                    </a:extLst>
                  </xdr:cNvPr>
                  <xdr:cNvGrpSpPr/>
                </xdr:nvGrpSpPr>
                <xdr:grpSpPr>
                  <a:xfrm>
                    <a:off x="12564835" y="4645477"/>
                    <a:ext cx="5916386" cy="3088823"/>
                    <a:chOff x="12564835" y="4645477"/>
                    <a:chExt cx="5916386" cy="3088823"/>
                  </a:xfrm>
                </xdr:grpSpPr>
                <xdr:sp macro="" textlink="">
                  <xdr:nvSpPr>
                    <xdr:cNvPr id="32" name="Rectangle 31">
                      <a:extLst>
                        <a:ext uri="{FF2B5EF4-FFF2-40B4-BE49-F238E27FC236}">
                          <a16:creationId xmlns:a16="http://schemas.microsoft.com/office/drawing/2014/main" id="{01EADAEF-B967-416E-8233-F806F575718A}"/>
                        </a:ext>
                      </a:extLst>
                    </xdr:cNvPr>
                    <xdr:cNvSpPr/>
                  </xdr:nvSpPr>
                  <xdr:spPr>
                    <a:xfrm>
                      <a:off x="12564835" y="4645478"/>
                      <a:ext cx="5916386" cy="308882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3" name="Chart 42">
                      <a:extLst>
                        <a:ext uri="{FF2B5EF4-FFF2-40B4-BE49-F238E27FC236}">
                          <a16:creationId xmlns:a16="http://schemas.microsoft.com/office/drawing/2014/main" id="{7F244B2A-3131-4F15-AF2E-3A082FD19591}"/>
                        </a:ext>
                      </a:extLst>
                    </xdr:cNvPr>
                    <xdr:cNvGraphicFramePr>
                      <a:graphicFrameLocks/>
                    </xdr:cNvGraphicFramePr>
                  </xdr:nvGraphicFramePr>
                  <xdr:xfrm>
                    <a:off x="12564835" y="4645477"/>
                    <a:ext cx="5886451" cy="3069773"/>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91" name="Group 90">
                    <a:extLst>
                      <a:ext uri="{FF2B5EF4-FFF2-40B4-BE49-F238E27FC236}">
                        <a16:creationId xmlns:a16="http://schemas.microsoft.com/office/drawing/2014/main" id="{5437F158-0FC3-42B3-B2DA-37EA12BF0ECA}"/>
                      </a:ext>
                    </a:extLst>
                  </xdr:cNvPr>
                  <xdr:cNvGrpSpPr/>
                </xdr:nvGrpSpPr>
                <xdr:grpSpPr>
                  <a:xfrm>
                    <a:off x="6574971" y="4601936"/>
                    <a:ext cx="5916386" cy="3162300"/>
                    <a:chOff x="6574971" y="4601936"/>
                    <a:chExt cx="5916386" cy="3162300"/>
                  </a:xfrm>
                </xdr:grpSpPr>
                <xdr:sp macro="" textlink="">
                  <xdr:nvSpPr>
                    <xdr:cNvPr id="22" name="Rectangle 21">
                      <a:extLst>
                        <a:ext uri="{FF2B5EF4-FFF2-40B4-BE49-F238E27FC236}">
                          <a16:creationId xmlns:a16="http://schemas.microsoft.com/office/drawing/2014/main" id="{98633B69-015E-4D3C-8ADE-59CDB29B1DC4}"/>
                        </a:ext>
                      </a:extLst>
                    </xdr:cNvPr>
                    <xdr:cNvSpPr/>
                  </xdr:nvSpPr>
                  <xdr:spPr>
                    <a:xfrm>
                      <a:off x="6574971" y="4642757"/>
                      <a:ext cx="5916386" cy="308882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2" name="Chart 61">
                      <a:extLst>
                        <a:ext uri="{FF2B5EF4-FFF2-40B4-BE49-F238E27FC236}">
                          <a16:creationId xmlns:a16="http://schemas.microsoft.com/office/drawing/2014/main" id="{02B285A5-B0A4-4E58-8E48-16D1648DB078}"/>
                        </a:ext>
                      </a:extLst>
                    </xdr:cNvPr>
                    <xdr:cNvGraphicFramePr>
                      <a:graphicFrameLocks/>
                    </xdr:cNvGraphicFramePr>
                  </xdr:nvGraphicFramePr>
                  <xdr:xfrm>
                    <a:off x="6574972" y="4980214"/>
                    <a:ext cx="5875564" cy="2784022"/>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71" name="Picture 70">
                      <a:extLst>
                        <a:ext uri="{FF2B5EF4-FFF2-40B4-BE49-F238E27FC236}">
                          <a16:creationId xmlns:a16="http://schemas.microsoft.com/office/drawing/2014/main" id="{705C03DB-1D78-44DC-A4C9-C7D05261B1C9}"/>
                        </a:ext>
                      </a:extLst>
                    </xdr:cNvPr>
                    <xdr:cNvPicPr>
                      <a:picLocks noChangeAspect="1"/>
                    </xdr:cNvPicPr>
                  </xdr:nvPicPr>
                  <xdr:blipFill>
                    <a:blip xmlns:r="http://schemas.openxmlformats.org/officeDocument/2006/relationships" r:embed="rId4"/>
                    <a:stretch>
                      <a:fillRect/>
                    </a:stretch>
                  </xdr:blipFill>
                  <xdr:spPr>
                    <a:xfrm>
                      <a:off x="8493578" y="4601936"/>
                      <a:ext cx="3058885" cy="573074"/>
                    </a:xfrm>
                    <a:prstGeom prst="rect">
                      <a:avLst/>
                    </a:prstGeom>
                  </xdr:spPr>
                </xdr:pic>
              </xdr:grpSp>
              <xdr:grpSp>
                <xdr:nvGrpSpPr>
                  <xdr:cNvPr id="89" name="Group 88">
                    <a:extLst>
                      <a:ext uri="{FF2B5EF4-FFF2-40B4-BE49-F238E27FC236}">
                        <a16:creationId xmlns:a16="http://schemas.microsoft.com/office/drawing/2014/main" id="{D6A5A6E9-5D83-4D9A-9AD8-CDDA4C5B3DB9}"/>
                      </a:ext>
                    </a:extLst>
                  </xdr:cNvPr>
                  <xdr:cNvGrpSpPr/>
                </xdr:nvGrpSpPr>
                <xdr:grpSpPr>
                  <a:xfrm>
                    <a:off x="6566807" y="1450521"/>
                    <a:ext cx="5916386" cy="3116036"/>
                    <a:chOff x="6566807" y="1450521"/>
                    <a:chExt cx="5916386" cy="3116036"/>
                  </a:xfrm>
                </xdr:grpSpPr>
                <xdr:sp macro="" textlink="">
                  <xdr:nvSpPr>
                    <xdr:cNvPr id="37" name="Rectangle 36">
                      <a:extLst>
                        <a:ext uri="{FF2B5EF4-FFF2-40B4-BE49-F238E27FC236}">
                          <a16:creationId xmlns:a16="http://schemas.microsoft.com/office/drawing/2014/main" id="{DB76DFA0-976E-4D8B-8CEC-9EDE26CC3700}"/>
                        </a:ext>
                      </a:extLst>
                    </xdr:cNvPr>
                    <xdr:cNvSpPr/>
                  </xdr:nvSpPr>
                  <xdr:spPr>
                    <a:xfrm>
                      <a:off x="6566807" y="1477735"/>
                      <a:ext cx="5916386" cy="308882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3" name="Chart 62">
                      <a:extLst>
                        <a:ext uri="{FF2B5EF4-FFF2-40B4-BE49-F238E27FC236}">
                          <a16:creationId xmlns:a16="http://schemas.microsoft.com/office/drawing/2014/main" id="{777489C7-9A4C-49CB-B77F-94D3CED7B8D3}"/>
                        </a:ext>
                      </a:extLst>
                    </xdr:cNvPr>
                    <xdr:cNvGraphicFramePr>
                      <a:graphicFrameLocks/>
                    </xdr:cNvGraphicFramePr>
                  </xdr:nvGraphicFramePr>
                  <xdr:xfrm>
                    <a:off x="6566807" y="1632857"/>
                    <a:ext cx="5870122" cy="290376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72" name="TextBox 71">
                      <a:extLst>
                        <a:ext uri="{FF2B5EF4-FFF2-40B4-BE49-F238E27FC236}">
                          <a16:creationId xmlns:a16="http://schemas.microsoft.com/office/drawing/2014/main" id="{C3685BF3-83F3-48D4-9F77-2B27279238AB}"/>
                        </a:ext>
                      </a:extLst>
                    </xdr:cNvPr>
                    <xdr:cNvSpPr txBox="1"/>
                  </xdr:nvSpPr>
                  <xdr:spPr>
                    <a:xfrm>
                      <a:off x="7750628" y="1450521"/>
                      <a:ext cx="3701143" cy="489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solidFill>
                            <a:sysClr val="windowText" lastClr="000000"/>
                          </a:solidFill>
                          <a:latin typeface="Times New Roman" panose="02020603050405020304" pitchFamily="18" charset="0"/>
                          <a:cs typeface="Times New Roman" panose="02020603050405020304" pitchFamily="18" charset="0"/>
                        </a:rPr>
                        <a:t>Revenue by Sale Rep</a:t>
                      </a:r>
                    </a:p>
                  </xdr:txBody>
                </xdr:sp>
              </xdr:grpSp>
            </xdr:grpSp>
            <xdr:grpSp>
              <xdr:nvGrpSpPr>
                <xdr:cNvPr id="88" name="Group 87">
                  <a:extLst>
                    <a:ext uri="{FF2B5EF4-FFF2-40B4-BE49-F238E27FC236}">
                      <a16:creationId xmlns:a16="http://schemas.microsoft.com/office/drawing/2014/main" id="{702C9E58-250C-4BD5-879A-9BB460487504}"/>
                    </a:ext>
                  </a:extLst>
                </xdr:cNvPr>
                <xdr:cNvGrpSpPr/>
              </xdr:nvGrpSpPr>
              <xdr:grpSpPr>
                <a:xfrm>
                  <a:off x="6531429" y="81655"/>
                  <a:ext cx="13840392" cy="4928603"/>
                  <a:chOff x="6531429" y="81655"/>
                  <a:chExt cx="13840392" cy="4928603"/>
                </a:xfrm>
              </xdr:grpSpPr>
              <xdr:grpSp>
                <xdr:nvGrpSpPr>
                  <xdr:cNvPr id="87" name="Group 86">
                    <a:extLst>
                      <a:ext uri="{FF2B5EF4-FFF2-40B4-BE49-F238E27FC236}">
                        <a16:creationId xmlns:a16="http://schemas.microsoft.com/office/drawing/2014/main" id="{BC2A759E-8AFA-4972-B94C-3F627A3ECF4A}"/>
                      </a:ext>
                    </a:extLst>
                  </xdr:cNvPr>
                  <xdr:cNvGrpSpPr/>
                </xdr:nvGrpSpPr>
                <xdr:grpSpPr>
                  <a:xfrm>
                    <a:off x="18543021" y="1469575"/>
                    <a:ext cx="1828800" cy="3540683"/>
                    <a:chOff x="18543021" y="1469575"/>
                    <a:chExt cx="1828800" cy="3540683"/>
                  </a:xfrm>
                </xdr:grpSpPr>
                <mc:AlternateContent xmlns:mc="http://schemas.openxmlformats.org/markup-compatibility/2006">
                  <mc:Choice xmlns:a14="http://schemas.microsoft.com/office/drawing/2010/main" Requires="a14">
                    <xdr:graphicFrame macro="">
                      <xdr:nvGraphicFramePr>
                        <xdr:cNvPr id="68" name="Region 1">
                          <a:extLst>
                            <a:ext uri="{FF2B5EF4-FFF2-40B4-BE49-F238E27FC236}">
                              <a16:creationId xmlns:a16="http://schemas.microsoft.com/office/drawing/2014/main" id="{50E335BD-27DB-4BC9-95C9-FE2CCE5C8FF9}"/>
                            </a:ext>
                          </a:extLst>
                        </xdr:cNvPr>
                        <xdr:cNvGraphicFramePr/>
                      </xdr:nvGraphicFramePr>
                      <xdr:xfrm>
                        <a:off x="18546534" y="1469575"/>
                        <a:ext cx="1809751" cy="1987566"/>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036247" y="1469592"/>
                          <a:ext cx="1887524" cy="2092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9" name="Category 1">
                          <a:extLst>
                            <a:ext uri="{FF2B5EF4-FFF2-40B4-BE49-F238E27FC236}">
                              <a16:creationId xmlns:a16="http://schemas.microsoft.com/office/drawing/2014/main" id="{46B07FDA-C1AA-4896-AF06-966178E15869}"/>
                            </a:ext>
                          </a:extLst>
                        </xdr:cNvPr>
                        <xdr:cNvGraphicFramePr/>
                      </xdr:nvGraphicFramePr>
                      <xdr:xfrm>
                        <a:off x="18543021" y="3495927"/>
                        <a:ext cx="1828800" cy="1514331"/>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032583" y="3602940"/>
                          <a:ext cx="1907392" cy="1594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86" name="Group 85">
                    <a:extLst>
                      <a:ext uri="{FF2B5EF4-FFF2-40B4-BE49-F238E27FC236}">
                        <a16:creationId xmlns:a16="http://schemas.microsoft.com/office/drawing/2014/main" id="{7154EF37-895D-41CB-A509-4B26AAA401A3}"/>
                      </a:ext>
                    </a:extLst>
                  </xdr:cNvPr>
                  <xdr:cNvGrpSpPr/>
                </xdr:nvGrpSpPr>
                <xdr:grpSpPr>
                  <a:xfrm>
                    <a:off x="6531429" y="81655"/>
                    <a:ext cx="13838464" cy="1338929"/>
                    <a:chOff x="6531429" y="81655"/>
                    <a:chExt cx="13838464" cy="1338929"/>
                  </a:xfrm>
                </xdr:grpSpPr>
                <xdr:grpSp>
                  <xdr:nvGrpSpPr>
                    <xdr:cNvPr id="85" name="Group 84">
                      <a:extLst>
                        <a:ext uri="{FF2B5EF4-FFF2-40B4-BE49-F238E27FC236}">
                          <a16:creationId xmlns:a16="http://schemas.microsoft.com/office/drawing/2014/main" id="{80C79079-8EC4-4617-998D-688780AFDC99}"/>
                        </a:ext>
                      </a:extLst>
                    </xdr:cNvPr>
                    <xdr:cNvGrpSpPr/>
                  </xdr:nvGrpSpPr>
                  <xdr:grpSpPr>
                    <a:xfrm>
                      <a:off x="6531429" y="95250"/>
                      <a:ext cx="5932714" cy="1319893"/>
                      <a:chOff x="6531429" y="95250"/>
                      <a:chExt cx="5932714" cy="1319893"/>
                    </a:xfrm>
                  </xdr:grpSpPr>
                  <xdr:sp macro="" textlink="">
                    <xdr:nvSpPr>
                      <xdr:cNvPr id="4" name="Rectangle: Rounded Corners 3">
                        <a:extLst>
                          <a:ext uri="{FF2B5EF4-FFF2-40B4-BE49-F238E27FC236}">
                            <a16:creationId xmlns:a16="http://schemas.microsoft.com/office/drawing/2014/main" id="{4C791F47-F27F-4FCE-86E5-B4E476EF8B32}"/>
                          </a:ext>
                        </a:extLst>
                      </xdr:cNvPr>
                      <xdr:cNvSpPr/>
                    </xdr:nvSpPr>
                    <xdr:spPr>
                      <a:xfrm>
                        <a:off x="6531429" y="95250"/>
                        <a:ext cx="5932714" cy="1319893"/>
                      </a:xfrm>
                      <a:prstGeom prst="roundRect">
                        <a:avLst>
                          <a:gd name="adj" fmla="val 1151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BD321576-8AE4-4F75-B9ED-41CEB946135A}"/>
                          </a:ext>
                        </a:extLst>
                      </xdr:cNvPr>
                      <xdr:cNvSpPr txBox="1"/>
                    </xdr:nvSpPr>
                    <xdr:spPr>
                      <a:xfrm>
                        <a:off x="6585858" y="122465"/>
                        <a:ext cx="5823857" cy="1251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800">
                            <a:latin typeface="Onyx" panose="04050602080702020203" pitchFamily="82" charset="0"/>
                          </a:rPr>
                          <a:t>Sales Dashboard</a:t>
                        </a:r>
                      </a:p>
                    </xdr:txBody>
                  </xdr:sp>
                </xdr:grpSp>
                <xdr:grpSp>
                  <xdr:nvGrpSpPr>
                    <xdr:cNvPr id="81" name="Group 80">
                      <a:extLst>
                        <a:ext uri="{FF2B5EF4-FFF2-40B4-BE49-F238E27FC236}">
                          <a16:creationId xmlns:a16="http://schemas.microsoft.com/office/drawing/2014/main" id="{14C00A31-4FD1-4C58-9A5F-E5264D96FFB5}"/>
                        </a:ext>
                      </a:extLst>
                    </xdr:cNvPr>
                    <xdr:cNvGrpSpPr/>
                  </xdr:nvGrpSpPr>
                  <xdr:grpSpPr>
                    <a:xfrm>
                      <a:off x="12820651" y="95247"/>
                      <a:ext cx="1828799" cy="1319893"/>
                      <a:chOff x="12820651" y="95247"/>
                      <a:chExt cx="1828799" cy="1319893"/>
                    </a:xfrm>
                  </xdr:grpSpPr>
                  <xdr:sp macro="" textlink="">
                    <xdr:nvSpPr>
                      <xdr:cNvPr id="35" name="Rectangle: Rounded Corners 34">
                        <a:extLst>
                          <a:ext uri="{FF2B5EF4-FFF2-40B4-BE49-F238E27FC236}">
                            <a16:creationId xmlns:a16="http://schemas.microsoft.com/office/drawing/2014/main" id="{3362CE11-02FD-41E0-A6C7-617C88570AF9}"/>
                          </a:ext>
                        </a:extLst>
                      </xdr:cNvPr>
                      <xdr:cNvSpPr/>
                    </xdr:nvSpPr>
                    <xdr:spPr>
                      <a:xfrm>
                        <a:off x="12820651" y="95247"/>
                        <a:ext cx="1828799" cy="1319893"/>
                      </a:xfrm>
                      <a:prstGeom prst="roundRect">
                        <a:avLst>
                          <a:gd name="adj" fmla="val 842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3" name="Picture 52">
                        <a:extLst>
                          <a:ext uri="{FF2B5EF4-FFF2-40B4-BE49-F238E27FC236}">
                            <a16:creationId xmlns:a16="http://schemas.microsoft.com/office/drawing/2014/main" id="{32E75D37-0D88-45BB-95D0-6E596E6B476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056179" y="113690"/>
                        <a:ext cx="544285" cy="580273"/>
                      </a:xfrm>
                      <a:prstGeom prst="rect">
                        <a:avLst/>
                      </a:prstGeom>
                    </xdr:spPr>
                  </xdr:pic>
                  <xdr:sp macro="" textlink="">
                    <xdr:nvSpPr>
                      <xdr:cNvPr id="64" name="TextBox 63">
                        <a:extLst>
                          <a:ext uri="{FF2B5EF4-FFF2-40B4-BE49-F238E27FC236}">
                            <a16:creationId xmlns:a16="http://schemas.microsoft.com/office/drawing/2014/main" id="{D54394F8-56CA-4EE6-A0A2-64E28AE33402}"/>
                          </a:ext>
                        </a:extLst>
                      </xdr:cNvPr>
                      <xdr:cNvSpPr txBox="1"/>
                    </xdr:nvSpPr>
                    <xdr:spPr>
                      <a:xfrm>
                        <a:off x="12831535" y="190499"/>
                        <a:ext cx="1211036"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0">
                            <a:latin typeface="Onyx" panose="04050602080702020203" pitchFamily="82" charset="0"/>
                          </a:rPr>
                          <a:t>Revenue</a:t>
                        </a:r>
                      </a:p>
                    </xdr:txBody>
                  </xdr:sp>
                  <xdr:sp macro="" textlink="'Pivot Table'!B26">
                    <xdr:nvSpPr>
                      <xdr:cNvPr id="74" name="TextBox 73">
                        <a:extLst>
                          <a:ext uri="{FF2B5EF4-FFF2-40B4-BE49-F238E27FC236}">
                            <a16:creationId xmlns:a16="http://schemas.microsoft.com/office/drawing/2014/main" id="{3D6F7BEE-6CE6-491D-80FE-F687C175ADDE}"/>
                          </a:ext>
                        </a:extLst>
                      </xdr:cNvPr>
                      <xdr:cNvSpPr txBox="1"/>
                    </xdr:nvSpPr>
                    <xdr:spPr>
                      <a:xfrm>
                        <a:off x="12885963" y="734786"/>
                        <a:ext cx="1700893"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04C358-E105-4A6F-B402-634F5A15C6EB}" type="TxLink">
                          <a:rPr lang="en-US" sz="3200" b="0" i="0" u="none" strike="noStrike">
                            <a:solidFill>
                              <a:srgbClr val="000000"/>
                            </a:solidFill>
                            <a:latin typeface="Times New Roman" panose="02020603050405020304" pitchFamily="18" charset="0"/>
                            <a:cs typeface="Times New Roman" panose="02020603050405020304" pitchFamily="18" charset="0"/>
                          </a:rPr>
                          <a:pPr algn="ctr"/>
                          <a:t>₦2.3B</a:t>
                        </a:fld>
                        <a:endParaRPr lang="en-US" sz="3200" b="0">
                          <a:latin typeface="Times New Roman" panose="02020603050405020304" pitchFamily="18" charset="0"/>
                          <a:cs typeface="Times New Roman" panose="02020603050405020304" pitchFamily="18" charset="0"/>
                        </a:endParaRPr>
                      </a:p>
                    </xdr:txBody>
                  </xdr:sp>
                </xdr:grpSp>
                <xdr:grpSp>
                  <xdr:nvGrpSpPr>
                    <xdr:cNvPr id="82" name="Group 81">
                      <a:extLst>
                        <a:ext uri="{FF2B5EF4-FFF2-40B4-BE49-F238E27FC236}">
                          <a16:creationId xmlns:a16="http://schemas.microsoft.com/office/drawing/2014/main" id="{8016915D-43C1-463E-B6F4-078B0792BD05}"/>
                        </a:ext>
                      </a:extLst>
                    </xdr:cNvPr>
                    <xdr:cNvGrpSpPr/>
                  </xdr:nvGrpSpPr>
                  <xdr:grpSpPr>
                    <a:xfrm>
                      <a:off x="14736536" y="92526"/>
                      <a:ext cx="1828799" cy="1319893"/>
                      <a:chOff x="14736536" y="92526"/>
                      <a:chExt cx="1828799" cy="1319893"/>
                    </a:xfrm>
                  </xdr:grpSpPr>
                  <xdr:sp macro="" textlink="">
                    <xdr:nvSpPr>
                      <xdr:cNvPr id="34" name="Rectangle: Rounded Corners 33">
                        <a:extLst>
                          <a:ext uri="{FF2B5EF4-FFF2-40B4-BE49-F238E27FC236}">
                            <a16:creationId xmlns:a16="http://schemas.microsoft.com/office/drawing/2014/main" id="{253C6350-BB47-4B55-9195-A1445C0D030E}"/>
                          </a:ext>
                        </a:extLst>
                      </xdr:cNvPr>
                      <xdr:cNvSpPr/>
                    </xdr:nvSpPr>
                    <xdr:spPr>
                      <a:xfrm>
                        <a:off x="14736536" y="92526"/>
                        <a:ext cx="1828799" cy="1319893"/>
                      </a:xfrm>
                      <a:prstGeom prst="roundRect">
                        <a:avLst>
                          <a:gd name="adj" fmla="val 842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1" name="Picture 60">
                        <a:extLst>
                          <a:ext uri="{FF2B5EF4-FFF2-40B4-BE49-F238E27FC236}">
                            <a16:creationId xmlns:a16="http://schemas.microsoft.com/office/drawing/2014/main" id="{60F960BD-CFAB-460E-916F-A8200644CE6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961178" y="101375"/>
                        <a:ext cx="578983" cy="578983"/>
                      </a:xfrm>
                      <a:prstGeom prst="rect">
                        <a:avLst/>
                      </a:prstGeom>
                    </xdr:spPr>
                  </xdr:pic>
                  <xdr:sp macro="" textlink="">
                    <xdr:nvSpPr>
                      <xdr:cNvPr id="65" name="TextBox 64">
                        <a:extLst>
                          <a:ext uri="{FF2B5EF4-FFF2-40B4-BE49-F238E27FC236}">
                            <a16:creationId xmlns:a16="http://schemas.microsoft.com/office/drawing/2014/main" id="{5DCC38E4-311B-442D-89F7-86D1716E082A}"/>
                          </a:ext>
                        </a:extLst>
                      </xdr:cNvPr>
                      <xdr:cNvSpPr txBox="1"/>
                    </xdr:nvSpPr>
                    <xdr:spPr>
                      <a:xfrm>
                        <a:off x="14766471" y="166007"/>
                        <a:ext cx="121103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Onyx" panose="04050602080702020203" pitchFamily="82" charset="0"/>
                          </a:rPr>
                          <a:t>Profit</a:t>
                        </a:r>
                      </a:p>
                    </xdr:txBody>
                  </xdr:sp>
                  <xdr:sp macro="" textlink="'Pivot Table'!B14">
                    <xdr:nvSpPr>
                      <xdr:cNvPr id="75" name="TextBox 74">
                        <a:extLst>
                          <a:ext uri="{FF2B5EF4-FFF2-40B4-BE49-F238E27FC236}">
                            <a16:creationId xmlns:a16="http://schemas.microsoft.com/office/drawing/2014/main" id="{4266E89B-C404-4751-805A-86C1085F1814}"/>
                          </a:ext>
                        </a:extLst>
                      </xdr:cNvPr>
                      <xdr:cNvSpPr txBox="1"/>
                    </xdr:nvSpPr>
                    <xdr:spPr>
                      <a:xfrm>
                        <a:off x="14834505" y="710294"/>
                        <a:ext cx="1643745"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9EFD02-C86E-4A40-9DAB-4D540FD61233}" type="TxLink">
                          <a:rPr lang="en-US" sz="3200" b="0" i="0" u="none" strike="noStrike">
                            <a:solidFill>
                              <a:srgbClr val="000000"/>
                            </a:solidFill>
                            <a:latin typeface="Times New Roman" panose="02020603050405020304" pitchFamily="18" charset="0"/>
                            <a:cs typeface="Times New Roman" panose="02020603050405020304" pitchFamily="18" charset="0"/>
                          </a:rPr>
                          <a:pPr algn="ctr"/>
                          <a:t>₦466M</a:t>
                        </a:fld>
                        <a:endParaRPr lang="en-US" sz="3200" b="0">
                          <a:latin typeface="Times New Roman" panose="02020603050405020304" pitchFamily="18" charset="0"/>
                          <a:cs typeface="Times New Roman" panose="02020603050405020304" pitchFamily="18" charset="0"/>
                        </a:endParaRPr>
                      </a:p>
                    </xdr:txBody>
                  </xdr:sp>
                </xdr:grpSp>
                <xdr:grpSp>
                  <xdr:nvGrpSpPr>
                    <xdr:cNvPr id="83" name="Group 82">
                      <a:extLst>
                        <a:ext uri="{FF2B5EF4-FFF2-40B4-BE49-F238E27FC236}">
                          <a16:creationId xmlns:a16="http://schemas.microsoft.com/office/drawing/2014/main" id="{728AB7ED-57D5-4014-A492-4E9C8C42C2E3}"/>
                        </a:ext>
                      </a:extLst>
                    </xdr:cNvPr>
                    <xdr:cNvGrpSpPr/>
                  </xdr:nvGrpSpPr>
                  <xdr:grpSpPr>
                    <a:xfrm>
                      <a:off x="16638816" y="81655"/>
                      <a:ext cx="1828799" cy="1328043"/>
                      <a:chOff x="16638816" y="81655"/>
                      <a:chExt cx="1828799" cy="1328043"/>
                    </a:xfrm>
                  </xdr:grpSpPr>
                  <xdr:sp macro="" textlink="">
                    <xdr:nvSpPr>
                      <xdr:cNvPr id="33" name="Rectangle: Rounded Corners 32">
                        <a:extLst>
                          <a:ext uri="{FF2B5EF4-FFF2-40B4-BE49-F238E27FC236}">
                            <a16:creationId xmlns:a16="http://schemas.microsoft.com/office/drawing/2014/main" id="{63AC586C-47AC-441B-9AD0-574497CBB5D0}"/>
                          </a:ext>
                        </a:extLst>
                      </xdr:cNvPr>
                      <xdr:cNvSpPr/>
                    </xdr:nvSpPr>
                    <xdr:spPr>
                      <a:xfrm>
                        <a:off x="16638816" y="89805"/>
                        <a:ext cx="1828799" cy="1319893"/>
                      </a:xfrm>
                      <a:prstGeom prst="roundRect">
                        <a:avLst>
                          <a:gd name="adj" fmla="val 842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5" name="Picture 54">
                        <a:extLst>
                          <a:ext uri="{FF2B5EF4-FFF2-40B4-BE49-F238E27FC236}">
                            <a16:creationId xmlns:a16="http://schemas.microsoft.com/office/drawing/2014/main" id="{977CC609-1115-4FB4-A174-3F1BF72799C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7838961" y="81655"/>
                        <a:ext cx="612323" cy="612323"/>
                      </a:xfrm>
                      <a:prstGeom prst="rect">
                        <a:avLst/>
                      </a:prstGeom>
                    </xdr:spPr>
                  </xdr:pic>
                  <xdr:sp macro="" textlink="">
                    <xdr:nvSpPr>
                      <xdr:cNvPr id="66" name="TextBox 65">
                        <a:extLst>
                          <a:ext uri="{FF2B5EF4-FFF2-40B4-BE49-F238E27FC236}">
                            <a16:creationId xmlns:a16="http://schemas.microsoft.com/office/drawing/2014/main" id="{5F3AD4E4-84F1-4903-AC14-36EFAC71E6E1}"/>
                          </a:ext>
                        </a:extLst>
                      </xdr:cNvPr>
                      <xdr:cNvSpPr txBox="1"/>
                    </xdr:nvSpPr>
                    <xdr:spPr>
                      <a:xfrm>
                        <a:off x="16674191" y="168728"/>
                        <a:ext cx="1211036" cy="525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Onyx" panose="04050602080702020203" pitchFamily="82" charset="0"/>
                          </a:rPr>
                          <a:t>COGS</a:t>
                        </a:r>
                      </a:p>
                    </xdr:txBody>
                  </xdr:sp>
                  <xdr:sp macro="" textlink="'Pivot Table'!B36">
                    <xdr:nvSpPr>
                      <xdr:cNvPr id="76" name="TextBox 75">
                        <a:extLst>
                          <a:ext uri="{FF2B5EF4-FFF2-40B4-BE49-F238E27FC236}">
                            <a16:creationId xmlns:a16="http://schemas.microsoft.com/office/drawing/2014/main" id="{4BB05D25-51FA-4FBD-827E-0A70B6E335EB}"/>
                          </a:ext>
                        </a:extLst>
                      </xdr:cNvPr>
                      <xdr:cNvSpPr txBox="1"/>
                    </xdr:nvSpPr>
                    <xdr:spPr>
                      <a:xfrm>
                        <a:off x="16715012" y="699408"/>
                        <a:ext cx="1681845"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79B29C-4892-442D-BEBA-10194E70C2DE}" type="TxLink">
                          <a:rPr lang="en-US" sz="3200" b="0" i="0" u="none" strike="noStrike">
                            <a:solidFill>
                              <a:srgbClr val="000000"/>
                            </a:solidFill>
                            <a:latin typeface="Times New Roman" panose="02020603050405020304" pitchFamily="18" charset="0"/>
                            <a:cs typeface="Times New Roman" panose="02020603050405020304" pitchFamily="18" charset="0"/>
                          </a:rPr>
                          <a:pPr algn="ctr"/>
                          <a:t>₦1.9B</a:t>
                        </a:fld>
                        <a:endParaRPr lang="en-US" sz="3200" b="0">
                          <a:latin typeface="Times New Roman" panose="02020603050405020304" pitchFamily="18" charset="0"/>
                          <a:cs typeface="Times New Roman" panose="02020603050405020304" pitchFamily="18" charset="0"/>
                        </a:endParaRPr>
                      </a:p>
                    </xdr:txBody>
                  </xdr:sp>
                </xdr:grpSp>
                <xdr:grpSp>
                  <xdr:nvGrpSpPr>
                    <xdr:cNvPr id="84" name="Group 83">
                      <a:extLst>
                        <a:ext uri="{FF2B5EF4-FFF2-40B4-BE49-F238E27FC236}">
                          <a16:creationId xmlns:a16="http://schemas.microsoft.com/office/drawing/2014/main" id="{1ED7CFAE-AEEF-45DD-9CE8-DECFDEF3C96E}"/>
                        </a:ext>
                      </a:extLst>
                    </xdr:cNvPr>
                    <xdr:cNvGrpSpPr/>
                  </xdr:nvGrpSpPr>
                  <xdr:grpSpPr>
                    <a:xfrm>
                      <a:off x="18541094" y="100691"/>
                      <a:ext cx="1828799" cy="1319893"/>
                      <a:chOff x="18541094" y="100691"/>
                      <a:chExt cx="1828799" cy="1319893"/>
                    </a:xfrm>
                  </xdr:grpSpPr>
                  <xdr:sp macro="" textlink="">
                    <xdr:nvSpPr>
                      <xdr:cNvPr id="28" name="Rectangle: Rounded Corners 27">
                        <a:extLst>
                          <a:ext uri="{FF2B5EF4-FFF2-40B4-BE49-F238E27FC236}">
                            <a16:creationId xmlns:a16="http://schemas.microsoft.com/office/drawing/2014/main" id="{FDF8EFA3-5123-4259-ABA7-1CD34767FA56}"/>
                          </a:ext>
                        </a:extLst>
                      </xdr:cNvPr>
                      <xdr:cNvSpPr/>
                    </xdr:nvSpPr>
                    <xdr:spPr>
                      <a:xfrm>
                        <a:off x="18541094" y="100691"/>
                        <a:ext cx="1828799" cy="1319893"/>
                      </a:xfrm>
                      <a:prstGeom prst="roundRect">
                        <a:avLst>
                          <a:gd name="adj" fmla="val 842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000</a:t>
                        </a:r>
                      </a:p>
                    </xdr:txBody>
                  </xdr:sp>
                  <xdr:pic>
                    <xdr:nvPicPr>
                      <xdr:cNvPr id="57" name="Picture 56">
                        <a:extLst>
                          <a:ext uri="{FF2B5EF4-FFF2-40B4-BE49-F238E27FC236}">
                            <a16:creationId xmlns:a16="http://schemas.microsoft.com/office/drawing/2014/main" id="{9704A757-4365-4EF7-B3C0-A0B49C7EA6E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703144" y="163285"/>
                        <a:ext cx="659267" cy="659267"/>
                      </a:xfrm>
                      <a:prstGeom prst="rect">
                        <a:avLst/>
                      </a:prstGeom>
                    </xdr:spPr>
                  </xdr:pic>
                  <xdr:sp macro="" textlink="">
                    <xdr:nvSpPr>
                      <xdr:cNvPr id="67" name="TextBox 66">
                        <a:extLst>
                          <a:ext uri="{FF2B5EF4-FFF2-40B4-BE49-F238E27FC236}">
                            <a16:creationId xmlns:a16="http://schemas.microsoft.com/office/drawing/2014/main" id="{11BD0103-F2A4-432F-926A-D55FB16BB890}"/>
                          </a:ext>
                        </a:extLst>
                      </xdr:cNvPr>
                      <xdr:cNvSpPr txBox="1"/>
                    </xdr:nvSpPr>
                    <xdr:spPr>
                      <a:xfrm>
                        <a:off x="18560142" y="185058"/>
                        <a:ext cx="1238251" cy="468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latin typeface="Onyx" panose="04050602080702020203" pitchFamily="82" charset="0"/>
                          </a:rPr>
                          <a:t>Customer</a:t>
                        </a:r>
                      </a:p>
                    </xdr:txBody>
                  </xdr:sp>
                  <xdr:sp macro="" textlink="'Pivot Table'!B47">
                    <xdr:nvSpPr>
                      <xdr:cNvPr id="77" name="TextBox 76">
                        <a:extLst>
                          <a:ext uri="{FF2B5EF4-FFF2-40B4-BE49-F238E27FC236}">
                            <a16:creationId xmlns:a16="http://schemas.microsoft.com/office/drawing/2014/main" id="{0768CE89-1B01-4CFF-91B1-317122A71A3C}"/>
                          </a:ext>
                        </a:extLst>
                      </xdr:cNvPr>
                      <xdr:cNvSpPr txBox="1"/>
                    </xdr:nvSpPr>
                    <xdr:spPr>
                      <a:xfrm>
                        <a:off x="18600964" y="688523"/>
                        <a:ext cx="1687286"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7BE214-7E26-4695-97F2-DD811C9DF97B}" type="TxLink">
                          <a:rPr lang="en-US" sz="3200" b="0" i="0" u="none" strike="noStrike">
                            <a:solidFill>
                              <a:srgbClr val="000000"/>
                            </a:solidFill>
                            <a:latin typeface="Times New Roman" panose="02020603050405020304" pitchFamily="18" charset="0"/>
                            <a:cs typeface="Times New Roman" panose="02020603050405020304" pitchFamily="18" charset="0"/>
                          </a:rPr>
                          <a:pPr algn="ctr"/>
                          <a:t>2K</a:t>
                        </a:fld>
                        <a:endParaRPr lang="en-US" sz="3200" b="0">
                          <a:latin typeface="Times New Roman" panose="02020603050405020304" pitchFamily="18" charset="0"/>
                          <a:cs typeface="Times New Roman" panose="02020603050405020304" pitchFamily="18" charset="0"/>
                        </a:endParaRPr>
                      </a:p>
                    </xdr:txBody>
                  </xdr:sp>
                </xdr:grpSp>
              </xdr:grpSp>
            </xdr:grpSp>
          </xdr:grpSp>
        </xdr:grpSp>
        <xdr:grpSp>
          <xdr:nvGrpSpPr>
            <xdr:cNvPr id="9" name="Group 8">
              <a:extLst>
                <a:ext uri="{FF2B5EF4-FFF2-40B4-BE49-F238E27FC236}">
                  <a16:creationId xmlns:a16="http://schemas.microsoft.com/office/drawing/2014/main" id="{DD733145-77D5-46D2-906E-B3D2CF7F1D3F}"/>
                </a:ext>
              </a:extLst>
            </xdr:cNvPr>
            <xdr:cNvGrpSpPr/>
          </xdr:nvGrpSpPr>
          <xdr:grpSpPr>
            <a:xfrm>
              <a:off x="18687143" y="5302250"/>
              <a:ext cx="1886858" cy="2809875"/>
              <a:chOff x="18687143" y="5302250"/>
              <a:chExt cx="1886858" cy="2809875"/>
            </a:xfrm>
          </xdr:grpSpPr>
          <xdr:sp macro="" textlink="">
            <xdr:nvSpPr>
              <xdr:cNvPr id="7" name="Rectangle 6">
                <a:extLst>
                  <a:ext uri="{FF2B5EF4-FFF2-40B4-BE49-F238E27FC236}">
                    <a16:creationId xmlns:a16="http://schemas.microsoft.com/office/drawing/2014/main" id="{9E4F7E7B-F0A3-40C0-9FC0-E3893450DD76}"/>
                  </a:ext>
                </a:extLst>
              </xdr:cNvPr>
              <xdr:cNvSpPr/>
            </xdr:nvSpPr>
            <xdr:spPr>
              <a:xfrm>
                <a:off x="18687143" y="5302250"/>
                <a:ext cx="1886857" cy="28098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C9A7D88F-C19F-41EE-823C-D957DD980738}"/>
                  </a:ext>
                </a:extLst>
              </xdr:cNvPr>
              <xdr:cNvSpPr txBox="1"/>
            </xdr:nvSpPr>
            <xdr:spPr>
              <a:xfrm>
                <a:off x="18712089" y="5311318"/>
                <a:ext cx="1861912" cy="2769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500" b="1">
                    <a:latin typeface="Times New Roman" panose="02020603050405020304" pitchFamily="18" charset="0"/>
                    <a:cs typeface="Times New Roman" panose="02020603050405020304" pitchFamily="18" charset="0"/>
                  </a:rPr>
                  <a:t>Key Insights</a:t>
                </a:r>
                <a:endParaRPr lang="en-US" sz="1500">
                  <a:latin typeface="Times New Roman" panose="02020603050405020304" pitchFamily="18" charset="0"/>
                  <a:cs typeface="Times New Roman" panose="02020603050405020304" pitchFamily="18" charset="0"/>
                </a:endParaRPr>
              </a:p>
              <a:p>
                <a:pPr algn="l"/>
                <a:r>
                  <a:rPr lang="en-US" sz="1500">
                    <a:latin typeface="Times New Roman" panose="02020603050405020304" pitchFamily="18" charset="0"/>
                    <a:cs typeface="Times New Roman" panose="02020603050405020304" pitchFamily="18" charset="0"/>
                  </a:rPr>
                  <a:t>. Peter is the top-performing sales rep.</a:t>
                </a:r>
              </a:p>
              <a:p>
                <a:pPr algn="l"/>
                <a:r>
                  <a:rPr lang="en-US" sz="1500">
                    <a:latin typeface="Times New Roman" panose="02020603050405020304" pitchFamily="18" charset="0"/>
                    <a:cs typeface="Times New Roman" panose="02020603050405020304" pitchFamily="18" charset="0"/>
                  </a:rPr>
                  <a:t>. Laptop A13 generates the highest profit.</a:t>
                </a:r>
              </a:p>
              <a:p>
                <a:pPr algn="l"/>
                <a:r>
                  <a:rPr lang="en-US" sz="1500">
                    <a:latin typeface="Times New Roman" panose="02020603050405020304" pitchFamily="18" charset="0"/>
                    <a:cs typeface="Times New Roman" panose="02020603050405020304" pitchFamily="18" charset="0"/>
                  </a:rPr>
                  <a:t>. Lagos and Kano account for over 50% of total COGS.</a:t>
                </a:r>
              </a:p>
              <a:p>
                <a:pPr algn="l"/>
                <a:r>
                  <a:rPr lang="en-US" sz="1500">
                    <a:latin typeface="Times New Roman" panose="02020603050405020304" pitchFamily="18" charset="0"/>
                    <a:cs typeface="Times New Roman" panose="02020603050405020304" pitchFamily="18" charset="0"/>
                  </a:rPr>
                  <a:t>. Customer count shows steady growth from Jan–Apr.</a:t>
                </a:r>
              </a:p>
              <a:p>
                <a:pPr algn="l"/>
                <a:endParaRPr lang="en-US" sz="1500">
                  <a:latin typeface="Times New Roman" panose="02020603050405020304" pitchFamily="18" charset="0"/>
                  <a:cs typeface="Times New Roman" panose="02020603050405020304" pitchFamily="18" charset="0"/>
                </a:endParaRPr>
              </a:p>
            </xdr:txBody>
          </xdr:sp>
        </xdr:grpSp>
      </xdr:grpSp>
      <xdr:grpSp>
        <xdr:nvGrpSpPr>
          <xdr:cNvPr id="13" name="Group 12">
            <a:extLst>
              <a:ext uri="{FF2B5EF4-FFF2-40B4-BE49-F238E27FC236}">
                <a16:creationId xmlns:a16="http://schemas.microsoft.com/office/drawing/2014/main" id="{34AE4AF2-E8A9-4294-8937-498F29C35528}"/>
              </a:ext>
            </a:extLst>
          </xdr:cNvPr>
          <xdr:cNvGrpSpPr/>
        </xdr:nvGrpSpPr>
        <xdr:grpSpPr>
          <a:xfrm>
            <a:off x="14509750" y="2651125"/>
            <a:ext cx="1603375" cy="1587500"/>
            <a:chOff x="21780500" y="2413000"/>
            <a:chExt cx="1603375" cy="1587500"/>
          </a:xfrm>
        </xdr:grpSpPr>
        <xdr:sp macro="" textlink="">
          <xdr:nvSpPr>
            <xdr:cNvPr id="11" name="Oval 10">
              <a:extLst>
                <a:ext uri="{FF2B5EF4-FFF2-40B4-BE49-F238E27FC236}">
                  <a16:creationId xmlns:a16="http://schemas.microsoft.com/office/drawing/2014/main" id="{76DDCED3-B1D1-45EA-8F99-39A4419C36B6}"/>
                </a:ext>
              </a:extLst>
            </xdr:cNvPr>
            <xdr:cNvSpPr/>
          </xdr:nvSpPr>
          <xdr:spPr>
            <a:xfrm>
              <a:off x="21780500" y="2413000"/>
              <a:ext cx="1603375" cy="158750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E061B5AF-99DD-4654-A80C-5BBA4C3704A4}"/>
                </a:ext>
              </a:extLst>
            </xdr:cNvPr>
            <xdr:cNvSpPr txBox="1"/>
          </xdr:nvSpPr>
          <xdr:spPr>
            <a:xfrm>
              <a:off x="21955125" y="2635250"/>
              <a:ext cx="13017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Total</a:t>
              </a:r>
              <a:r>
                <a:rPr lang="en-US" sz="1600" b="1" baseline="0">
                  <a:latin typeface="Times New Roman" panose="02020603050405020304" pitchFamily="18" charset="0"/>
                  <a:cs typeface="Times New Roman" panose="02020603050405020304" pitchFamily="18" charset="0"/>
                </a:rPr>
                <a:t> COGS</a:t>
              </a:r>
              <a:endParaRPr lang="en-US" sz="1600" b="1">
                <a:latin typeface="Times New Roman" panose="02020603050405020304" pitchFamily="18" charset="0"/>
                <a:cs typeface="Times New Roman" panose="02020603050405020304" pitchFamily="18" charset="0"/>
              </a:endParaRPr>
            </a:p>
          </xdr:txBody>
        </xdr:sp>
        <xdr:sp macro="" textlink="'Pivot Table'!B36">
          <xdr:nvSpPr>
            <xdr:cNvPr id="56" name="TextBox 55">
              <a:extLst>
                <a:ext uri="{FF2B5EF4-FFF2-40B4-BE49-F238E27FC236}">
                  <a16:creationId xmlns:a16="http://schemas.microsoft.com/office/drawing/2014/main" id="{2F2162F8-1064-4E48-94F3-ADAE3ADAB90B}"/>
                </a:ext>
              </a:extLst>
            </xdr:cNvPr>
            <xdr:cNvSpPr txBox="1"/>
          </xdr:nvSpPr>
          <xdr:spPr>
            <a:xfrm>
              <a:off x="21844000" y="2994024"/>
              <a:ext cx="14287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CEE2AF-AE5D-473F-8F41-A5EAA7FF2AAA}" type="TxLink">
                <a:rPr lang="en-US" sz="3200" b="0" i="0" u="none" strike="noStrike">
                  <a:solidFill>
                    <a:srgbClr val="000000"/>
                  </a:solidFill>
                  <a:latin typeface="Times New Roman" panose="02020603050405020304" pitchFamily="18" charset="0"/>
                  <a:cs typeface="Times New Roman" panose="02020603050405020304" pitchFamily="18" charset="0"/>
                </a:rPr>
                <a:pPr algn="ctr"/>
                <a:t>₦1.9B</a:t>
              </a:fld>
              <a:endParaRPr lang="en-US" sz="4000">
                <a:latin typeface="Times New Roman" panose="02020603050405020304" pitchFamily="18" charset="0"/>
                <a:cs typeface="Times New Roman" panose="02020603050405020304" pitchFamily="18" charset="0"/>
              </a:endParaRPr>
            </a:p>
          </xdr:txBody>
        </xdr:sp>
      </xdr:grpSp>
    </xdr:grpSp>
    <xdr:clientData/>
  </xdr:twoCellAnchor>
</xdr:wsDr>
</file>

<file path=xl/drawings/drawing3.xml><?xml version="1.0" encoding="utf-8"?>
<c:userShapes xmlns:c="http://schemas.openxmlformats.org/drawingml/2006/chart">
  <cdr:relSizeAnchor xmlns:cdr="http://schemas.openxmlformats.org/drawingml/2006/chartDrawing">
    <cdr:from>
      <cdr:x>0.18772</cdr:x>
      <cdr:y>0.02585</cdr:y>
    </cdr:from>
    <cdr:to>
      <cdr:x>0.82016</cdr:x>
      <cdr:y>0.18819</cdr:y>
    </cdr:to>
    <cdr:sp macro="" textlink="">
      <cdr:nvSpPr>
        <cdr:cNvPr id="2" name="TextBox 69">
          <a:extLst xmlns:a="http://schemas.openxmlformats.org/drawingml/2006/main">
            <a:ext uri="{FF2B5EF4-FFF2-40B4-BE49-F238E27FC236}">
              <a16:creationId xmlns:a16="http://schemas.microsoft.com/office/drawing/2014/main" id="{E0FE8550-EDCB-489A-B60B-85584E439C68}"/>
            </a:ext>
          </a:extLst>
        </cdr:cNvPr>
        <cdr:cNvSpPr txBox="1"/>
      </cdr:nvSpPr>
      <cdr:spPr>
        <a:xfrm xmlns:a="http://schemas.openxmlformats.org/drawingml/2006/main">
          <a:off x="1098550" y="78014"/>
          <a:ext cx="3701143" cy="48985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2200" b="1">
              <a:solidFill>
                <a:sysClr val="windowText" lastClr="000000"/>
              </a:solidFill>
              <a:latin typeface="Times New Roman" panose="02020603050405020304" pitchFamily="18" charset="0"/>
              <a:cs typeface="Times New Roman" panose="02020603050405020304" pitchFamily="18" charset="0"/>
            </a:rPr>
            <a:t>%</a:t>
          </a:r>
          <a:r>
            <a:rPr lang="en-US" sz="2200" b="1" baseline="0">
              <a:solidFill>
                <a:sysClr val="windowText" lastClr="000000"/>
              </a:solidFill>
              <a:latin typeface="Times New Roman" panose="02020603050405020304" pitchFamily="18" charset="0"/>
              <a:cs typeface="Times New Roman" panose="02020603050405020304" pitchFamily="18" charset="0"/>
            </a:rPr>
            <a:t> </a:t>
          </a:r>
          <a:r>
            <a:rPr lang="en-US" sz="2200" b="1">
              <a:solidFill>
                <a:sysClr val="windowText" lastClr="000000"/>
              </a:solidFill>
              <a:latin typeface="Times New Roman" panose="02020603050405020304" pitchFamily="18" charset="0"/>
              <a:cs typeface="Times New Roman" panose="02020603050405020304" pitchFamily="18" charset="0"/>
            </a:rPr>
            <a:t>COGS</a:t>
          </a:r>
          <a:r>
            <a:rPr lang="en-US" sz="2200" b="1" baseline="0">
              <a:solidFill>
                <a:sysClr val="windowText" lastClr="000000"/>
              </a:solidFill>
              <a:latin typeface="Times New Roman" panose="02020603050405020304" pitchFamily="18" charset="0"/>
              <a:cs typeface="Times New Roman" panose="02020603050405020304" pitchFamily="18" charset="0"/>
            </a:rPr>
            <a:t> by City</a:t>
          </a:r>
          <a:endParaRPr lang="en-US" sz="2200" b="1">
            <a:solidFill>
              <a:sysClr val="windowText" lastClr="000000"/>
            </a:solidFill>
            <a:latin typeface="Times New Roman" panose="02020603050405020304" pitchFamily="18" charset="0"/>
            <a:cs typeface="Times New Roman" panose="02020603050405020304"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0.2028</cdr:x>
      <cdr:y>0.01217</cdr:y>
    </cdr:from>
    <cdr:to>
      <cdr:x>0.83156</cdr:x>
      <cdr:y>0.17245</cdr:y>
    </cdr:to>
    <cdr:sp macro="" textlink="">
      <cdr:nvSpPr>
        <cdr:cNvPr id="2" name="TextBox 69">
          <a:extLst xmlns:a="http://schemas.openxmlformats.org/drawingml/2006/main">
            <a:ext uri="{FF2B5EF4-FFF2-40B4-BE49-F238E27FC236}">
              <a16:creationId xmlns:a16="http://schemas.microsoft.com/office/drawing/2014/main" id="{E0FE8550-EDCB-489A-B60B-85584E439C68}"/>
            </a:ext>
          </a:extLst>
        </cdr:cNvPr>
        <cdr:cNvSpPr txBox="1"/>
      </cdr:nvSpPr>
      <cdr:spPr>
        <a:xfrm xmlns:a="http://schemas.openxmlformats.org/drawingml/2006/main">
          <a:off x="1193800" y="37193"/>
          <a:ext cx="3701143" cy="48985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2200" b="1">
              <a:solidFill>
                <a:sysClr val="windowText" lastClr="000000"/>
              </a:solidFill>
              <a:latin typeface="Times New Roman" panose="02020603050405020304" pitchFamily="18" charset="0"/>
              <a:cs typeface="Times New Roman" panose="02020603050405020304" pitchFamily="18" charset="0"/>
            </a:rPr>
            <a:t>Monthly</a:t>
          </a:r>
          <a:r>
            <a:rPr lang="en-US" sz="2200" b="1" baseline="0">
              <a:solidFill>
                <a:sysClr val="windowText" lastClr="000000"/>
              </a:solidFill>
              <a:latin typeface="Times New Roman" panose="02020603050405020304" pitchFamily="18" charset="0"/>
              <a:cs typeface="Times New Roman" panose="02020603050405020304" pitchFamily="18" charset="0"/>
            </a:rPr>
            <a:t> Customers</a:t>
          </a:r>
          <a:endParaRPr lang="en-US" sz="2200" b="1">
            <a:solidFill>
              <a:sysClr val="windowText" lastClr="000000"/>
            </a:solidFill>
            <a:latin typeface="Times New Roman" panose="02020603050405020304" pitchFamily="18" charset="0"/>
            <a:cs typeface="Times New Roman" panose="02020603050405020304" pitchFamily="18"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0.37095</cdr:x>
      <cdr:y>0.02063</cdr:y>
    </cdr:from>
    <cdr:to>
      <cdr:x>1</cdr:x>
      <cdr:y>0.17756</cdr:y>
    </cdr:to>
    <cdr:sp macro="" textlink="">
      <cdr:nvSpPr>
        <cdr:cNvPr id="2" name="TextBox 69">
          <a:extLst xmlns:a="http://schemas.openxmlformats.org/drawingml/2006/main">
            <a:ext uri="{FF2B5EF4-FFF2-40B4-BE49-F238E27FC236}">
              <a16:creationId xmlns:a16="http://schemas.microsoft.com/office/drawing/2014/main" id="{E0FE8550-EDCB-489A-B60B-85584E439C68}"/>
            </a:ext>
          </a:extLst>
        </cdr:cNvPr>
        <cdr:cNvSpPr txBox="1"/>
      </cdr:nvSpPr>
      <cdr:spPr>
        <a:xfrm xmlns:a="http://schemas.openxmlformats.org/drawingml/2006/main">
          <a:off x="2182586" y="64407"/>
          <a:ext cx="3701143" cy="48985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endParaRPr lang="en-US" sz="2200" b="1">
            <a:solidFill>
              <a:sysClr val="windowText" lastClr="000000"/>
            </a:solidFill>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rachi" refreshedDate="46037.048293518521" createdVersion="6" refreshedVersion="6" minRefreshableVersion="3" recordCount="2098" xr:uid="{6BDB104B-43DA-4B92-BD1F-DE508C082581}">
  <cacheSource type="worksheet">
    <worksheetSource name="Table1"/>
  </cacheSource>
  <cacheFields count="17">
    <cacheField name="Date" numFmtId="0">
      <sharedItems/>
    </cacheField>
    <cacheField name="Month" numFmtId="0">
      <sharedItems count="5">
        <s v="January"/>
        <s v="April"/>
        <s v="February"/>
        <s v="March"/>
        <s v="May"/>
      </sharedItems>
    </cacheField>
    <cacheField name="Weekday" numFmtId="0">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GS" numFmtId="164">
      <sharedItems containsSemiMixedTypes="0" containsString="0" containsNumber="1" containsInteger="1" minValue="24000" maxValue="3360000" count="77">
        <n v="68000"/>
        <n v="192000"/>
        <n v="136000"/>
        <n v="96000"/>
        <n v="480000"/>
        <n v="1440000"/>
        <n v="1024000"/>
        <n v="256000"/>
        <n v="2304000"/>
        <n v="768000"/>
        <n v="1792000"/>
        <n v="240000"/>
        <n v="3024000"/>
        <n v="1680000"/>
        <n v="800000"/>
        <n v="352000"/>
        <n v="840000"/>
        <n v="1200000"/>
        <n v="612000"/>
        <n v="2688000"/>
        <n v="3360000"/>
        <n v="1000000"/>
        <n v="704000"/>
        <n v="204000"/>
        <n v="1920000"/>
        <n v="176000"/>
        <n v="120000"/>
        <n v="1296000"/>
        <n v="1280000"/>
        <n v="960000"/>
        <n v="476000"/>
        <n v="1536000"/>
        <n v="144000"/>
        <n v="72000"/>
        <n v="360000"/>
        <n v="2560000"/>
        <n v="1056000"/>
        <n v="1152000"/>
        <n v="512000"/>
        <n v="2160000"/>
        <n v="336000"/>
        <n v="48000"/>
        <n v="1408000"/>
        <n v="680000"/>
        <n v="200000"/>
        <n v="1344000"/>
        <n v="432000"/>
        <n v="384000"/>
        <n v="720000"/>
        <n v="528000"/>
        <n v="288000"/>
        <n v="880000"/>
        <n v="1600000"/>
        <n v="864000"/>
        <n v="168000"/>
        <n v="1008000"/>
        <n v="600000"/>
        <n v="216000"/>
        <n v="340000"/>
        <n v="1400000"/>
        <n v="408000"/>
        <n v="1760000"/>
        <n v="672000"/>
        <n v="1080000"/>
        <n v="1584000"/>
        <n v="576000"/>
        <n v="2000000"/>
        <n v="1232000"/>
        <n v="2400000"/>
        <n v="544000"/>
        <n v="2352000"/>
        <n v="1800000"/>
        <n v="2048000"/>
        <n v="400000"/>
        <n v="272000"/>
        <n v="24000"/>
        <n v="2016000"/>
      </sharedItems>
    </cacheField>
    <cacheField name="Profit" numFmtId="164">
      <sharedItems containsSemiMixedTypes="0" containsString="0" containsNumber="1" containsInteger="1" minValue="6000" maxValue="840000"/>
    </cacheField>
    <cacheField name="Customer ID" numFmtId="0">
      <sharedItems containsSemiMixedTypes="0" containsString="0" containsNumber="1" containsInteger="1" minValue="1" maxValue="2098"/>
    </cacheField>
  </cacheFields>
  <extLst>
    <ext xmlns:x14="http://schemas.microsoft.com/office/spreadsheetml/2009/9/main" uri="{725AE2AE-9491-48be-B2B4-4EB974FC3084}">
      <x14:pivotCacheDefinition pivotCacheId="588920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s v="Sunday"/>
    <x v="0"/>
    <x v="0"/>
    <s v="Retail"/>
    <s v="Online"/>
    <x v="0"/>
    <x v="0"/>
    <n v="85000"/>
    <n v="1"/>
    <x v="0"/>
    <n v="68000"/>
    <n v="85000"/>
    <x v="0"/>
    <n v="17000"/>
    <n v="1"/>
  </r>
  <r>
    <s v="2025-04-29"/>
    <x v="1"/>
    <s v="Tuesday"/>
    <x v="1"/>
    <x v="1"/>
    <s v="Retail"/>
    <s v="Store"/>
    <x v="1"/>
    <x v="1"/>
    <n v="30000"/>
    <n v="8"/>
    <x v="0"/>
    <n v="24000"/>
    <n v="240000"/>
    <x v="1"/>
    <n v="48000"/>
    <n v="2"/>
  </r>
  <r>
    <s v="2025-02-27"/>
    <x v="2"/>
    <s v="Thursday"/>
    <x v="1"/>
    <x v="0"/>
    <s v="Corporate"/>
    <s v="Online"/>
    <x v="0"/>
    <x v="0"/>
    <n v="85000"/>
    <n v="2"/>
    <x v="1"/>
    <n v="68000"/>
    <n v="170000"/>
    <x v="2"/>
    <n v="34000"/>
    <n v="3"/>
  </r>
  <r>
    <s v="2025-04-25"/>
    <x v="1"/>
    <s v="Friday"/>
    <x v="2"/>
    <x v="2"/>
    <s v="Retail"/>
    <s v="Online"/>
    <x v="2"/>
    <x v="1"/>
    <n v="60000"/>
    <n v="2"/>
    <x v="2"/>
    <n v="48000"/>
    <n v="120000"/>
    <x v="3"/>
    <n v="24000"/>
    <n v="4"/>
  </r>
  <r>
    <s v="2025-04-27"/>
    <x v="1"/>
    <s v="Sunday"/>
    <x v="3"/>
    <x v="2"/>
    <s v="Corporate"/>
    <s v="Online"/>
    <x v="3"/>
    <x v="2"/>
    <n v="300000"/>
    <n v="2"/>
    <x v="0"/>
    <n v="240000"/>
    <n v="600000"/>
    <x v="4"/>
    <n v="120000"/>
    <n v="5"/>
  </r>
  <r>
    <s v="2025-03-08"/>
    <x v="3"/>
    <s v="Saturday"/>
    <x v="2"/>
    <x v="3"/>
    <s v="Retail"/>
    <s v="Online"/>
    <x v="4"/>
    <x v="1"/>
    <n v="180000"/>
    <n v="10"/>
    <x v="0"/>
    <n v="144000"/>
    <n v="1800000"/>
    <x v="5"/>
    <n v="360000"/>
    <n v="6"/>
  </r>
  <r>
    <s v="2025-03-09"/>
    <x v="3"/>
    <s v="Sunday"/>
    <x v="2"/>
    <x v="3"/>
    <s v="Corporate"/>
    <s v="Online"/>
    <x v="5"/>
    <x v="0"/>
    <n v="320000"/>
    <n v="4"/>
    <x v="2"/>
    <n v="256000"/>
    <n v="1280000"/>
    <x v="6"/>
    <n v="256000"/>
    <n v="7"/>
  </r>
  <r>
    <s v="2025-02-06"/>
    <x v="2"/>
    <s v="Thursday"/>
    <x v="2"/>
    <x v="2"/>
    <s v="Retail"/>
    <s v="Online"/>
    <x v="5"/>
    <x v="0"/>
    <n v="320000"/>
    <n v="1"/>
    <x v="3"/>
    <n v="256000"/>
    <n v="320000"/>
    <x v="7"/>
    <n v="64000"/>
    <n v="8"/>
  </r>
  <r>
    <s v="2025-03-24"/>
    <x v="3"/>
    <s v="Monday"/>
    <x v="1"/>
    <x v="1"/>
    <s v="Retail"/>
    <s v="Store"/>
    <x v="5"/>
    <x v="0"/>
    <n v="320000"/>
    <n v="9"/>
    <x v="2"/>
    <n v="256000"/>
    <n v="2880000"/>
    <x v="8"/>
    <n v="576000"/>
    <n v="9"/>
  </r>
  <r>
    <s v="2025-03-26"/>
    <x v="3"/>
    <s v="Wednesday"/>
    <x v="2"/>
    <x v="1"/>
    <s v="Retail"/>
    <s v="Online"/>
    <x v="5"/>
    <x v="0"/>
    <n v="320000"/>
    <n v="3"/>
    <x v="2"/>
    <n v="256000"/>
    <n v="960000"/>
    <x v="9"/>
    <n v="192000"/>
    <n v="10"/>
  </r>
  <r>
    <s v="2025-01-24"/>
    <x v="0"/>
    <s v="Friday"/>
    <x v="2"/>
    <x v="0"/>
    <s v="Retail"/>
    <s v="Online"/>
    <x v="6"/>
    <x v="2"/>
    <n v="150000"/>
    <n v="4"/>
    <x v="3"/>
    <n v="120000"/>
    <n v="600000"/>
    <x v="4"/>
    <n v="120000"/>
    <n v="11"/>
  </r>
  <r>
    <s v="2025-01-20"/>
    <x v="0"/>
    <s v="Monday"/>
    <x v="0"/>
    <x v="2"/>
    <s v="Corporate"/>
    <s v="Online"/>
    <x v="5"/>
    <x v="0"/>
    <n v="320000"/>
    <n v="7"/>
    <x v="3"/>
    <n v="256000"/>
    <n v="2240000"/>
    <x v="10"/>
    <n v="448000"/>
    <n v="12"/>
  </r>
  <r>
    <s v="2025-04-26"/>
    <x v="1"/>
    <s v="Saturday"/>
    <x v="2"/>
    <x v="0"/>
    <s v="Retail"/>
    <s v="Store"/>
    <x v="6"/>
    <x v="2"/>
    <n v="150000"/>
    <n v="2"/>
    <x v="4"/>
    <n v="120000"/>
    <n v="300000"/>
    <x v="11"/>
    <n v="60000"/>
    <n v="13"/>
  </r>
  <r>
    <s v="2025-03-15"/>
    <x v="3"/>
    <s v="Saturday"/>
    <x v="0"/>
    <x v="1"/>
    <s v="Retail"/>
    <s v="Online"/>
    <x v="7"/>
    <x v="2"/>
    <n v="420000"/>
    <n v="9"/>
    <x v="2"/>
    <n v="336000"/>
    <n v="3780000"/>
    <x v="12"/>
    <n v="756000"/>
    <n v="14"/>
  </r>
  <r>
    <s v="2025-03-17"/>
    <x v="3"/>
    <s v="Monday"/>
    <x v="3"/>
    <x v="1"/>
    <s v="Retail"/>
    <s v="Online"/>
    <x v="7"/>
    <x v="2"/>
    <n v="420000"/>
    <n v="5"/>
    <x v="5"/>
    <n v="336000"/>
    <n v="2100000"/>
    <x v="13"/>
    <n v="420000"/>
    <n v="15"/>
  </r>
  <r>
    <s v="2025-04-11"/>
    <x v="1"/>
    <s v="Friday"/>
    <x v="0"/>
    <x v="2"/>
    <s v="Corporate"/>
    <s v="Store"/>
    <x v="8"/>
    <x v="2"/>
    <n v="250000"/>
    <n v="4"/>
    <x v="3"/>
    <n v="200000"/>
    <n v="1000000"/>
    <x v="14"/>
    <n v="200000"/>
    <n v="16"/>
  </r>
  <r>
    <s v="2025-02-12"/>
    <x v="2"/>
    <s v="Wednesday"/>
    <x v="0"/>
    <x v="1"/>
    <s v="Retail"/>
    <s v="Online"/>
    <x v="9"/>
    <x v="1"/>
    <n v="220000"/>
    <n v="2"/>
    <x v="3"/>
    <n v="176000"/>
    <n v="440000"/>
    <x v="15"/>
    <n v="88000"/>
    <n v="17"/>
  </r>
  <r>
    <s v="2025-02-10"/>
    <x v="2"/>
    <s v="Monday"/>
    <x v="1"/>
    <x v="2"/>
    <s v="Retail"/>
    <s v="Store"/>
    <x v="6"/>
    <x v="2"/>
    <n v="150000"/>
    <n v="7"/>
    <x v="2"/>
    <n v="120000"/>
    <n v="1050000"/>
    <x v="16"/>
    <n v="210000"/>
    <n v="18"/>
  </r>
  <r>
    <s v="2025-03-03"/>
    <x v="3"/>
    <s v="Monday"/>
    <x v="2"/>
    <x v="3"/>
    <s v="Corporate"/>
    <s v="Store"/>
    <x v="3"/>
    <x v="2"/>
    <n v="300000"/>
    <n v="5"/>
    <x v="3"/>
    <n v="240000"/>
    <n v="1500000"/>
    <x v="17"/>
    <n v="300000"/>
    <n v="19"/>
  </r>
  <r>
    <s v="2025-02-10"/>
    <x v="2"/>
    <s v="Monday"/>
    <x v="3"/>
    <x v="2"/>
    <s v="Retail"/>
    <s v="Online"/>
    <x v="6"/>
    <x v="2"/>
    <n v="150000"/>
    <n v="4"/>
    <x v="3"/>
    <n v="120000"/>
    <n v="600000"/>
    <x v="4"/>
    <n v="120000"/>
    <n v="20"/>
  </r>
  <r>
    <s v="2025-05-01"/>
    <x v="4"/>
    <s v="Thursday"/>
    <x v="3"/>
    <x v="2"/>
    <s v="Corporate"/>
    <s v="Store"/>
    <x v="0"/>
    <x v="0"/>
    <n v="85000"/>
    <n v="1"/>
    <x v="5"/>
    <n v="68000"/>
    <n v="85000"/>
    <x v="0"/>
    <n v="17000"/>
    <n v="21"/>
  </r>
  <r>
    <s v="2025-03-15"/>
    <x v="3"/>
    <s v="Saturday"/>
    <x v="1"/>
    <x v="0"/>
    <s v="Retail"/>
    <s v="Store"/>
    <x v="0"/>
    <x v="0"/>
    <n v="85000"/>
    <n v="9"/>
    <x v="1"/>
    <n v="68000"/>
    <n v="765000"/>
    <x v="18"/>
    <n v="153000"/>
    <n v="22"/>
  </r>
  <r>
    <s v="2025-04-04"/>
    <x v="1"/>
    <s v="Friday"/>
    <x v="1"/>
    <x v="1"/>
    <s v="Retail"/>
    <s v="Store"/>
    <x v="7"/>
    <x v="2"/>
    <n v="420000"/>
    <n v="8"/>
    <x v="5"/>
    <n v="336000"/>
    <n v="3360000"/>
    <x v="19"/>
    <n v="672000"/>
    <n v="23"/>
  </r>
  <r>
    <s v="2025-04-15"/>
    <x v="1"/>
    <s v="Tuesday"/>
    <x v="3"/>
    <x v="1"/>
    <s v="Corporate"/>
    <s v="Online"/>
    <x v="7"/>
    <x v="2"/>
    <n v="420000"/>
    <n v="10"/>
    <x v="5"/>
    <n v="336000"/>
    <n v="4200000"/>
    <x v="20"/>
    <n v="840000"/>
    <n v="24"/>
  </r>
  <r>
    <s v="2025-02-26"/>
    <x v="2"/>
    <s v="Wednesday"/>
    <x v="1"/>
    <x v="0"/>
    <s v="Retail"/>
    <s v="Store"/>
    <x v="8"/>
    <x v="2"/>
    <n v="250000"/>
    <n v="5"/>
    <x v="4"/>
    <n v="200000"/>
    <n v="1250000"/>
    <x v="21"/>
    <n v="250000"/>
    <n v="25"/>
  </r>
  <r>
    <s v="2025-02-09"/>
    <x v="2"/>
    <s v="Sunday"/>
    <x v="3"/>
    <x v="1"/>
    <s v="Corporate"/>
    <s v="Store"/>
    <x v="9"/>
    <x v="1"/>
    <n v="220000"/>
    <n v="4"/>
    <x v="5"/>
    <n v="176000"/>
    <n v="880000"/>
    <x v="22"/>
    <n v="176000"/>
    <n v="26"/>
  </r>
  <r>
    <s v="2025-03-30"/>
    <x v="3"/>
    <s v="Sunday"/>
    <x v="0"/>
    <x v="3"/>
    <s v="Corporate"/>
    <s v="Online"/>
    <x v="6"/>
    <x v="2"/>
    <n v="150000"/>
    <n v="7"/>
    <x v="2"/>
    <n v="120000"/>
    <n v="1050000"/>
    <x v="16"/>
    <n v="210000"/>
    <n v="27"/>
  </r>
  <r>
    <s v="2025-03-01"/>
    <x v="3"/>
    <s v="Saturday"/>
    <x v="2"/>
    <x v="2"/>
    <s v="Retail"/>
    <s v="Online"/>
    <x v="0"/>
    <x v="0"/>
    <n v="85000"/>
    <n v="3"/>
    <x v="3"/>
    <n v="68000"/>
    <n v="255000"/>
    <x v="23"/>
    <n v="51000"/>
    <n v="28"/>
  </r>
  <r>
    <s v="2025-02-10"/>
    <x v="2"/>
    <s v="Monday"/>
    <x v="1"/>
    <x v="0"/>
    <s v="Retail"/>
    <s v="Store"/>
    <x v="3"/>
    <x v="2"/>
    <n v="300000"/>
    <n v="8"/>
    <x v="5"/>
    <n v="240000"/>
    <n v="2400000"/>
    <x v="24"/>
    <n v="480000"/>
    <n v="29"/>
  </r>
  <r>
    <s v="2025-02-09"/>
    <x v="2"/>
    <s v="Sunday"/>
    <x v="0"/>
    <x v="1"/>
    <s v="Corporate"/>
    <s v="Online"/>
    <x v="9"/>
    <x v="1"/>
    <n v="220000"/>
    <n v="1"/>
    <x v="1"/>
    <n v="176000"/>
    <n v="220000"/>
    <x v="25"/>
    <n v="44000"/>
    <n v="30"/>
  </r>
  <r>
    <s v="2025-01-14"/>
    <x v="0"/>
    <s v="Tuesday"/>
    <x v="2"/>
    <x v="3"/>
    <s v="Corporate"/>
    <s v="Online"/>
    <x v="5"/>
    <x v="0"/>
    <n v="320000"/>
    <n v="7"/>
    <x v="5"/>
    <n v="256000"/>
    <n v="2240000"/>
    <x v="10"/>
    <n v="448000"/>
    <n v="31"/>
  </r>
  <r>
    <s v="2025-01-01"/>
    <x v="0"/>
    <s v="Wednesday"/>
    <x v="0"/>
    <x v="3"/>
    <s v="Retail"/>
    <s v="Store"/>
    <x v="6"/>
    <x v="2"/>
    <n v="150000"/>
    <n v="1"/>
    <x v="0"/>
    <n v="120000"/>
    <n v="150000"/>
    <x v="26"/>
    <n v="30000"/>
    <n v="32"/>
  </r>
  <r>
    <s v="2025-02-20"/>
    <x v="2"/>
    <s v="Thursday"/>
    <x v="1"/>
    <x v="2"/>
    <s v="Retail"/>
    <s v="Online"/>
    <x v="4"/>
    <x v="1"/>
    <n v="180000"/>
    <n v="9"/>
    <x v="5"/>
    <n v="144000"/>
    <n v="1620000"/>
    <x v="27"/>
    <n v="324000"/>
    <n v="33"/>
  </r>
  <r>
    <s v="2025-03-09"/>
    <x v="3"/>
    <s v="Sunday"/>
    <x v="2"/>
    <x v="2"/>
    <s v="Retail"/>
    <s v="Online"/>
    <x v="5"/>
    <x v="0"/>
    <n v="320000"/>
    <n v="5"/>
    <x v="5"/>
    <n v="256000"/>
    <n v="1600000"/>
    <x v="28"/>
    <n v="320000"/>
    <n v="34"/>
  </r>
  <r>
    <s v="2025-02-09"/>
    <x v="2"/>
    <s v="Sunday"/>
    <x v="2"/>
    <x v="2"/>
    <s v="Corporate"/>
    <s v="Store"/>
    <x v="6"/>
    <x v="2"/>
    <n v="150000"/>
    <n v="8"/>
    <x v="4"/>
    <n v="120000"/>
    <n v="1200000"/>
    <x v="29"/>
    <n v="240000"/>
    <n v="35"/>
  </r>
  <r>
    <s v="2025-02-13"/>
    <x v="2"/>
    <s v="Thursday"/>
    <x v="0"/>
    <x v="0"/>
    <s v="Corporate"/>
    <s v="Store"/>
    <x v="0"/>
    <x v="0"/>
    <n v="85000"/>
    <n v="7"/>
    <x v="1"/>
    <n v="68000"/>
    <n v="595000"/>
    <x v="30"/>
    <n v="119000"/>
    <n v="36"/>
  </r>
  <r>
    <s v="2025-03-13"/>
    <x v="3"/>
    <s v="Thursday"/>
    <x v="2"/>
    <x v="3"/>
    <s v="Corporate"/>
    <s v="Online"/>
    <x v="5"/>
    <x v="0"/>
    <n v="320000"/>
    <n v="6"/>
    <x v="1"/>
    <n v="256000"/>
    <n v="1920000"/>
    <x v="31"/>
    <n v="384000"/>
    <n v="37"/>
  </r>
  <r>
    <s v="2025-02-03"/>
    <x v="2"/>
    <s v="Monday"/>
    <x v="0"/>
    <x v="2"/>
    <s v="Retail"/>
    <s v="Store"/>
    <x v="7"/>
    <x v="2"/>
    <n v="420000"/>
    <n v="8"/>
    <x v="4"/>
    <n v="336000"/>
    <n v="3360000"/>
    <x v="19"/>
    <n v="672000"/>
    <n v="38"/>
  </r>
  <r>
    <s v="2025-02-04"/>
    <x v="2"/>
    <s v="Tuesday"/>
    <x v="2"/>
    <x v="0"/>
    <s v="Corporate"/>
    <s v="Online"/>
    <x v="3"/>
    <x v="2"/>
    <n v="300000"/>
    <n v="7"/>
    <x v="3"/>
    <n v="240000"/>
    <n v="2100000"/>
    <x v="13"/>
    <n v="420000"/>
    <n v="39"/>
  </r>
  <r>
    <s v="2025-02-18"/>
    <x v="2"/>
    <s v="Tuesday"/>
    <x v="0"/>
    <x v="0"/>
    <s v="Retail"/>
    <s v="Online"/>
    <x v="1"/>
    <x v="1"/>
    <n v="30000"/>
    <n v="6"/>
    <x v="1"/>
    <n v="24000"/>
    <n v="180000"/>
    <x v="32"/>
    <n v="36000"/>
    <n v="40"/>
  </r>
  <r>
    <s v="2025-02-21"/>
    <x v="2"/>
    <s v="Friday"/>
    <x v="0"/>
    <x v="0"/>
    <s v="Corporate"/>
    <s v="Store"/>
    <x v="9"/>
    <x v="1"/>
    <n v="220000"/>
    <n v="2"/>
    <x v="3"/>
    <n v="176000"/>
    <n v="440000"/>
    <x v="15"/>
    <n v="88000"/>
    <n v="41"/>
  </r>
  <r>
    <s v="2025-01-24"/>
    <x v="0"/>
    <s v="Friday"/>
    <x v="0"/>
    <x v="3"/>
    <s v="Retail"/>
    <s v="Online"/>
    <x v="6"/>
    <x v="2"/>
    <n v="150000"/>
    <n v="1"/>
    <x v="1"/>
    <n v="120000"/>
    <n v="150000"/>
    <x v="26"/>
    <n v="30000"/>
    <n v="42"/>
  </r>
  <r>
    <s v="2025-01-28"/>
    <x v="0"/>
    <s v="Tuesday"/>
    <x v="3"/>
    <x v="1"/>
    <s v="Retail"/>
    <s v="Store"/>
    <x v="5"/>
    <x v="0"/>
    <n v="320000"/>
    <n v="1"/>
    <x v="5"/>
    <n v="256000"/>
    <n v="320000"/>
    <x v="7"/>
    <n v="64000"/>
    <n v="43"/>
  </r>
  <r>
    <s v="2025-04-18"/>
    <x v="1"/>
    <s v="Friday"/>
    <x v="3"/>
    <x v="3"/>
    <s v="Corporate"/>
    <s v="Store"/>
    <x v="1"/>
    <x v="1"/>
    <n v="30000"/>
    <n v="3"/>
    <x v="1"/>
    <n v="24000"/>
    <n v="90000"/>
    <x v="33"/>
    <n v="18000"/>
    <n v="44"/>
  </r>
  <r>
    <s v="2025-01-03"/>
    <x v="0"/>
    <s v="Friday"/>
    <x v="0"/>
    <x v="0"/>
    <s v="Corporate"/>
    <s v="Online"/>
    <x v="2"/>
    <x v="1"/>
    <n v="60000"/>
    <n v="5"/>
    <x v="2"/>
    <n v="48000"/>
    <n v="300000"/>
    <x v="11"/>
    <n v="60000"/>
    <n v="45"/>
  </r>
  <r>
    <s v="2025-03-30"/>
    <x v="3"/>
    <s v="Sunday"/>
    <x v="1"/>
    <x v="2"/>
    <s v="Corporate"/>
    <s v="Online"/>
    <x v="6"/>
    <x v="2"/>
    <n v="150000"/>
    <n v="3"/>
    <x v="2"/>
    <n v="120000"/>
    <n v="450000"/>
    <x v="34"/>
    <n v="90000"/>
    <n v="46"/>
  </r>
  <r>
    <s v="2025-04-04"/>
    <x v="1"/>
    <s v="Friday"/>
    <x v="1"/>
    <x v="1"/>
    <s v="Retail"/>
    <s v="Online"/>
    <x v="5"/>
    <x v="0"/>
    <n v="320000"/>
    <n v="10"/>
    <x v="2"/>
    <n v="256000"/>
    <n v="3200000"/>
    <x v="35"/>
    <n v="640000"/>
    <n v="47"/>
  </r>
  <r>
    <s v="2025-02-08"/>
    <x v="2"/>
    <s v="Saturday"/>
    <x v="1"/>
    <x v="0"/>
    <s v="Corporate"/>
    <s v="Online"/>
    <x v="9"/>
    <x v="1"/>
    <n v="220000"/>
    <n v="6"/>
    <x v="0"/>
    <n v="176000"/>
    <n v="1320000"/>
    <x v="36"/>
    <n v="264000"/>
    <n v="48"/>
  </r>
  <r>
    <s v="2025-03-16"/>
    <x v="3"/>
    <s v="Sunday"/>
    <x v="0"/>
    <x v="3"/>
    <s v="Corporate"/>
    <s v="Online"/>
    <x v="4"/>
    <x v="1"/>
    <n v="180000"/>
    <n v="8"/>
    <x v="2"/>
    <n v="144000"/>
    <n v="1440000"/>
    <x v="37"/>
    <n v="288000"/>
    <n v="49"/>
  </r>
  <r>
    <s v="2025-01-26"/>
    <x v="0"/>
    <s v="Sunday"/>
    <x v="0"/>
    <x v="2"/>
    <s v="Retail"/>
    <s v="Store"/>
    <x v="5"/>
    <x v="0"/>
    <n v="320000"/>
    <n v="2"/>
    <x v="1"/>
    <n v="256000"/>
    <n v="640000"/>
    <x v="38"/>
    <n v="128000"/>
    <n v="50"/>
  </r>
  <r>
    <s v="2025-02-06"/>
    <x v="2"/>
    <s v="Thursday"/>
    <x v="0"/>
    <x v="1"/>
    <s v="Retail"/>
    <s v="Store"/>
    <x v="3"/>
    <x v="2"/>
    <n v="300000"/>
    <n v="9"/>
    <x v="3"/>
    <n v="240000"/>
    <n v="2700000"/>
    <x v="39"/>
    <n v="540000"/>
    <n v="51"/>
  </r>
  <r>
    <s v="2025-01-17"/>
    <x v="0"/>
    <s v="Friday"/>
    <x v="3"/>
    <x v="2"/>
    <s v="Retail"/>
    <s v="Store"/>
    <x v="7"/>
    <x v="2"/>
    <n v="420000"/>
    <n v="1"/>
    <x v="3"/>
    <n v="336000"/>
    <n v="420000"/>
    <x v="40"/>
    <n v="84000"/>
    <n v="52"/>
  </r>
  <r>
    <s v="2025-04-06"/>
    <x v="1"/>
    <s v="Sunday"/>
    <x v="1"/>
    <x v="2"/>
    <s v="Retail"/>
    <s v="Online"/>
    <x v="2"/>
    <x v="1"/>
    <n v="60000"/>
    <n v="1"/>
    <x v="2"/>
    <n v="48000"/>
    <n v="60000"/>
    <x v="41"/>
    <n v="12000"/>
    <n v="53"/>
  </r>
  <r>
    <s v="2025-03-09"/>
    <x v="3"/>
    <s v="Sunday"/>
    <x v="1"/>
    <x v="1"/>
    <s v="Corporate"/>
    <s v="Store"/>
    <x v="3"/>
    <x v="2"/>
    <n v="300000"/>
    <n v="9"/>
    <x v="3"/>
    <n v="240000"/>
    <n v="2700000"/>
    <x v="39"/>
    <n v="540000"/>
    <n v="54"/>
  </r>
  <r>
    <s v="2025-01-06"/>
    <x v="0"/>
    <s v="Monday"/>
    <x v="0"/>
    <x v="2"/>
    <s v="Corporate"/>
    <s v="Online"/>
    <x v="7"/>
    <x v="2"/>
    <n v="420000"/>
    <n v="9"/>
    <x v="1"/>
    <n v="336000"/>
    <n v="3780000"/>
    <x v="12"/>
    <n v="756000"/>
    <n v="55"/>
  </r>
  <r>
    <s v="2025-02-20"/>
    <x v="2"/>
    <s v="Thursday"/>
    <x v="1"/>
    <x v="1"/>
    <s v="Retail"/>
    <s v="Online"/>
    <x v="9"/>
    <x v="1"/>
    <n v="220000"/>
    <n v="8"/>
    <x v="4"/>
    <n v="176000"/>
    <n v="1760000"/>
    <x v="42"/>
    <n v="352000"/>
    <n v="56"/>
  </r>
  <r>
    <s v="2025-01-02"/>
    <x v="0"/>
    <s v="Thursday"/>
    <x v="2"/>
    <x v="0"/>
    <s v="Retail"/>
    <s v="Online"/>
    <x v="0"/>
    <x v="0"/>
    <n v="85000"/>
    <n v="10"/>
    <x v="3"/>
    <n v="68000"/>
    <n v="850000"/>
    <x v="43"/>
    <n v="170000"/>
    <n v="57"/>
  </r>
  <r>
    <s v="2025-02-13"/>
    <x v="2"/>
    <s v="Thursday"/>
    <x v="0"/>
    <x v="2"/>
    <s v="Corporate"/>
    <s v="Online"/>
    <x v="6"/>
    <x v="2"/>
    <n v="150000"/>
    <n v="4"/>
    <x v="0"/>
    <n v="120000"/>
    <n v="600000"/>
    <x v="4"/>
    <n v="120000"/>
    <n v="58"/>
  </r>
  <r>
    <s v="2025-01-20"/>
    <x v="0"/>
    <s v="Monday"/>
    <x v="1"/>
    <x v="1"/>
    <s v="Corporate"/>
    <s v="Store"/>
    <x v="8"/>
    <x v="2"/>
    <n v="250000"/>
    <n v="1"/>
    <x v="2"/>
    <n v="200000"/>
    <n v="250000"/>
    <x v="44"/>
    <n v="50000"/>
    <n v="59"/>
  </r>
  <r>
    <s v="2025-03-19"/>
    <x v="3"/>
    <s v="Wednesday"/>
    <x v="2"/>
    <x v="1"/>
    <s v="Retail"/>
    <s v="Online"/>
    <x v="1"/>
    <x v="1"/>
    <n v="30000"/>
    <n v="10"/>
    <x v="2"/>
    <n v="24000"/>
    <n v="300000"/>
    <x v="11"/>
    <n v="60000"/>
    <n v="60"/>
  </r>
  <r>
    <s v="2025-03-05"/>
    <x v="3"/>
    <s v="Wednesday"/>
    <x v="2"/>
    <x v="1"/>
    <s v="Corporate"/>
    <s v="Online"/>
    <x v="7"/>
    <x v="2"/>
    <n v="420000"/>
    <n v="4"/>
    <x v="1"/>
    <n v="336000"/>
    <n v="1680000"/>
    <x v="45"/>
    <n v="336000"/>
    <n v="61"/>
  </r>
  <r>
    <s v="2025-03-07"/>
    <x v="3"/>
    <s v="Friday"/>
    <x v="1"/>
    <x v="1"/>
    <s v="Retail"/>
    <s v="Store"/>
    <x v="0"/>
    <x v="0"/>
    <n v="85000"/>
    <n v="2"/>
    <x v="3"/>
    <n v="68000"/>
    <n v="170000"/>
    <x v="2"/>
    <n v="34000"/>
    <n v="62"/>
  </r>
  <r>
    <s v="2025-03-28"/>
    <x v="3"/>
    <s v="Friday"/>
    <x v="1"/>
    <x v="1"/>
    <s v="Retail"/>
    <s v="Online"/>
    <x v="9"/>
    <x v="1"/>
    <n v="220000"/>
    <n v="1"/>
    <x v="2"/>
    <n v="176000"/>
    <n v="220000"/>
    <x v="25"/>
    <n v="44000"/>
    <n v="63"/>
  </r>
  <r>
    <s v="2025-01-14"/>
    <x v="0"/>
    <s v="Tuesday"/>
    <x v="0"/>
    <x v="0"/>
    <s v="Retail"/>
    <s v="Store"/>
    <x v="4"/>
    <x v="1"/>
    <n v="180000"/>
    <n v="9"/>
    <x v="5"/>
    <n v="144000"/>
    <n v="1620000"/>
    <x v="27"/>
    <n v="324000"/>
    <n v="64"/>
  </r>
  <r>
    <s v="2025-04-15"/>
    <x v="1"/>
    <s v="Tuesday"/>
    <x v="0"/>
    <x v="2"/>
    <s v="Retail"/>
    <s v="Store"/>
    <x v="8"/>
    <x v="2"/>
    <n v="250000"/>
    <n v="6"/>
    <x v="0"/>
    <n v="200000"/>
    <n v="1500000"/>
    <x v="17"/>
    <n v="300000"/>
    <n v="65"/>
  </r>
  <r>
    <s v="2025-04-16"/>
    <x v="1"/>
    <s v="Wednesday"/>
    <x v="0"/>
    <x v="0"/>
    <s v="Retail"/>
    <s v="Store"/>
    <x v="4"/>
    <x v="1"/>
    <n v="180000"/>
    <n v="3"/>
    <x v="5"/>
    <n v="144000"/>
    <n v="540000"/>
    <x v="46"/>
    <n v="108000"/>
    <n v="66"/>
  </r>
  <r>
    <s v="2025-02-05"/>
    <x v="2"/>
    <s v="Wednesday"/>
    <x v="2"/>
    <x v="0"/>
    <s v="Corporate"/>
    <s v="Online"/>
    <x v="2"/>
    <x v="1"/>
    <n v="60000"/>
    <n v="8"/>
    <x v="3"/>
    <n v="48000"/>
    <n v="480000"/>
    <x v="47"/>
    <n v="96000"/>
    <n v="67"/>
  </r>
  <r>
    <s v="2025-04-10"/>
    <x v="1"/>
    <s v="Thursday"/>
    <x v="3"/>
    <x v="0"/>
    <s v="Retail"/>
    <s v="Online"/>
    <x v="2"/>
    <x v="1"/>
    <n v="60000"/>
    <n v="3"/>
    <x v="0"/>
    <n v="48000"/>
    <n v="180000"/>
    <x v="32"/>
    <n v="36000"/>
    <n v="68"/>
  </r>
  <r>
    <s v="2025-03-31"/>
    <x v="3"/>
    <s v="Monday"/>
    <x v="0"/>
    <x v="2"/>
    <s v="Corporate"/>
    <s v="Online"/>
    <x v="1"/>
    <x v="1"/>
    <n v="30000"/>
    <n v="8"/>
    <x v="2"/>
    <n v="24000"/>
    <n v="240000"/>
    <x v="1"/>
    <n v="48000"/>
    <n v="69"/>
  </r>
  <r>
    <s v="2025-01-09"/>
    <x v="0"/>
    <s v="Thursday"/>
    <x v="2"/>
    <x v="1"/>
    <s v="Retail"/>
    <s v="Store"/>
    <x v="2"/>
    <x v="1"/>
    <n v="60000"/>
    <n v="4"/>
    <x v="5"/>
    <n v="48000"/>
    <n v="240000"/>
    <x v="1"/>
    <n v="48000"/>
    <n v="70"/>
  </r>
  <r>
    <s v="2025-02-19"/>
    <x v="2"/>
    <s v="Wednesday"/>
    <x v="2"/>
    <x v="0"/>
    <s v="Corporate"/>
    <s v="Store"/>
    <x v="1"/>
    <x v="1"/>
    <n v="30000"/>
    <n v="3"/>
    <x v="1"/>
    <n v="24000"/>
    <n v="90000"/>
    <x v="33"/>
    <n v="18000"/>
    <n v="71"/>
  </r>
  <r>
    <s v="2025-02-17"/>
    <x v="2"/>
    <s v="Monday"/>
    <x v="1"/>
    <x v="2"/>
    <s v="Retail"/>
    <s v="Online"/>
    <x v="4"/>
    <x v="1"/>
    <n v="180000"/>
    <n v="5"/>
    <x v="2"/>
    <n v="144000"/>
    <n v="900000"/>
    <x v="48"/>
    <n v="180000"/>
    <n v="72"/>
  </r>
  <r>
    <s v="2025-04-21"/>
    <x v="1"/>
    <s v="Monday"/>
    <x v="3"/>
    <x v="0"/>
    <s v="Retail"/>
    <s v="Store"/>
    <x v="9"/>
    <x v="1"/>
    <n v="220000"/>
    <n v="3"/>
    <x v="5"/>
    <n v="176000"/>
    <n v="660000"/>
    <x v="49"/>
    <n v="132000"/>
    <n v="73"/>
  </r>
  <r>
    <s v="2025-04-21"/>
    <x v="1"/>
    <s v="Monday"/>
    <x v="0"/>
    <x v="1"/>
    <s v="Retail"/>
    <s v="Online"/>
    <x v="2"/>
    <x v="1"/>
    <n v="60000"/>
    <n v="4"/>
    <x v="4"/>
    <n v="48000"/>
    <n v="240000"/>
    <x v="1"/>
    <n v="48000"/>
    <n v="74"/>
  </r>
  <r>
    <s v="2025-04-13"/>
    <x v="1"/>
    <s v="Sunday"/>
    <x v="3"/>
    <x v="0"/>
    <s v="Corporate"/>
    <s v="Online"/>
    <x v="0"/>
    <x v="0"/>
    <n v="85000"/>
    <n v="1"/>
    <x v="4"/>
    <n v="68000"/>
    <n v="85000"/>
    <x v="0"/>
    <n v="17000"/>
    <n v="75"/>
  </r>
  <r>
    <s v="2025-02-19"/>
    <x v="2"/>
    <s v="Wednesday"/>
    <x v="1"/>
    <x v="0"/>
    <s v="Retail"/>
    <s v="Online"/>
    <x v="1"/>
    <x v="1"/>
    <n v="30000"/>
    <n v="5"/>
    <x v="1"/>
    <n v="24000"/>
    <n v="150000"/>
    <x v="26"/>
    <n v="30000"/>
    <n v="76"/>
  </r>
  <r>
    <s v="2025-02-18"/>
    <x v="2"/>
    <s v="Tuesday"/>
    <x v="1"/>
    <x v="3"/>
    <s v="Retail"/>
    <s v="Store"/>
    <x v="2"/>
    <x v="1"/>
    <n v="60000"/>
    <n v="3"/>
    <x v="4"/>
    <n v="48000"/>
    <n v="180000"/>
    <x v="32"/>
    <n v="36000"/>
    <n v="77"/>
  </r>
  <r>
    <s v="2025-02-03"/>
    <x v="2"/>
    <s v="Monday"/>
    <x v="0"/>
    <x v="3"/>
    <s v="Retail"/>
    <s v="Online"/>
    <x v="2"/>
    <x v="1"/>
    <n v="60000"/>
    <n v="6"/>
    <x v="0"/>
    <n v="48000"/>
    <n v="360000"/>
    <x v="50"/>
    <n v="72000"/>
    <n v="78"/>
  </r>
  <r>
    <s v="2025-01-14"/>
    <x v="0"/>
    <s v="Tuesday"/>
    <x v="2"/>
    <x v="2"/>
    <s v="Corporate"/>
    <s v="Online"/>
    <x v="3"/>
    <x v="2"/>
    <n v="300000"/>
    <n v="2"/>
    <x v="0"/>
    <n v="240000"/>
    <n v="600000"/>
    <x v="4"/>
    <n v="120000"/>
    <n v="79"/>
  </r>
  <r>
    <s v="2025-01-23"/>
    <x v="0"/>
    <s v="Thursday"/>
    <x v="0"/>
    <x v="2"/>
    <s v="Retail"/>
    <s v="Online"/>
    <x v="6"/>
    <x v="2"/>
    <n v="150000"/>
    <n v="7"/>
    <x v="1"/>
    <n v="120000"/>
    <n v="1050000"/>
    <x v="16"/>
    <n v="210000"/>
    <n v="80"/>
  </r>
  <r>
    <s v="2025-04-19"/>
    <x v="1"/>
    <s v="Saturday"/>
    <x v="3"/>
    <x v="2"/>
    <s v="Corporate"/>
    <s v="Store"/>
    <x v="9"/>
    <x v="1"/>
    <n v="220000"/>
    <n v="3"/>
    <x v="2"/>
    <n v="176000"/>
    <n v="660000"/>
    <x v="49"/>
    <n v="132000"/>
    <n v="81"/>
  </r>
  <r>
    <s v="2025-01-06"/>
    <x v="0"/>
    <s v="Monday"/>
    <x v="0"/>
    <x v="2"/>
    <s v="Retail"/>
    <s v="Store"/>
    <x v="2"/>
    <x v="1"/>
    <n v="60000"/>
    <n v="9"/>
    <x v="3"/>
    <n v="48000"/>
    <n v="540000"/>
    <x v="46"/>
    <n v="108000"/>
    <n v="82"/>
  </r>
  <r>
    <s v="2025-02-26"/>
    <x v="2"/>
    <s v="Wednesday"/>
    <x v="0"/>
    <x v="1"/>
    <s v="Corporate"/>
    <s v="Store"/>
    <x v="5"/>
    <x v="0"/>
    <n v="320000"/>
    <n v="2"/>
    <x v="2"/>
    <n v="256000"/>
    <n v="640000"/>
    <x v="38"/>
    <n v="128000"/>
    <n v="83"/>
  </r>
  <r>
    <s v="2025-02-09"/>
    <x v="2"/>
    <s v="Sunday"/>
    <x v="0"/>
    <x v="2"/>
    <s v="Corporate"/>
    <s v="Online"/>
    <x v="9"/>
    <x v="1"/>
    <n v="220000"/>
    <n v="5"/>
    <x v="0"/>
    <n v="176000"/>
    <n v="1100000"/>
    <x v="51"/>
    <n v="220000"/>
    <n v="84"/>
  </r>
  <r>
    <s v="2025-01-23"/>
    <x v="0"/>
    <s v="Thursday"/>
    <x v="0"/>
    <x v="0"/>
    <s v="Corporate"/>
    <s v="Online"/>
    <x v="6"/>
    <x v="2"/>
    <n v="150000"/>
    <n v="1"/>
    <x v="5"/>
    <n v="120000"/>
    <n v="150000"/>
    <x v="26"/>
    <n v="30000"/>
    <n v="85"/>
  </r>
  <r>
    <s v="2025-02-13"/>
    <x v="2"/>
    <s v="Thursday"/>
    <x v="2"/>
    <x v="1"/>
    <s v="Retail"/>
    <s v="Store"/>
    <x v="3"/>
    <x v="2"/>
    <n v="300000"/>
    <n v="8"/>
    <x v="0"/>
    <n v="240000"/>
    <n v="2400000"/>
    <x v="24"/>
    <n v="480000"/>
    <n v="86"/>
  </r>
  <r>
    <s v="2025-02-20"/>
    <x v="2"/>
    <s v="Thursday"/>
    <x v="1"/>
    <x v="3"/>
    <s v="Retail"/>
    <s v="Online"/>
    <x v="9"/>
    <x v="1"/>
    <n v="220000"/>
    <n v="3"/>
    <x v="4"/>
    <n v="176000"/>
    <n v="660000"/>
    <x v="49"/>
    <n v="132000"/>
    <n v="87"/>
  </r>
  <r>
    <s v="2025-01-15"/>
    <x v="0"/>
    <s v="Wednesday"/>
    <x v="0"/>
    <x v="0"/>
    <s v="Retail"/>
    <s v="Online"/>
    <x v="8"/>
    <x v="2"/>
    <n v="250000"/>
    <n v="8"/>
    <x v="0"/>
    <n v="200000"/>
    <n v="2000000"/>
    <x v="52"/>
    <n v="400000"/>
    <n v="88"/>
  </r>
  <r>
    <s v="2025-04-19"/>
    <x v="1"/>
    <s v="Saturday"/>
    <x v="2"/>
    <x v="1"/>
    <s v="Corporate"/>
    <s v="Online"/>
    <x v="3"/>
    <x v="2"/>
    <n v="300000"/>
    <n v="4"/>
    <x v="2"/>
    <n v="240000"/>
    <n v="1200000"/>
    <x v="29"/>
    <n v="240000"/>
    <n v="89"/>
  </r>
  <r>
    <s v="2025-05-01"/>
    <x v="4"/>
    <s v="Thursday"/>
    <x v="2"/>
    <x v="2"/>
    <s v="Corporate"/>
    <s v="Store"/>
    <x v="3"/>
    <x v="2"/>
    <n v="300000"/>
    <n v="1"/>
    <x v="2"/>
    <n v="240000"/>
    <n v="300000"/>
    <x v="11"/>
    <n v="60000"/>
    <n v="90"/>
  </r>
  <r>
    <s v="2025-04-27"/>
    <x v="1"/>
    <s v="Sunday"/>
    <x v="1"/>
    <x v="3"/>
    <s v="Retail"/>
    <s v="Online"/>
    <x v="8"/>
    <x v="2"/>
    <n v="250000"/>
    <n v="8"/>
    <x v="2"/>
    <n v="200000"/>
    <n v="2000000"/>
    <x v="52"/>
    <n v="400000"/>
    <n v="91"/>
  </r>
  <r>
    <s v="2025-03-04"/>
    <x v="3"/>
    <s v="Tuesday"/>
    <x v="0"/>
    <x v="3"/>
    <s v="Corporate"/>
    <s v="Store"/>
    <x v="4"/>
    <x v="1"/>
    <n v="180000"/>
    <n v="2"/>
    <x v="4"/>
    <n v="144000"/>
    <n v="360000"/>
    <x v="50"/>
    <n v="72000"/>
    <n v="92"/>
  </r>
  <r>
    <s v="2025-02-03"/>
    <x v="2"/>
    <s v="Monday"/>
    <x v="0"/>
    <x v="3"/>
    <s v="Retail"/>
    <s v="Store"/>
    <x v="4"/>
    <x v="1"/>
    <n v="180000"/>
    <n v="6"/>
    <x v="2"/>
    <n v="144000"/>
    <n v="1080000"/>
    <x v="53"/>
    <n v="216000"/>
    <n v="93"/>
  </r>
  <r>
    <s v="2025-02-16"/>
    <x v="2"/>
    <s v="Sunday"/>
    <x v="3"/>
    <x v="1"/>
    <s v="Corporate"/>
    <s v="Online"/>
    <x v="3"/>
    <x v="2"/>
    <n v="300000"/>
    <n v="2"/>
    <x v="2"/>
    <n v="240000"/>
    <n v="600000"/>
    <x v="4"/>
    <n v="120000"/>
    <n v="94"/>
  </r>
  <r>
    <s v="2025-04-29"/>
    <x v="1"/>
    <s v="Tuesday"/>
    <x v="1"/>
    <x v="0"/>
    <s v="Corporate"/>
    <s v="Store"/>
    <x v="6"/>
    <x v="2"/>
    <n v="150000"/>
    <n v="6"/>
    <x v="0"/>
    <n v="120000"/>
    <n v="900000"/>
    <x v="48"/>
    <n v="180000"/>
    <n v="95"/>
  </r>
  <r>
    <s v="2025-03-06"/>
    <x v="3"/>
    <s v="Thursday"/>
    <x v="2"/>
    <x v="1"/>
    <s v="Corporate"/>
    <s v="Store"/>
    <x v="7"/>
    <x v="2"/>
    <n v="420000"/>
    <n v="10"/>
    <x v="0"/>
    <n v="336000"/>
    <n v="4200000"/>
    <x v="20"/>
    <n v="840000"/>
    <n v="96"/>
  </r>
  <r>
    <s v="2025-04-30"/>
    <x v="1"/>
    <s v="Wednesday"/>
    <x v="1"/>
    <x v="2"/>
    <s v="Retail"/>
    <s v="Online"/>
    <x v="7"/>
    <x v="2"/>
    <n v="420000"/>
    <n v="8"/>
    <x v="2"/>
    <n v="336000"/>
    <n v="3360000"/>
    <x v="19"/>
    <n v="672000"/>
    <n v="97"/>
  </r>
  <r>
    <s v="2025-01-20"/>
    <x v="0"/>
    <s v="Monday"/>
    <x v="2"/>
    <x v="1"/>
    <s v="Retail"/>
    <s v="Store"/>
    <x v="4"/>
    <x v="1"/>
    <n v="180000"/>
    <n v="8"/>
    <x v="0"/>
    <n v="144000"/>
    <n v="1440000"/>
    <x v="37"/>
    <n v="288000"/>
    <n v="98"/>
  </r>
  <r>
    <s v="2025-01-03"/>
    <x v="0"/>
    <s v="Friday"/>
    <x v="2"/>
    <x v="2"/>
    <s v="Retail"/>
    <s v="Store"/>
    <x v="3"/>
    <x v="2"/>
    <n v="300000"/>
    <n v="4"/>
    <x v="4"/>
    <n v="240000"/>
    <n v="1200000"/>
    <x v="29"/>
    <n v="240000"/>
    <n v="99"/>
  </r>
  <r>
    <s v="2025-01-15"/>
    <x v="0"/>
    <s v="Wednesday"/>
    <x v="2"/>
    <x v="2"/>
    <s v="Retail"/>
    <s v="Store"/>
    <x v="7"/>
    <x v="2"/>
    <n v="420000"/>
    <n v="1"/>
    <x v="3"/>
    <n v="336000"/>
    <n v="420000"/>
    <x v="40"/>
    <n v="84000"/>
    <n v="100"/>
  </r>
  <r>
    <s v="2025-03-20"/>
    <x v="3"/>
    <s v="Thursday"/>
    <x v="0"/>
    <x v="2"/>
    <s v="Corporate"/>
    <s v="Online"/>
    <x v="1"/>
    <x v="1"/>
    <n v="30000"/>
    <n v="7"/>
    <x v="2"/>
    <n v="24000"/>
    <n v="210000"/>
    <x v="54"/>
    <n v="42000"/>
    <n v="101"/>
  </r>
  <r>
    <s v="2025-02-26"/>
    <x v="2"/>
    <s v="Wednesday"/>
    <x v="2"/>
    <x v="0"/>
    <s v="Retail"/>
    <s v="Online"/>
    <x v="7"/>
    <x v="2"/>
    <n v="420000"/>
    <n v="3"/>
    <x v="2"/>
    <n v="336000"/>
    <n v="1260000"/>
    <x v="55"/>
    <n v="252000"/>
    <n v="102"/>
  </r>
  <r>
    <s v="2025-04-28"/>
    <x v="1"/>
    <s v="Monday"/>
    <x v="2"/>
    <x v="0"/>
    <s v="Retail"/>
    <s v="Store"/>
    <x v="2"/>
    <x v="1"/>
    <n v="60000"/>
    <n v="5"/>
    <x v="5"/>
    <n v="48000"/>
    <n v="300000"/>
    <x v="11"/>
    <n v="60000"/>
    <n v="103"/>
  </r>
  <r>
    <s v="2025-04-21"/>
    <x v="1"/>
    <s v="Monday"/>
    <x v="0"/>
    <x v="3"/>
    <s v="Corporate"/>
    <s v="Online"/>
    <x v="3"/>
    <x v="2"/>
    <n v="300000"/>
    <n v="9"/>
    <x v="5"/>
    <n v="240000"/>
    <n v="2700000"/>
    <x v="39"/>
    <n v="540000"/>
    <n v="104"/>
  </r>
  <r>
    <s v="2025-04-26"/>
    <x v="1"/>
    <s v="Saturday"/>
    <x v="1"/>
    <x v="2"/>
    <s v="Retail"/>
    <s v="Store"/>
    <x v="5"/>
    <x v="0"/>
    <n v="320000"/>
    <n v="4"/>
    <x v="3"/>
    <n v="256000"/>
    <n v="1280000"/>
    <x v="6"/>
    <n v="256000"/>
    <n v="105"/>
  </r>
  <r>
    <s v="2025-01-28"/>
    <x v="0"/>
    <s v="Tuesday"/>
    <x v="3"/>
    <x v="1"/>
    <s v="Retail"/>
    <s v="Store"/>
    <x v="4"/>
    <x v="1"/>
    <n v="180000"/>
    <n v="2"/>
    <x v="5"/>
    <n v="144000"/>
    <n v="360000"/>
    <x v="50"/>
    <n v="72000"/>
    <n v="106"/>
  </r>
  <r>
    <s v="2025-02-24"/>
    <x v="2"/>
    <s v="Monday"/>
    <x v="1"/>
    <x v="1"/>
    <s v="Retail"/>
    <s v="Online"/>
    <x v="0"/>
    <x v="0"/>
    <n v="85000"/>
    <n v="1"/>
    <x v="3"/>
    <n v="68000"/>
    <n v="85000"/>
    <x v="0"/>
    <n v="17000"/>
    <n v="107"/>
  </r>
  <r>
    <s v="2025-02-11"/>
    <x v="2"/>
    <s v="Tuesday"/>
    <x v="3"/>
    <x v="2"/>
    <s v="Corporate"/>
    <s v="Store"/>
    <x v="5"/>
    <x v="0"/>
    <n v="320000"/>
    <n v="7"/>
    <x v="3"/>
    <n v="256000"/>
    <n v="2240000"/>
    <x v="10"/>
    <n v="448000"/>
    <n v="108"/>
  </r>
  <r>
    <s v="2025-02-08"/>
    <x v="2"/>
    <s v="Saturday"/>
    <x v="1"/>
    <x v="3"/>
    <s v="Corporate"/>
    <s v="Online"/>
    <x v="2"/>
    <x v="1"/>
    <n v="60000"/>
    <n v="9"/>
    <x v="0"/>
    <n v="48000"/>
    <n v="540000"/>
    <x v="46"/>
    <n v="108000"/>
    <n v="109"/>
  </r>
  <r>
    <s v="2025-01-03"/>
    <x v="0"/>
    <s v="Friday"/>
    <x v="3"/>
    <x v="3"/>
    <s v="Corporate"/>
    <s v="Store"/>
    <x v="0"/>
    <x v="0"/>
    <n v="85000"/>
    <n v="1"/>
    <x v="1"/>
    <n v="68000"/>
    <n v="85000"/>
    <x v="0"/>
    <n v="17000"/>
    <n v="110"/>
  </r>
  <r>
    <s v="2025-03-26"/>
    <x v="3"/>
    <s v="Wednesday"/>
    <x v="1"/>
    <x v="1"/>
    <s v="Retail"/>
    <s v="Online"/>
    <x v="3"/>
    <x v="2"/>
    <n v="300000"/>
    <n v="6"/>
    <x v="5"/>
    <n v="240000"/>
    <n v="1800000"/>
    <x v="5"/>
    <n v="360000"/>
    <n v="111"/>
  </r>
  <r>
    <s v="2025-01-17"/>
    <x v="0"/>
    <s v="Friday"/>
    <x v="3"/>
    <x v="1"/>
    <s v="Corporate"/>
    <s v="Online"/>
    <x v="1"/>
    <x v="1"/>
    <n v="30000"/>
    <n v="5"/>
    <x v="0"/>
    <n v="24000"/>
    <n v="150000"/>
    <x v="26"/>
    <n v="30000"/>
    <n v="112"/>
  </r>
  <r>
    <s v="2025-03-09"/>
    <x v="3"/>
    <s v="Sunday"/>
    <x v="3"/>
    <x v="0"/>
    <s v="Retail"/>
    <s v="Store"/>
    <x v="6"/>
    <x v="2"/>
    <n v="150000"/>
    <n v="4"/>
    <x v="4"/>
    <n v="120000"/>
    <n v="600000"/>
    <x v="4"/>
    <n v="120000"/>
    <n v="113"/>
  </r>
  <r>
    <s v="2025-03-26"/>
    <x v="3"/>
    <s v="Wednesday"/>
    <x v="2"/>
    <x v="0"/>
    <s v="Corporate"/>
    <s v="Store"/>
    <x v="6"/>
    <x v="2"/>
    <n v="150000"/>
    <n v="6"/>
    <x v="4"/>
    <n v="120000"/>
    <n v="900000"/>
    <x v="48"/>
    <n v="180000"/>
    <n v="114"/>
  </r>
  <r>
    <s v="2025-04-19"/>
    <x v="1"/>
    <s v="Saturday"/>
    <x v="3"/>
    <x v="1"/>
    <s v="Corporate"/>
    <s v="Store"/>
    <x v="6"/>
    <x v="2"/>
    <n v="150000"/>
    <n v="8"/>
    <x v="4"/>
    <n v="120000"/>
    <n v="1200000"/>
    <x v="29"/>
    <n v="240000"/>
    <n v="115"/>
  </r>
  <r>
    <s v="2025-01-16"/>
    <x v="0"/>
    <s v="Thursday"/>
    <x v="2"/>
    <x v="1"/>
    <s v="Retail"/>
    <s v="Store"/>
    <x v="1"/>
    <x v="1"/>
    <n v="30000"/>
    <n v="6"/>
    <x v="0"/>
    <n v="24000"/>
    <n v="180000"/>
    <x v="32"/>
    <n v="36000"/>
    <n v="116"/>
  </r>
  <r>
    <s v="2025-01-21"/>
    <x v="0"/>
    <s v="Tuesday"/>
    <x v="0"/>
    <x v="1"/>
    <s v="Retail"/>
    <s v="Online"/>
    <x v="8"/>
    <x v="2"/>
    <n v="250000"/>
    <n v="3"/>
    <x v="3"/>
    <n v="200000"/>
    <n v="750000"/>
    <x v="56"/>
    <n v="150000"/>
    <n v="117"/>
  </r>
  <r>
    <s v="2025-03-14"/>
    <x v="3"/>
    <s v="Friday"/>
    <x v="2"/>
    <x v="1"/>
    <s v="Corporate"/>
    <s v="Online"/>
    <x v="6"/>
    <x v="2"/>
    <n v="150000"/>
    <n v="5"/>
    <x v="0"/>
    <n v="120000"/>
    <n v="750000"/>
    <x v="56"/>
    <n v="150000"/>
    <n v="118"/>
  </r>
  <r>
    <s v="2025-03-18"/>
    <x v="3"/>
    <s v="Tuesday"/>
    <x v="0"/>
    <x v="1"/>
    <s v="Retail"/>
    <s v="Online"/>
    <x v="9"/>
    <x v="1"/>
    <n v="220000"/>
    <n v="1"/>
    <x v="4"/>
    <n v="176000"/>
    <n v="220000"/>
    <x v="25"/>
    <n v="44000"/>
    <n v="119"/>
  </r>
  <r>
    <s v="2025-01-13"/>
    <x v="0"/>
    <s v="Monday"/>
    <x v="3"/>
    <x v="1"/>
    <s v="Retail"/>
    <s v="Store"/>
    <x v="5"/>
    <x v="0"/>
    <n v="320000"/>
    <n v="10"/>
    <x v="3"/>
    <n v="256000"/>
    <n v="3200000"/>
    <x v="35"/>
    <n v="640000"/>
    <n v="120"/>
  </r>
  <r>
    <s v="2025-01-26"/>
    <x v="0"/>
    <s v="Sunday"/>
    <x v="2"/>
    <x v="0"/>
    <s v="Corporate"/>
    <s v="Store"/>
    <x v="2"/>
    <x v="1"/>
    <n v="60000"/>
    <n v="5"/>
    <x v="1"/>
    <n v="48000"/>
    <n v="300000"/>
    <x v="11"/>
    <n v="60000"/>
    <n v="121"/>
  </r>
  <r>
    <s v="2025-04-10"/>
    <x v="1"/>
    <s v="Thursday"/>
    <x v="1"/>
    <x v="3"/>
    <s v="Retail"/>
    <s v="Store"/>
    <x v="6"/>
    <x v="2"/>
    <n v="150000"/>
    <n v="7"/>
    <x v="5"/>
    <n v="120000"/>
    <n v="1050000"/>
    <x v="16"/>
    <n v="210000"/>
    <n v="122"/>
  </r>
  <r>
    <s v="2025-04-27"/>
    <x v="1"/>
    <s v="Sunday"/>
    <x v="3"/>
    <x v="2"/>
    <s v="Retail"/>
    <s v="Online"/>
    <x v="2"/>
    <x v="1"/>
    <n v="60000"/>
    <n v="7"/>
    <x v="2"/>
    <n v="48000"/>
    <n v="420000"/>
    <x v="40"/>
    <n v="84000"/>
    <n v="123"/>
  </r>
  <r>
    <s v="2025-02-10"/>
    <x v="2"/>
    <s v="Monday"/>
    <x v="3"/>
    <x v="0"/>
    <s v="Corporate"/>
    <s v="Store"/>
    <x v="9"/>
    <x v="1"/>
    <n v="220000"/>
    <n v="4"/>
    <x v="3"/>
    <n v="176000"/>
    <n v="880000"/>
    <x v="22"/>
    <n v="176000"/>
    <n v="124"/>
  </r>
  <r>
    <s v="2025-02-21"/>
    <x v="2"/>
    <s v="Friday"/>
    <x v="1"/>
    <x v="2"/>
    <s v="Corporate"/>
    <s v="Store"/>
    <x v="8"/>
    <x v="2"/>
    <n v="250000"/>
    <n v="6"/>
    <x v="1"/>
    <n v="200000"/>
    <n v="1500000"/>
    <x v="17"/>
    <n v="300000"/>
    <n v="125"/>
  </r>
  <r>
    <s v="2025-03-07"/>
    <x v="3"/>
    <s v="Friday"/>
    <x v="3"/>
    <x v="0"/>
    <s v="Corporate"/>
    <s v="Online"/>
    <x v="7"/>
    <x v="2"/>
    <n v="420000"/>
    <n v="10"/>
    <x v="0"/>
    <n v="336000"/>
    <n v="4200000"/>
    <x v="20"/>
    <n v="840000"/>
    <n v="126"/>
  </r>
  <r>
    <s v="2025-03-30"/>
    <x v="3"/>
    <s v="Sunday"/>
    <x v="1"/>
    <x v="0"/>
    <s v="Retail"/>
    <s v="Online"/>
    <x v="1"/>
    <x v="1"/>
    <n v="30000"/>
    <n v="9"/>
    <x v="5"/>
    <n v="24000"/>
    <n v="270000"/>
    <x v="57"/>
    <n v="54000"/>
    <n v="127"/>
  </r>
  <r>
    <s v="2025-03-21"/>
    <x v="3"/>
    <s v="Friday"/>
    <x v="0"/>
    <x v="2"/>
    <s v="Retail"/>
    <s v="Store"/>
    <x v="4"/>
    <x v="1"/>
    <n v="180000"/>
    <n v="8"/>
    <x v="2"/>
    <n v="144000"/>
    <n v="1440000"/>
    <x v="37"/>
    <n v="288000"/>
    <n v="128"/>
  </r>
  <r>
    <s v="2025-01-23"/>
    <x v="0"/>
    <s v="Thursday"/>
    <x v="3"/>
    <x v="1"/>
    <s v="Retail"/>
    <s v="Online"/>
    <x v="7"/>
    <x v="2"/>
    <n v="420000"/>
    <n v="5"/>
    <x v="4"/>
    <n v="336000"/>
    <n v="2100000"/>
    <x v="13"/>
    <n v="420000"/>
    <n v="129"/>
  </r>
  <r>
    <s v="2025-01-09"/>
    <x v="0"/>
    <s v="Thursday"/>
    <x v="0"/>
    <x v="0"/>
    <s v="Corporate"/>
    <s v="Online"/>
    <x v="2"/>
    <x v="1"/>
    <n v="60000"/>
    <n v="9"/>
    <x v="0"/>
    <n v="48000"/>
    <n v="540000"/>
    <x v="46"/>
    <n v="108000"/>
    <n v="130"/>
  </r>
  <r>
    <s v="2025-02-12"/>
    <x v="2"/>
    <s v="Wednesday"/>
    <x v="2"/>
    <x v="2"/>
    <s v="Corporate"/>
    <s v="Store"/>
    <x v="0"/>
    <x v="0"/>
    <n v="85000"/>
    <n v="5"/>
    <x v="1"/>
    <n v="68000"/>
    <n v="425000"/>
    <x v="58"/>
    <n v="85000"/>
    <n v="131"/>
  </r>
  <r>
    <s v="2025-04-05"/>
    <x v="1"/>
    <s v="Saturday"/>
    <x v="2"/>
    <x v="2"/>
    <s v="Corporate"/>
    <s v="Online"/>
    <x v="0"/>
    <x v="0"/>
    <n v="85000"/>
    <n v="1"/>
    <x v="2"/>
    <n v="68000"/>
    <n v="85000"/>
    <x v="0"/>
    <n v="17000"/>
    <n v="132"/>
  </r>
  <r>
    <s v="2025-01-26"/>
    <x v="0"/>
    <s v="Sunday"/>
    <x v="1"/>
    <x v="1"/>
    <s v="Retail"/>
    <s v="Store"/>
    <x v="2"/>
    <x v="1"/>
    <n v="60000"/>
    <n v="8"/>
    <x v="3"/>
    <n v="48000"/>
    <n v="480000"/>
    <x v="47"/>
    <n v="96000"/>
    <n v="133"/>
  </r>
  <r>
    <s v="2025-04-27"/>
    <x v="1"/>
    <s v="Sunday"/>
    <x v="0"/>
    <x v="2"/>
    <s v="Corporate"/>
    <s v="Online"/>
    <x v="6"/>
    <x v="2"/>
    <n v="150000"/>
    <n v="5"/>
    <x v="4"/>
    <n v="120000"/>
    <n v="750000"/>
    <x v="56"/>
    <n v="150000"/>
    <n v="134"/>
  </r>
  <r>
    <s v="2025-03-30"/>
    <x v="3"/>
    <s v="Sunday"/>
    <x v="0"/>
    <x v="3"/>
    <s v="Retail"/>
    <s v="Online"/>
    <x v="5"/>
    <x v="0"/>
    <n v="320000"/>
    <n v="10"/>
    <x v="3"/>
    <n v="256000"/>
    <n v="3200000"/>
    <x v="35"/>
    <n v="640000"/>
    <n v="135"/>
  </r>
  <r>
    <s v="2025-01-29"/>
    <x v="0"/>
    <s v="Wednesday"/>
    <x v="0"/>
    <x v="3"/>
    <s v="Corporate"/>
    <s v="Online"/>
    <x v="8"/>
    <x v="2"/>
    <n v="250000"/>
    <n v="6"/>
    <x v="5"/>
    <n v="200000"/>
    <n v="1500000"/>
    <x v="17"/>
    <n v="300000"/>
    <n v="136"/>
  </r>
  <r>
    <s v="2025-01-21"/>
    <x v="0"/>
    <s v="Tuesday"/>
    <x v="2"/>
    <x v="2"/>
    <s v="Corporate"/>
    <s v="Online"/>
    <x v="6"/>
    <x v="2"/>
    <n v="150000"/>
    <n v="3"/>
    <x v="0"/>
    <n v="120000"/>
    <n v="450000"/>
    <x v="34"/>
    <n v="90000"/>
    <n v="137"/>
  </r>
  <r>
    <s v="2025-03-21"/>
    <x v="3"/>
    <s v="Friday"/>
    <x v="0"/>
    <x v="1"/>
    <s v="Corporate"/>
    <s v="Online"/>
    <x v="2"/>
    <x v="1"/>
    <n v="60000"/>
    <n v="10"/>
    <x v="4"/>
    <n v="48000"/>
    <n v="600000"/>
    <x v="4"/>
    <n v="120000"/>
    <n v="138"/>
  </r>
  <r>
    <s v="2025-04-11"/>
    <x v="1"/>
    <s v="Friday"/>
    <x v="3"/>
    <x v="2"/>
    <s v="Retail"/>
    <s v="Online"/>
    <x v="6"/>
    <x v="2"/>
    <n v="150000"/>
    <n v="8"/>
    <x v="2"/>
    <n v="120000"/>
    <n v="1200000"/>
    <x v="29"/>
    <n v="240000"/>
    <n v="139"/>
  </r>
  <r>
    <s v="2025-04-28"/>
    <x v="1"/>
    <s v="Monday"/>
    <x v="2"/>
    <x v="0"/>
    <s v="Retail"/>
    <s v="Online"/>
    <x v="8"/>
    <x v="2"/>
    <n v="250000"/>
    <n v="7"/>
    <x v="4"/>
    <n v="200000"/>
    <n v="1750000"/>
    <x v="59"/>
    <n v="350000"/>
    <n v="140"/>
  </r>
  <r>
    <s v="2025-04-27"/>
    <x v="1"/>
    <s v="Sunday"/>
    <x v="2"/>
    <x v="3"/>
    <s v="Corporate"/>
    <s v="Online"/>
    <x v="0"/>
    <x v="0"/>
    <n v="85000"/>
    <n v="6"/>
    <x v="3"/>
    <n v="68000"/>
    <n v="510000"/>
    <x v="60"/>
    <n v="102000"/>
    <n v="141"/>
  </r>
  <r>
    <s v="2025-02-11"/>
    <x v="2"/>
    <s v="Tuesday"/>
    <x v="3"/>
    <x v="0"/>
    <s v="Corporate"/>
    <s v="Online"/>
    <x v="4"/>
    <x v="1"/>
    <n v="180000"/>
    <n v="9"/>
    <x v="4"/>
    <n v="144000"/>
    <n v="1620000"/>
    <x v="27"/>
    <n v="324000"/>
    <n v="142"/>
  </r>
  <r>
    <s v="2025-03-24"/>
    <x v="3"/>
    <s v="Monday"/>
    <x v="0"/>
    <x v="3"/>
    <s v="Corporate"/>
    <s v="Online"/>
    <x v="1"/>
    <x v="1"/>
    <n v="30000"/>
    <n v="8"/>
    <x v="4"/>
    <n v="24000"/>
    <n v="240000"/>
    <x v="1"/>
    <n v="48000"/>
    <n v="143"/>
  </r>
  <r>
    <s v="2025-01-22"/>
    <x v="0"/>
    <s v="Wednesday"/>
    <x v="2"/>
    <x v="0"/>
    <s v="Corporate"/>
    <s v="Store"/>
    <x v="0"/>
    <x v="0"/>
    <n v="85000"/>
    <n v="1"/>
    <x v="1"/>
    <n v="68000"/>
    <n v="85000"/>
    <x v="0"/>
    <n v="17000"/>
    <n v="144"/>
  </r>
  <r>
    <s v="2025-02-05"/>
    <x v="2"/>
    <s v="Wednesday"/>
    <x v="0"/>
    <x v="3"/>
    <s v="Corporate"/>
    <s v="Online"/>
    <x v="1"/>
    <x v="1"/>
    <n v="30000"/>
    <n v="8"/>
    <x v="5"/>
    <n v="24000"/>
    <n v="240000"/>
    <x v="1"/>
    <n v="48000"/>
    <n v="145"/>
  </r>
  <r>
    <s v="2025-01-16"/>
    <x v="0"/>
    <s v="Thursday"/>
    <x v="3"/>
    <x v="2"/>
    <s v="Retail"/>
    <s v="Online"/>
    <x v="5"/>
    <x v="0"/>
    <n v="320000"/>
    <n v="2"/>
    <x v="4"/>
    <n v="256000"/>
    <n v="640000"/>
    <x v="38"/>
    <n v="128000"/>
    <n v="146"/>
  </r>
  <r>
    <s v="2025-03-15"/>
    <x v="3"/>
    <s v="Saturday"/>
    <x v="1"/>
    <x v="0"/>
    <s v="Retail"/>
    <s v="Online"/>
    <x v="6"/>
    <x v="2"/>
    <n v="150000"/>
    <n v="5"/>
    <x v="4"/>
    <n v="120000"/>
    <n v="750000"/>
    <x v="56"/>
    <n v="150000"/>
    <n v="147"/>
  </r>
  <r>
    <s v="2025-03-23"/>
    <x v="3"/>
    <s v="Sunday"/>
    <x v="1"/>
    <x v="2"/>
    <s v="Corporate"/>
    <s v="Online"/>
    <x v="8"/>
    <x v="2"/>
    <n v="250000"/>
    <n v="5"/>
    <x v="5"/>
    <n v="200000"/>
    <n v="1250000"/>
    <x v="21"/>
    <n v="250000"/>
    <n v="148"/>
  </r>
  <r>
    <s v="2025-01-19"/>
    <x v="0"/>
    <s v="Sunday"/>
    <x v="3"/>
    <x v="3"/>
    <s v="Corporate"/>
    <s v="Online"/>
    <x v="9"/>
    <x v="1"/>
    <n v="220000"/>
    <n v="10"/>
    <x v="1"/>
    <n v="176000"/>
    <n v="2200000"/>
    <x v="61"/>
    <n v="440000"/>
    <n v="149"/>
  </r>
  <r>
    <s v="2025-04-13"/>
    <x v="1"/>
    <s v="Sunday"/>
    <x v="3"/>
    <x v="2"/>
    <s v="Corporate"/>
    <s v="Online"/>
    <x v="2"/>
    <x v="1"/>
    <n v="60000"/>
    <n v="2"/>
    <x v="3"/>
    <n v="48000"/>
    <n v="120000"/>
    <x v="3"/>
    <n v="24000"/>
    <n v="150"/>
  </r>
  <r>
    <s v="2025-01-16"/>
    <x v="0"/>
    <s v="Thursday"/>
    <x v="3"/>
    <x v="2"/>
    <s v="Corporate"/>
    <s v="Store"/>
    <x v="8"/>
    <x v="2"/>
    <n v="250000"/>
    <n v="1"/>
    <x v="4"/>
    <n v="200000"/>
    <n v="250000"/>
    <x v="44"/>
    <n v="50000"/>
    <n v="151"/>
  </r>
  <r>
    <s v="2025-01-15"/>
    <x v="0"/>
    <s v="Wednesday"/>
    <x v="0"/>
    <x v="0"/>
    <s v="Retail"/>
    <s v="Online"/>
    <x v="4"/>
    <x v="1"/>
    <n v="180000"/>
    <n v="8"/>
    <x v="5"/>
    <n v="144000"/>
    <n v="1440000"/>
    <x v="37"/>
    <n v="288000"/>
    <n v="152"/>
  </r>
  <r>
    <s v="2025-01-01"/>
    <x v="0"/>
    <s v="Wednesday"/>
    <x v="3"/>
    <x v="1"/>
    <s v="Retail"/>
    <s v="Online"/>
    <x v="6"/>
    <x v="2"/>
    <n v="150000"/>
    <n v="1"/>
    <x v="0"/>
    <n v="120000"/>
    <n v="150000"/>
    <x v="26"/>
    <n v="30000"/>
    <n v="153"/>
  </r>
  <r>
    <s v="2025-02-01"/>
    <x v="2"/>
    <s v="Saturday"/>
    <x v="3"/>
    <x v="3"/>
    <s v="Retail"/>
    <s v="Online"/>
    <x v="1"/>
    <x v="1"/>
    <n v="30000"/>
    <n v="6"/>
    <x v="1"/>
    <n v="24000"/>
    <n v="180000"/>
    <x v="32"/>
    <n v="36000"/>
    <n v="154"/>
  </r>
  <r>
    <s v="2025-01-21"/>
    <x v="0"/>
    <s v="Tuesday"/>
    <x v="0"/>
    <x v="0"/>
    <s v="Corporate"/>
    <s v="Online"/>
    <x v="9"/>
    <x v="1"/>
    <n v="220000"/>
    <n v="10"/>
    <x v="5"/>
    <n v="176000"/>
    <n v="2200000"/>
    <x v="61"/>
    <n v="440000"/>
    <n v="155"/>
  </r>
  <r>
    <s v="2025-01-17"/>
    <x v="0"/>
    <s v="Friday"/>
    <x v="0"/>
    <x v="0"/>
    <s v="Retail"/>
    <s v="Store"/>
    <x v="7"/>
    <x v="2"/>
    <n v="420000"/>
    <n v="1"/>
    <x v="1"/>
    <n v="336000"/>
    <n v="420000"/>
    <x v="40"/>
    <n v="84000"/>
    <n v="156"/>
  </r>
  <r>
    <s v="2025-01-14"/>
    <x v="0"/>
    <s v="Tuesday"/>
    <x v="0"/>
    <x v="1"/>
    <s v="Corporate"/>
    <s v="Store"/>
    <x v="3"/>
    <x v="2"/>
    <n v="300000"/>
    <n v="8"/>
    <x v="1"/>
    <n v="240000"/>
    <n v="2400000"/>
    <x v="24"/>
    <n v="480000"/>
    <n v="157"/>
  </r>
  <r>
    <s v="2025-02-26"/>
    <x v="2"/>
    <s v="Wednesday"/>
    <x v="3"/>
    <x v="3"/>
    <s v="Corporate"/>
    <s v="Online"/>
    <x v="8"/>
    <x v="2"/>
    <n v="250000"/>
    <n v="3"/>
    <x v="0"/>
    <n v="200000"/>
    <n v="750000"/>
    <x v="56"/>
    <n v="150000"/>
    <n v="158"/>
  </r>
  <r>
    <s v="2025-03-13"/>
    <x v="3"/>
    <s v="Thursday"/>
    <x v="0"/>
    <x v="3"/>
    <s v="Corporate"/>
    <s v="Online"/>
    <x v="3"/>
    <x v="2"/>
    <n v="300000"/>
    <n v="4"/>
    <x v="3"/>
    <n v="240000"/>
    <n v="1200000"/>
    <x v="29"/>
    <n v="240000"/>
    <n v="159"/>
  </r>
  <r>
    <s v="2025-04-02"/>
    <x v="1"/>
    <s v="Wednesday"/>
    <x v="0"/>
    <x v="2"/>
    <s v="Retail"/>
    <s v="Online"/>
    <x v="6"/>
    <x v="2"/>
    <n v="150000"/>
    <n v="6"/>
    <x v="3"/>
    <n v="120000"/>
    <n v="900000"/>
    <x v="48"/>
    <n v="180000"/>
    <n v="160"/>
  </r>
  <r>
    <s v="2025-04-14"/>
    <x v="1"/>
    <s v="Monday"/>
    <x v="0"/>
    <x v="3"/>
    <s v="Retail"/>
    <s v="Online"/>
    <x v="7"/>
    <x v="2"/>
    <n v="420000"/>
    <n v="2"/>
    <x v="0"/>
    <n v="336000"/>
    <n v="840000"/>
    <x v="62"/>
    <n v="168000"/>
    <n v="161"/>
  </r>
  <r>
    <s v="2025-01-27"/>
    <x v="0"/>
    <s v="Monday"/>
    <x v="2"/>
    <x v="1"/>
    <s v="Retail"/>
    <s v="Online"/>
    <x v="9"/>
    <x v="1"/>
    <n v="220000"/>
    <n v="1"/>
    <x v="1"/>
    <n v="176000"/>
    <n v="220000"/>
    <x v="25"/>
    <n v="44000"/>
    <n v="162"/>
  </r>
  <r>
    <s v="2025-04-17"/>
    <x v="1"/>
    <s v="Thursday"/>
    <x v="2"/>
    <x v="3"/>
    <s v="Retail"/>
    <s v="Store"/>
    <x v="9"/>
    <x v="1"/>
    <n v="220000"/>
    <n v="8"/>
    <x v="4"/>
    <n v="176000"/>
    <n v="1760000"/>
    <x v="42"/>
    <n v="352000"/>
    <n v="163"/>
  </r>
  <r>
    <s v="2025-03-19"/>
    <x v="3"/>
    <s v="Wednesday"/>
    <x v="3"/>
    <x v="2"/>
    <s v="Retail"/>
    <s v="Store"/>
    <x v="1"/>
    <x v="1"/>
    <n v="30000"/>
    <n v="10"/>
    <x v="5"/>
    <n v="24000"/>
    <n v="300000"/>
    <x v="11"/>
    <n v="60000"/>
    <n v="164"/>
  </r>
  <r>
    <s v="2025-03-02"/>
    <x v="3"/>
    <s v="Sunday"/>
    <x v="3"/>
    <x v="1"/>
    <s v="Corporate"/>
    <s v="Online"/>
    <x v="1"/>
    <x v="1"/>
    <n v="30000"/>
    <n v="4"/>
    <x v="5"/>
    <n v="24000"/>
    <n v="120000"/>
    <x v="3"/>
    <n v="24000"/>
    <n v="165"/>
  </r>
  <r>
    <s v="2025-04-07"/>
    <x v="1"/>
    <s v="Monday"/>
    <x v="0"/>
    <x v="0"/>
    <s v="Corporate"/>
    <s v="Online"/>
    <x v="4"/>
    <x v="1"/>
    <n v="180000"/>
    <n v="6"/>
    <x v="0"/>
    <n v="144000"/>
    <n v="1080000"/>
    <x v="53"/>
    <n v="216000"/>
    <n v="166"/>
  </r>
  <r>
    <s v="2025-04-03"/>
    <x v="1"/>
    <s v="Thursday"/>
    <x v="0"/>
    <x v="3"/>
    <s v="Corporate"/>
    <s v="Online"/>
    <x v="3"/>
    <x v="2"/>
    <n v="300000"/>
    <n v="2"/>
    <x v="5"/>
    <n v="240000"/>
    <n v="600000"/>
    <x v="4"/>
    <n v="120000"/>
    <n v="167"/>
  </r>
  <r>
    <s v="2025-01-27"/>
    <x v="0"/>
    <s v="Monday"/>
    <x v="1"/>
    <x v="1"/>
    <s v="Retail"/>
    <s v="Online"/>
    <x v="6"/>
    <x v="2"/>
    <n v="150000"/>
    <n v="9"/>
    <x v="0"/>
    <n v="120000"/>
    <n v="1350000"/>
    <x v="63"/>
    <n v="270000"/>
    <n v="168"/>
  </r>
  <r>
    <s v="2025-03-30"/>
    <x v="3"/>
    <s v="Sunday"/>
    <x v="3"/>
    <x v="0"/>
    <s v="Retail"/>
    <s v="Store"/>
    <x v="6"/>
    <x v="2"/>
    <n v="150000"/>
    <n v="9"/>
    <x v="1"/>
    <n v="120000"/>
    <n v="1350000"/>
    <x v="63"/>
    <n v="270000"/>
    <n v="169"/>
  </r>
  <r>
    <s v="2025-02-07"/>
    <x v="2"/>
    <s v="Friday"/>
    <x v="0"/>
    <x v="0"/>
    <s v="Retail"/>
    <s v="Online"/>
    <x v="1"/>
    <x v="1"/>
    <n v="30000"/>
    <n v="4"/>
    <x v="0"/>
    <n v="24000"/>
    <n v="120000"/>
    <x v="3"/>
    <n v="24000"/>
    <n v="170"/>
  </r>
  <r>
    <s v="2025-05-01"/>
    <x v="4"/>
    <s v="Thursday"/>
    <x v="1"/>
    <x v="2"/>
    <s v="Corporate"/>
    <s v="Online"/>
    <x v="2"/>
    <x v="1"/>
    <n v="60000"/>
    <n v="9"/>
    <x v="2"/>
    <n v="48000"/>
    <n v="540000"/>
    <x v="46"/>
    <n v="108000"/>
    <n v="171"/>
  </r>
  <r>
    <s v="2025-01-10"/>
    <x v="0"/>
    <s v="Friday"/>
    <x v="2"/>
    <x v="1"/>
    <s v="Retail"/>
    <s v="Store"/>
    <x v="3"/>
    <x v="2"/>
    <n v="300000"/>
    <n v="9"/>
    <x v="2"/>
    <n v="240000"/>
    <n v="2700000"/>
    <x v="39"/>
    <n v="540000"/>
    <n v="172"/>
  </r>
  <r>
    <s v="2025-04-21"/>
    <x v="1"/>
    <s v="Monday"/>
    <x v="3"/>
    <x v="3"/>
    <s v="Retail"/>
    <s v="Online"/>
    <x v="5"/>
    <x v="0"/>
    <n v="320000"/>
    <n v="3"/>
    <x v="5"/>
    <n v="256000"/>
    <n v="960000"/>
    <x v="9"/>
    <n v="192000"/>
    <n v="173"/>
  </r>
  <r>
    <s v="2025-04-25"/>
    <x v="1"/>
    <s v="Friday"/>
    <x v="0"/>
    <x v="0"/>
    <s v="Retail"/>
    <s v="Online"/>
    <x v="6"/>
    <x v="2"/>
    <n v="150000"/>
    <n v="1"/>
    <x v="0"/>
    <n v="120000"/>
    <n v="150000"/>
    <x v="26"/>
    <n v="30000"/>
    <n v="174"/>
  </r>
  <r>
    <s v="2025-04-02"/>
    <x v="1"/>
    <s v="Wednesday"/>
    <x v="3"/>
    <x v="1"/>
    <s v="Corporate"/>
    <s v="Online"/>
    <x v="3"/>
    <x v="2"/>
    <n v="300000"/>
    <n v="9"/>
    <x v="2"/>
    <n v="240000"/>
    <n v="2700000"/>
    <x v="39"/>
    <n v="540000"/>
    <n v="175"/>
  </r>
  <r>
    <s v="2025-01-14"/>
    <x v="0"/>
    <s v="Tuesday"/>
    <x v="1"/>
    <x v="1"/>
    <s v="Retail"/>
    <s v="Online"/>
    <x v="9"/>
    <x v="1"/>
    <n v="220000"/>
    <n v="3"/>
    <x v="1"/>
    <n v="176000"/>
    <n v="660000"/>
    <x v="49"/>
    <n v="132000"/>
    <n v="176"/>
  </r>
  <r>
    <s v="2025-04-19"/>
    <x v="1"/>
    <s v="Saturday"/>
    <x v="0"/>
    <x v="2"/>
    <s v="Corporate"/>
    <s v="Online"/>
    <x v="9"/>
    <x v="1"/>
    <n v="220000"/>
    <n v="9"/>
    <x v="5"/>
    <n v="176000"/>
    <n v="1980000"/>
    <x v="64"/>
    <n v="396000"/>
    <n v="177"/>
  </r>
  <r>
    <s v="2025-01-07"/>
    <x v="0"/>
    <s v="Tuesday"/>
    <x v="1"/>
    <x v="2"/>
    <s v="Corporate"/>
    <s v="Store"/>
    <x v="2"/>
    <x v="1"/>
    <n v="60000"/>
    <n v="6"/>
    <x v="5"/>
    <n v="48000"/>
    <n v="360000"/>
    <x v="50"/>
    <n v="72000"/>
    <n v="178"/>
  </r>
  <r>
    <s v="2025-02-04"/>
    <x v="2"/>
    <s v="Tuesday"/>
    <x v="3"/>
    <x v="2"/>
    <s v="Retail"/>
    <s v="Store"/>
    <x v="1"/>
    <x v="1"/>
    <n v="30000"/>
    <n v="10"/>
    <x v="3"/>
    <n v="24000"/>
    <n v="300000"/>
    <x v="11"/>
    <n v="60000"/>
    <n v="179"/>
  </r>
  <r>
    <s v="2025-01-02"/>
    <x v="0"/>
    <s v="Thursday"/>
    <x v="2"/>
    <x v="2"/>
    <s v="Corporate"/>
    <s v="Store"/>
    <x v="7"/>
    <x v="2"/>
    <n v="420000"/>
    <n v="8"/>
    <x v="5"/>
    <n v="336000"/>
    <n v="3360000"/>
    <x v="19"/>
    <n v="672000"/>
    <n v="180"/>
  </r>
  <r>
    <s v="2025-03-26"/>
    <x v="3"/>
    <s v="Wednesday"/>
    <x v="2"/>
    <x v="2"/>
    <s v="Corporate"/>
    <s v="Online"/>
    <x v="2"/>
    <x v="1"/>
    <n v="60000"/>
    <n v="9"/>
    <x v="0"/>
    <n v="48000"/>
    <n v="540000"/>
    <x v="46"/>
    <n v="108000"/>
    <n v="181"/>
  </r>
  <r>
    <s v="2025-01-18"/>
    <x v="0"/>
    <s v="Saturday"/>
    <x v="1"/>
    <x v="2"/>
    <s v="Corporate"/>
    <s v="Online"/>
    <x v="8"/>
    <x v="2"/>
    <n v="250000"/>
    <n v="1"/>
    <x v="3"/>
    <n v="200000"/>
    <n v="250000"/>
    <x v="44"/>
    <n v="50000"/>
    <n v="182"/>
  </r>
  <r>
    <s v="2025-02-23"/>
    <x v="2"/>
    <s v="Sunday"/>
    <x v="2"/>
    <x v="2"/>
    <s v="Retail"/>
    <s v="Online"/>
    <x v="2"/>
    <x v="1"/>
    <n v="60000"/>
    <n v="1"/>
    <x v="5"/>
    <n v="48000"/>
    <n v="60000"/>
    <x v="41"/>
    <n v="12000"/>
    <n v="183"/>
  </r>
  <r>
    <s v="2025-04-16"/>
    <x v="1"/>
    <s v="Wednesday"/>
    <x v="2"/>
    <x v="3"/>
    <s v="Retail"/>
    <s v="Online"/>
    <x v="7"/>
    <x v="2"/>
    <n v="420000"/>
    <n v="8"/>
    <x v="5"/>
    <n v="336000"/>
    <n v="3360000"/>
    <x v="19"/>
    <n v="672000"/>
    <n v="184"/>
  </r>
  <r>
    <s v="2025-02-03"/>
    <x v="2"/>
    <s v="Monday"/>
    <x v="2"/>
    <x v="0"/>
    <s v="Corporate"/>
    <s v="Store"/>
    <x v="4"/>
    <x v="1"/>
    <n v="180000"/>
    <n v="4"/>
    <x v="5"/>
    <n v="144000"/>
    <n v="720000"/>
    <x v="65"/>
    <n v="144000"/>
    <n v="185"/>
  </r>
  <r>
    <s v="2025-03-17"/>
    <x v="3"/>
    <s v="Monday"/>
    <x v="1"/>
    <x v="2"/>
    <s v="Retail"/>
    <s v="Store"/>
    <x v="4"/>
    <x v="1"/>
    <n v="180000"/>
    <n v="7"/>
    <x v="5"/>
    <n v="144000"/>
    <n v="1260000"/>
    <x v="55"/>
    <n v="252000"/>
    <n v="186"/>
  </r>
  <r>
    <s v="2025-01-03"/>
    <x v="0"/>
    <s v="Friday"/>
    <x v="3"/>
    <x v="2"/>
    <s v="Retail"/>
    <s v="Online"/>
    <x v="1"/>
    <x v="1"/>
    <n v="30000"/>
    <n v="6"/>
    <x v="4"/>
    <n v="24000"/>
    <n v="180000"/>
    <x v="32"/>
    <n v="36000"/>
    <n v="187"/>
  </r>
  <r>
    <s v="2025-02-20"/>
    <x v="2"/>
    <s v="Thursday"/>
    <x v="1"/>
    <x v="0"/>
    <s v="Retail"/>
    <s v="Online"/>
    <x v="4"/>
    <x v="1"/>
    <n v="180000"/>
    <n v="4"/>
    <x v="1"/>
    <n v="144000"/>
    <n v="720000"/>
    <x v="65"/>
    <n v="144000"/>
    <n v="188"/>
  </r>
  <r>
    <s v="2025-04-25"/>
    <x v="1"/>
    <s v="Friday"/>
    <x v="1"/>
    <x v="3"/>
    <s v="Corporate"/>
    <s v="Store"/>
    <x v="3"/>
    <x v="2"/>
    <n v="300000"/>
    <n v="3"/>
    <x v="2"/>
    <n v="240000"/>
    <n v="900000"/>
    <x v="48"/>
    <n v="180000"/>
    <n v="189"/>
  </r>
  <r>
    <s v="2025-01-21"/>
    <x v="0"/>
    <s v="Tuesday"/>
    <x v="0"/>
    <x v="1"/>
    <s v="Retail"/>
    <s v="Online"/>
    <x v="2"/>
    <x v="1"/>
    <n v="60000"/>
    <n v="3"/>
    <x v="0"/>
    <n v="48000"/>
    <n v="180000"/>
    <x v="32"/>
    <n v="36000"/>
    <n v="190"/>
  </r>
  <r>
    <s v="2025-02-20"/>
    <x v="2"/>
    <s v="Thursday"/>
    <x v="1"/>
    <x v="0"/>
    <s v="Corporate"/>
    <s v="Online"/>
    <x v="9"/>
    <x v="1"/>
    <n v="220000"/>
    <n v="1"/>
    <x v="2"/>
    <n v="176000"/>
    <n v="220000"/>
    <x v="25"/>
    <n v="44000"/>
    <n v="191"/>
  </r>
  <r>
    <s v="2025-02-05"/>
    <x v="2"/>
    <s v="Wednesday"/>
    <x v="3"/>
    <x v="1"/>
    <s v="Retail"/>
    <s v="Online"/>
    <x v="3"/>
    <x v="2"/>
    <n v="300000"/>
    <n v="2"/>
    <x v="1"/>
    <n v="240000"/>
    <n v="600000"/>
    <x v="4"/>
    <n v="120000"/>
    <n v="192"/>
  </r>
  <r>
    <s v="2025-03-05"/>
    <x v="3"/>
    <s v="Wednesday"/>
    <x v="2"/>
    <x v="2"/>
    <s v="Retail"/>
    <s v="Online"/>
    <x v="6"/>
    <x v="2"/>
    <n v="150000"/>
    <n v="3"/>
    <x v="1"/>
    <n v="120000"/>
    <n v="450000"/>
    <x v="34"/>
    <n v="90000"/>
    <n v="193"/>
  </r>
  <r>
    <s v="2025-02-04"/>
    <x v="2"/>
    <s v="Tuesday"/>
    <x v="3"/>
    <x v="1"/>
    <s v="Corporate"/>
    <s v="Online"/>
    <x v="0"/>
    <x v="0"/>
    <n v="85000"/>
    <n v="1"/>
    <x v="1"/>
    <n v="68000"/>
    <n v="85000"/>
    <x v="0"/>
    <n v="17000"/>
    <n v="194"/>
  </r>
  <r>
    <s v="2025-01-02"/>
    <x v="0"/>
    <s v="Thursday"/>
    <x v="2"/>
    <x v="1"/>
    <s v="Retail"/>
    <s v="Store"/>
    <x v="1"/>
    <x v="1"/>
    <n v="30000"/>
    <n v="6"/>
    <x v="0"/>
    <n v="24000"/>
    <n v="180000"/>
    <x v="32"/>
    <n v="36000"/>
    <n v="195"/>
  </r>
  <r>
    <s v="2025-03-02"/>
    <x v="3"/>
    <s v="Sunday"/>
    <x v="0"/>
    <x v="2"/>
    <s v="Corporate"/>
    <s v="Online"/>
    <x v="6"/>
    <x v="2"/>
    <n v="150000"/>
    <n v="5"/>
    <x v="2"/>
    <n v="120000"/>
    <n v="750000"/>
    <x v="56"/>
    <n v="150000"/>
    <n v="196"/>
  </r>
  <r>
    <s v="2025-04-19"/>
    <x v="1"/>
    <s v="Saturday"/>
    <x v="0"/>
    <x v="1"/>
    <s v="Retail"/>
    <s v="Store"/>
    <x v="1"/>
    <x v="1"/>
    <n v="30000"/>
    <n v="5"/>
    <x v="4"/>
    <n v="24000"/>
    <n v="150000"/>
    <x v="26"/>
    <n v="30000"/>
    <n v="197"/>
  </r>
  <r>
    <s v="2025-04-12"/>
    <x v="1"/>
    <s v="Saturday"/>
    <x v="1"/>
    <x v="1"/>
    <s v="Retail"/>
    <s v="Store"/>
    <x v="4"/>
    <x v="1"/>
    <n v="180000"/>
    <n v="9"/>
    <x v="5"/>
    <n v="144000"/>
    <n v="1620000"/>
    <x v="27"/>
    <n v="324000"/>
    <n v="198"/>
  </r>
  <r>
    <s v="2025-02-05"/>
    <x v="2"/>
    <s v="Wednesday"/>
    <x v="3"/>
    <x v="2"/>
    <s v="Corporate"/>
    <s v="Store"/>
    <x v="2"/>
    <x v="1"/>
    <n v="60000"/>
    <n v="6"/>
    <x v="2"/>
    <n v="48000"/>
    <n v="360000"/>
    <x v="50"/>
    <n v="72000"/>
    <n v="199"/>
  </r>
  <r>
    <s v="2025-03-19"/>
    <x v="3"/>
    <s v="Wednesday"/>
    <x v="3"/>
    <x v="1"/>
    <s v="Retail"/>
    <s v="Store"/>
    <x v="8"/>
    <x v="2"/>
    <n v="250000"/>
    <n v="10"/>
    <x v="1"/>
    <n v="200000"/>
    <n v="2500000"/>
    <x v="66"/>
    <n v="500000"/>
    <n v="200"/>
  </r>
  <r>
    <s v="2025-02-04"/>
    <x v="2"/>
    <s v="Tuesday"/>
    <x v="2"/>
    <x v="2"/>
    <s v="Retail"/>
    <s v="Store"/>
    <x v="7"/>
    <x v="2"/>
    <n v="420000"/>
    <n v="3"/>
    <x v="1"/>
    <n v="336000"/>
    <n v="1260000"/>
    <x v="55"/>
    <n v="252000"/>
    <n v="201"/>
  </r>
  <r>
    <s v="2025-01-12"/>
    <x v="0"/>
    <s v="Sunday"/>
    <x v="3"/>
    <x v="0"/>
    <s v="Corporate"/>
    <s v="Store"/>
    <x v="6"/>
    <x v="2"/>
    <n v="150000"/>
    <n v="3"/>
    <x v="1"/>
    <n v="120000"/>
    <n v="450000"/>
    <x v="34"/>
    <n v="90000"/>
    <n v="202"/>
  </r>
  <r>
    <s v="2025-03-31"/>
    <x v="3"/>
    <s v="Monday"/>
    <x v="2"/>
    <x v="3"/>
    <s v="Corporate"/>
    <s v="Store"/>
    <x v="9"/>
    <x v="1"/>
    <n v="220000"/>
    <n v="4"/>
    <x v="1"/>
    <n v="176000"/>
    <n v="880000"/>
    <x v="22"/>
    <n v="176000"/>
    <n v="203"/>
  </r>
  <r>
    <s v="2025-01-01"/>
    <x v="0"/>
    <s v="Wednesday"/>
    <x v="2"/>
    <x v="1"/>
    <s v="Corporate"/>
    <s v="Store"/>
    <x v="0"/>
    <x v="0"/>
    <n v="85000"/>
    <n v="10"/>
    <x v="1"/>
    <n v="68000"/>
    <n v="850000"/>
    <x v="43"/>
    <n v="170000"/>
    <n v="204"/>
  </r>
  <r>
    <s v="2025-03-20"/>
    <x v="3"/>
    <s v="Thursday"/>
    <x v="3"/>
    <x v="2"/>
    <s v="Retail"/>
    <s v="Store"/>
    <x v="3"/>
    <x v="2"/>
    <n v="300000"/>
    <n v="6"/>
    <x v="5"/>
    <n v="240000"/>
    <n v="1800000"/>
    <x v="5"/>
    <n v="360000"/>
    <n v="205"/>
  </r>
  <r>
    <s v="2025-02-25"/>
    <x v="2"/>
    <s v="Tuesday"/>
    <x v="0"/>
    <x v="0"/>
    <s v="Retail"/>
    <s v="Online"/>
    <x v="3"/>
    <x v="2"/>
    <n v="300000"/>
    <n v="8"/>
    <x v="4"/>
    <n v="240000"/>
    <n v="2400000"/>
    <x v="24"/>
    <n v="480000"/>
    <n v="206"/>
  </r>
  <r>
    <s v="2025-02-03"/>
    <x v="2"/>
    <s v="Monday"/>
    <x v="2"/>
    <x v="3"/>
    <s v="Corporate"/>
    <s v="Store"/>
    <x v="5"/>
    <x v="0"/>
    <n v="320000"/>
    <n v="4"/>
    <x v="2"/>
    <n v="256000"/>
    <n v="1280000"/>
    <x v="6"/>
    <n v="256000"/>
    <n v="207"/>
  </r>
  <r>
    <s v="2025-04-06"/>
    <x v="1"/>
    <s v="Sunday"/>
    <x v="2"/>
    <x v="1"/>
    <s v="Corporate"/>
    <s v="Online"/>
    <x v="4"/>
    <x v="1"/>
    <n v="180000"/>
    <n v="5"/>
    <x v="5"/>
    <n v="144000"/>
    <n v="900000"/>
    <x v="48"/>
    <n v="180000"/>
    <n v="208"/>
  </r>
  <r>
    <s v="2025-01-01"/>
    <x v="0"/>
    <s v="Wednesday"/>
    <x v="0"/>
    <x v="0"/>
    <s v="Retail"/>
    <s v="Store"/>
    <x v="4"/>
    <x v="1"/>
    <n v="180000"/>
    <n v="6"/>
    <x v="3"/>
    <n v="144000"/>
    <n v="1080000"/>
    <x v="53"/>
    <n v="216000"/>
    <n v="209"/>
  </r>
  <r>
    <s v="2025-03-15"/>
    <x v="3"/>
    <s v="Saturday"/>
    <x v="1"/>
    <x v="2"/>
    <s v="Corporate"/>
    <s v="Store"/>
    <x v="6"/>
    <x v="2"/>
    <n v="150000"/>
    <n v="9"/>
    <x v="2"/>
    <n v="120000"/>
    <n v="1350000"/>
    <x v="63"/>
    <n v="270000"/>
    <n v="210"/>
  </r>
  <r>
    <s v="2025-01-31"/>
    <x v="0"/>
    <s v="Friday"/>
    <x v="0"/>
    <x v="0"/>
    <s v="Retail"/>
    <s v="Online"/>
    <x v="6"/>
    <x v="2"/>
    <n v="150000"/>
    <n v="1"/>
    <x v="3"/>
    <n v="120000"/>
    <n v="150000"/>
    <x v="26"/>
    <n v="30000"/>
    <n v="211"/>
  </r>
  <r>
    <s v="2025-01-12"/>
    <x v="0"/>
    <s v="Sunday"/>
    <x v="1"/>
    <x v="2"/>
    <s v="Retail"/>
    <s v="Online"/>
    <x v="4"/>
    <x v="1"/>
    <n v="180000"/>
    <n v="8"/>
    <x v="3"/>
    <n v="144000"/>
    <n v="1440000"/>
    <x v="37"/>
    <n v="288000"/>
    <n v="212"/>
  </r>
  <r>
    <s v="2025-03-11"/>
    <x v="3"/>
    <s v="Tuesday"/>
    <x v="0"/>
    <x v="0"/>
    <s v="Retail"/>
    <s v="Store"/>
    <x v="4"/>
    <x v="1"/>
    <n v="180000"/>
    <n v="6"/>
    <x v="2"/>
    <n v="144000"/>
    <n v="1080000"/>
    <x v="53"/>
    <n v="216000"/>
    <n v="213"/>
  </r>
  <r>
    <s v="2025-04-11"/>
    <x v="1"/>
    <s v="Friday"/>
    <x v="3"/>
    <x v="3"/>
    <s v="Corporate"/>
    <s v="Online"/>
    <x v="4"/>
    <x v="1"/>
    <n v="180000"/>
    <n v="3"/>
    <x v="4"/>
    <n v="144000"/>
    <n v="540000"/>
    <x v="46"/>
    <n v="108000"/>
    <n v="214"/>
  </r>
  <r>
    <s v="2025-03-14"/>
    <x v="3"/>
    <s v="Friday"/>
    <x v="3"/>
    <x v="2"/>
    <s v="Retail"/>
    <s v="Online"/>
    <x v="6"/>
    <x v="2"/>
    <n v="150000"/>
    <n v="10"/>
    <x v="0"/>
    <n v="120000"/>
    <n v="1500000"/>
    <x v="17"/>
    <n v="300000"/>
    <n v="215"/>
  </r>
  <r>
    <s v="2025-04-12"/>
    <x v="1"/>
    <s v="Saturday"/>
    <x v="2"/>
    <x v="2"/>
    <s v="Retail"/>
    <s v="Store"/>
    <x v="4"/>
    <x v="1"/>
    <n v="180000"/>
    <n v="8"/>
    <x v="4"/>
    <n v="144000"/>
    <n v="1440000"/>
    <x v="37"/>
    <n v="288000"/>
    <n v="216"/>
  </r>
  <r>
    <s v="2025-02-20"/>
    <x v="2"/>
    <s v="Thursday"/>
    <x v="0"/>
    <x v="2"/>
    <s v="Retail"/>
    <s v="Store"/>
    <x v="3"/>
    <x v="2"/>
    <n v="300000"/>
    <n v="8"/>
    <x v="2"/>
    <n v="240000"/>
    <n v="2400000"/>
    <x v="24"/>
    <n v="480000"/>
    <n v="217"/>
  </r>
  <r>
    <s v="2025-02-05"/>
    <x v="2"/>
    <s v="Wednesday"/>
    <x v="0"/>
    <x v="2"/>
    <s v="Retail"/>
    <s v="Store"/>
    <x v="5"/>
    <x v="0"/>
    <n v="320000"/>
    <n v="9"/>
    <x v="3"/>
    <n v="256000"/>
    <n v="2880000"/>
    <x v="8"/>
    <n v="576000"/>
    <n v="218"/>
  </r>
  <r>
    <s v="2025-01-18"/>
    <x v="0"/>
    <s v="Saturday"/>
    <x v="2"/>
    <x v="2"/>
    <s v="Retail"/>
    <s v="Online"/>
    <x v="5"/>
    <x v="0"/>
    <n v="320000"/>
    <n v="7"/>
    <x v="5"/>
    <n v="256000"/>
    <n v="2240000"/>
    <x v="10"/>
    <n v="448000"/>
    <n v="219"/>
  </r>
  <r>
    <s v="2025-04-26"/>
    <x v="1"/>
    <s v="Saturday"/>
    <x v="1"/>
    <x v="3"/>
    <s v="Retail"/>
    <s v="Online"/>
    <x v="6"/>
    <x v="2"/>
    <n v="150000"/>
    <n v="7"/>
    <x v="1"/>
    <n v="120000"/>
    <n v="1050000"/>
    <x v="16"/>
    <n v="210000"/>
    <n v="220"/>
  </r>
  <r>
    <s v="2025-01-21"/>
    <x v="0"/>
    <s v="Tuesday"/>
    <x v="1"/>
    <x v="3"/>
    <s v="Retail"/>
    <s v="Store"/>
    <x v="9"/>
    <x v="1"/>
    <n v="220000"/>
    <n v="6"/>
    <x v="5"/>
    <n v="176000"/>
    <n v="1320000"/>
    <x v="36"/>
    <n v="264000"/>
    <n v="221"/>
  </r>
  <r>
    <s v="2025-03-16"/>
    <x v="3"/>
    <s v="Sunday"/>
    <x v="3"/>
    <x v="1"/>
    <s v="Retail"/>
    <s v="Online"/>
    <x v="8"/>
    <x v="2"/>
    <n v="250000"/>
    <n v="1"/>
    <x v="3"/>
    <n v="200000"/>
    <n v="250000"/>
    <x v="44"/>
    <n v="50000"/>
    <n v="222"/>
  </r>
  <r>
    <s v="2025-03-18"/>
    <x v="3"/>
    <s v="Tuesday"/>
    <x v="0"/>
    <x v="1"/>
    <s v="Retail"/>
    <s v="Online"/>
    <x v="2"/>
    <x v="1"/>
    <n v="60000"/>
    <n v="4"/>
    <x v="1"/>
    <n v="48000"/>
    <n v="240000"/>
    <x v="1"/>
    <n v="48000"/>
    <n v="223"/>
  </r>
  <r>
    <s v="2025-01-02"/>
    <x v="0"/>
    <s v="Thursday"/>
    <x v="3"/>
    <x v="1"/>
    <s v="Retail"/>
    <s v="Online"/>
    <x v="0"/>
    <x v="0"/>
    <n v="85000"/>
    <n v="9"/>
    <x v="1"/>
    <n v="68000"/>
    <n v="765000"/>
    <x v="18"/>
    <n v="153000"/>
    <n v="224"/>
  </r>
  <r>
    <s v="2025-03-02"/>
    <x v="3"/>
    <s v="Sunday"/>
    <x v="0"/>
    <x v="0"/>
    <s v="Retail"/>
    <s v="Online"/>
    <x v="4"/>
    <x v="1"/>
    <n v="180000"/>
    <n v="5"/>
    <x v="0"/>
    <n v="144000"/>
    <n v="900000"/>
    <x v="48"/>
    <n v="180000"/>
    <n v="225"/>
  </r>
  <r>
    <s v="2025-01-24"/>
    <x v="0"/>
    <s v="Friday"/>
    <x v="0"/>
    <x v="1"/>
    <s v="Retail"/>
    <s v="Store"/>
    <x v="6"/>
    <x v="2"/>
    <n v="150000"/>
    <n v="4"/>
    <x v="0"/>
    <n v="120000"/>
    <n v="600000"/>
    <x v="4"/>
    <n v="120000"/>
    <n v="226"/>
  </r>
  <r>
    <s v="2025-02-15"/>
    <x v="2"/>
    <s v="Saturday"/>
    <x v="3"/>
    <x v="1"/>
    <s v="Retail"/>
    <s v="Online"/>
    <x v="6"/>
    <x v="2"/>
    <n v="150000"/>
    <n v="4"/>
    <x v="2"/>
    <n v="120000"/>
    <n v="600000"/>
    <x v="4"/>
    <n v="120000"/>
    <n v="227"/>
  </r>
  <r>
    <s v="2025-04-16"/>
    <x v="1"/>
    <s v="Wednesday"/>
    <x v="1"/>
    <x v="1"/>
    <s v="Corporate"/>
    <s v="Online"/>
    <x v="1"/>
    <x v="1"/>
    <n v="30000"/>
    <n v="2"/>
    <x v="2"/>
    <n v="24000"/>
    <n v="60000"/>
    <x v="41"/>
    <n v="12000"/>
    <n v="228"/>
  </r>
  <r>
    <s v="2025-04-24"/>
    <x v="1"/>
    <s v="Thursday"/>
    <x v="2"/>
    <x v="3"/>
    <s v="Corporate"/>
    <s v="Online"/>
    <x v="4"/>
    <x v="1"/>
    <n v="180000"/>
    <n v="6"/>
    <x v="4"/>
    <n v="144000"/>
    <n v="1080000"/>
    <x v="53"/>
    <n v="216000"/>
    <n v="229"/>
  </r>
  <r>
    <s v="2025-04-10"/>
    <x v="1"/>
    <s v="Thursday"/>
    <x v="3"/>
    <x v="2"/>
    <s v="Corporate"/>
    <s v="Store"/>
    <x v="2"/>
    <x v="1"/>
    <n v="60000"/>
    <n v="9"/>
    <x v="5"/>
    <n v="48000"/>
    <n v="540000"/>
    <x v="46"/>
    <n v="108000"/>
    <n v="230"/>
  </r>
  <r>
    <s v="2025-03-03"/>
    <x v="3"/>
    <s v="Monday"/>
    <x v="2"/>
    <x v="0"/>
    <s v="Retail"/>
    <s v="Online"/>
    <x v="6"/>
    <x v="2"/>
    <n v="150000"/>
    <n v="3"/>
    <x v="1"/>
    <n v="120000"/>
    <n v="450000"/>
    <x v="34"/>
    <n v="90000"/>
    <n v="231"/>
  </r>
  <r>
    <s v="2025-04-18"/>
    <x v="1"/>
    <s v="Friday"/>
    <x v="3"/>
    <x v="1"/>
    <s v="Retail"/>
    <s v="Online"/>
    <x v="0"/>
    <x v="0"/>
    <n v="85000"/>
    <n v="3"/>
    <x v="2"/>
    <n v="68000"/>
    <n v="255000"/>
    <x v="23"/>
    <n v="51000"/>
    <n v="232"/>
  </r>
  <r>
    <s v="2025-04-03"/>
    <x v="1"/>
    <s v="Thursday"/>
    <x v="1"/>
    <x v="0"/>
    <s v="Corporate"/>
    <s v="Store"/>
    <x v="1"/>
    <x v="1"/>
    <n v="30000"/>
    <n v="3"/>
    <x v="3"/>
    <n v="24000"/>
    <n v="90000"/>
    <x v="33"/>
    <n v="18000"/>
    <n v="233"/>
  </r>
  <r>
    <s v="2025-03-08"/>
    <x v="3"/>
    <s v="Saturday"/>
    <x v="1"/>
    <x v="2"/>
    <s v="Corporate"/>
    <s v="Online"/>
    <x v="0"/>
    <x v="0"/>
    <n v="85000"/>
    <n v="2"/>
    <x v="0"/>
    <n v="68000"/>
    <n v="170000"/>
    <x v="2"/>
    <n v="34000"/>
    <n v="234"/>
  </r>
  <r>
    <s v="2025-01-10"/>
    <x v="0"/>
    <s v="Friday"/>
    <x v="0"/>
    <x v="3"/>
    <s v="Corporate"/>
    <s v="Online"/>
    <x v="1"/>
    <x v="1"/>
    <n v="30000"/>
    <n v="6"/>
    <x v="0"/>
    <n v="24000"/>
    <n v="180000"/>
    <x v="32"/>
    <n v="36000"/>
    <n v="235"/>
  </r>
  <r>
    <s v="2025-04-28"/>
    <x v="1"/>
    <s v="Monday"/>
    <x v="0"/>
    <x v="3"/>
    <s v="Corporate"/>
    <s v="Online"/>
    <x v="5"/>
    <x v="0"/>
    <n v="320000"/>
    <n v="1"/>
    <x v="0"/>
    <n v="256000"/>
    <n v="320000"/>
    <x v="7"/>
    <n v="64000"/>
    <n v="236"/>
  </r>
  <r>
    <s v="2025-04-19"/>
    <x v="1"/>
    <s v="Saturday"/>
    <x v="2"/>
    <x v="1"/>
    <s v="Retail"/>
    <s v="Store"/>
    <x v="7"/>
    <x v="2"/>
    <n v="420000"/>
    <n v="5"/>
    <x v="4"/>
    <n v="336000"/>
    <n v="2100000"/>
    <x v="13"/>
    <n v="420000"/>
    <n v="237"/>
  </r>
  <r>
    <s v="2025-04-02"/>
    <x v="1"/>
    <s v="Wednesday"/>
    <x v="0"/>
    <x v="3"/>
    <s v="Retail"/>
    <s v="Store"/>
    <x v="1"/>
    <x v="1"/>
    <n v="30000"/>
    <n v="9"/>
    <x v="5"/>
    <n v="24000"/>
    <n v="270000"/>
    <x v="57"/>
    <n v="54000"/>
    <n v="238"/>
  </r>
  <r>
    <s v="2025-01-18"/>
    <x v="0"/>
    <s v="Saturday"/>
    <x v="2"/>
    <x v="3"/>
    <s v="Retail"/>
    <s v="Online"/>
    <x v="2"/>
    <x v="1"/>
    <n v="60000"/>
    <n v="8"/>
    <x v="4"/>
    <n v="48000"/>
    <n v="480000"/>
    <x v="47"/>
    <n v="96000"/>
    <n v="239"/>
  </r>
  <r>
    <s v="2025-01-10"/>
    <x v="0"/>
    <s v="Friday"/>
    <x v="0"/>
    <x v="2"/>
    <s v="Retail"/>
    <s v="Online"/>
    <x v="3"/>
    <x v="2"/>
    <n v="300000"/>
    <n v="2"/>
    <x v="2"/>
    <n v="240000"/>
    <n v="600000"/>
    <x v="4"/>
    <n v="120000"/>
    <n v="240"/>
  </r>
  <r>
    <s v="2025-03-16"/>
    <x v="3"/>
    <s v="Sunday"/>
    <x v="2"/>
    <x v="0"/>
    <s v="Retail"/>
    <s v="Online"/>
    <x v="9"/>
    <x v="1"/>
    <n v="220000"/>
    <n v="7"/>
    <x v="2"/>
    <n v="176000"/>
    <n v="1540000"/>
    <x v="67"/>
    <n v="308000"/>
    <n v="241"/>
  </r>
  <r>
    <s v="2025-02-08"/>
    <x v="2"/>
    <s v="Saturday"/>
    <x v="3"/>
    <x v="1"/>
    <s v="Corporate"/>
    <s v="Store"/>
    <x v="3"/>
    <x v="2"/>
    <n v="300000"/>
    <n v="8"/>
    <x v="0"/>
    <n v="240000"/>
    <n v="2400000"/>
    <x v="24"/>
    <n v="480000"/>
    <n v="242"/>
  </r>
  <r>
    <s v="2025-02-12"/>
    <x v="2"/>
    <s v="Wednesday"/>
    <x v="1"/>
    <x v="1"/>
    <s v="Corporate"/>
    <s v="Store"/>
    <x v="7"/>
    <x v="2"/>
    <n v="420000"/>
    <n v="10"/>
    <x v="3"/>
    <n v="336000"/>
    <n v="4200000"/>
    <x v="20"/>
    <n v="840000"/>
    <n v="243"/>
  </r>
  <r>
    <s v="2025-04-10"/>
    <x v="1"/>
    <s v="Thursday"/>
    <x v="1"/>
    <x v="3"/>
    <s v="Corporate"/>
    <s v="Online"/>
    <x v="3"/>
    <x v="2"/>
    <n v="300000"/>
    <n v="2"/>
    <x v="3"/>
    <n v="240000"/>
    <n v="600000"/>
    <x v="4"/>
    <n v="120000"/>
    <n v="244"/>
  </r>
  <r>
    <s v="2025-02-07"/>
    <x v="2"/>
    <s v="Friday"/>
    <x v="1"/>
    <x v="1"/>
    <s v="Corporate"/>
    <s v="Online"/>
    <x v="9"/>
    <x v="1"/>
    <n v="220000"/>
    <n v="3"/>
    <x v="2"/>
    <n v="176000"/>
    <n v="660000"/>
    <x v="49"/>
    <n v="132000"/>
    <n v="245"/>
  </r>
  <r>
    <s v="2025-02-03"/>
    <x v="2"/>
    <s v="Monday"/>
    <x v="1"/>
    <x v="2"/>
    <s v="Corporate"/>
    <s v="Store"/>
    <x v="0"/>
    <x v="0"/>
    <n v="85000"/>
    <n v="6"/>
    <x v="1"/>
    <n v="68000"/>
    <n v="510000"/>
    <x v="60"/>
    <n v="102000"/>
    <n v="246"/>
  </r>
  <r>
    <s v="2025-02-24"/>
    <x v="2"/>
    <s v="Monday"/>
    <x v="3"/>
    <x v="3"/>
    <s v="Corporate"/>
    <s v="Online"/>
    <x v="5"/>
    <x v="0"/>
    <n v="320000"/>
    <n v="10"/>
    <x v="5"/>
    <n v="256000"/>
    <n v="3200000"/>
    <x v="35"/>
    <n v="640000"/>
    <n v="247"/>
  </r>
  <r>
    <s v="2025-01-03"/>
    <x v="0"/>
    <s v="Friday"/>
    <x v="1"/>
    <x v="0"/>
    <s v="Corporate"/>
    <s v="Online"/>
    <x v="3"/>
    <x v="2"/>
    <n v="300000"/>
    <n v="2"/>
    <x v="1"/>
    <n v="240000"/>
    <n v="600000"/>
    <x v="4"/>
    <n v="120000"/>
    <n v="248"/>
  </r>
  <r>
    <s v="2025-03-19"/>
    <x v="3"/>
    <s v="Wednesday"/>
    <x v="2"/>
    <x v="0"/>
    <s v="Corporate"/>
    <s v="Store"/>
    <x v="1"/>
    <x v="1"/>
    <n v="30000"/>
    <n v="6"/>
    <x v="5"/>
    <n v="24000"/>
    <n v="180000"/>
    <x v="32"/>
    <n v="36000"/>
    <n v="249"/>
  </r>
  <r>
    <s v="2025-02-14"/>
    <x v="2"/>
    <s v="Friday"/>
    <x v="2"/>
    <x v="0"/>
    <s v="Corporate"/>
    <s v="Store"/>
    <x v="2"/>
    <x v="1"/>
    <n v="60000"/>
    <n v="2"/>
    <x v="2"/>
    <n v="48000"/>
    <n v="120000"/>
    <x v="3"/>
    <n v="24000"/>
    <n v="250"/>
  </r>
  <r>
    <s v="2025-01-03"/>
    <x v="0"/>
    <s v="Friday"/>
    <x v="3"/>
    <x v="2"/>
    <s v="Retail"/>
    <s v="Online"/>
    <x v="9"/>
    <x v="1"/>
    <n v="220000"/>
    <n v="5"/>
    <x v="0"/>
    <n v="176000"/>
    <n v="1100000"/>
    <x v="51"/>
    <n v="220000"/>
    <n v="251"/>
  </r>
  <r>
    <s v="2025-02-05"/>
    <x v="2"/>
    <s v="Wednesday"/>
    <x v="0"/>
    <x v="3"/>
    <s v="Retail"/>
    <s v="Store"/>
    <x v="4"/>
    <x v="1"/>
    <n v="180000"/>
    <n v="6"/>
    <x v="5"/>
    <n v="144000"/>
    <n v="1080000"/>
    <x v="53"/>
    <n v="216000"/>
    <n v="252"/>
  </r>
  <r>
    <s v="2025-04-15"/>
    <x v="1"/>
    <s v="Tuesday"/>
    <x v="3"/>
    <x v="0"/>
    <s v="Retail"/>
    <s v="Online"/>
    <x v="8"/>
    <x v="2"/>
    <n v="250000"/>
    <n v="4"/>
    <x v="3"/>
    <n v="200000"/>
    <n v="1000000"/>
    <x v="14"/>
    <n v="200000"/>
    <n v="253"/>
  </r>
  <r>
    <s v="2025-03-09"/>
    <x v="3"/>
    <s v="Sunday"/>
    <x v="3"/>
    <x v="2"/>
    <s v="Corporate"/>
    <s v="Online"/>
    <x v="0"/>
    <x v="0"/>
    <n v="85000"/>
    <n v="10"/>
    <x v="1"/>
    <n v="68000"/>
    <n v="850000"/>
    <x v="43"/>
    <n v="170000"/>
    <n v="254"/>
  </r>
  <r>
    <s v="2025-03-18"/>
    <x v="3"/>
    <s v="Tuesday"/>
    <x v="0"/>
    <x v="1"/>
    <s v="Retail"/>
    <s v="Online"/>
    <x v="3"/>
    <x v="2"/>
    <n v="300000"/>
    <n v="6"/>
    <x v="1"/>
    <n v="240000"/>
    <n v="1800000"/>
    <x v="5"/>
    <n v="360000"/>
    <n v="255"/>
  </r>
  <r>
    <s v="2025-01-15"/>
    <x v="0"/>
    <s v="Wednesday"/>
    <x v="3"/>
    <x v="1"/>
    <s v="Corporate"/>
    <s v="Store"/>
    <x v="9"/>
    <x v="1"/>
    <n v="220000"/>
    <n v="3"/>
    <x v="0"/>
    <n v="176000"/>
    <n v="660000"/>
    <x v="49"/>
    <n v="132000"/>
    <n v="256"/>
  </r>
  <r>
    <s v="2025-01-06"/>
    <x v="0"/>
    <s v="Monday"/>
    <x v="3"/>
    <x v="2"/>
    <s v="Retail"/>
    <s v="Store"/>
    <x v="1"/>
    <x v="1"/>
    <n v="30000"/>
    <n v="8"/>
    <x v="5"/>
    <n v="24000"/>
    <n v="240000"/>
    <x v="1"/>
    <n v="48000"/>
    <n v="257"/>
  </r>
  <r>
    <s v="2025-03-11"/>
    <x v="3"/>
    <s v="Tuesday"/>
    <x v="3"/>
    <x v="0"/>
    <s v="Corporate"/>
    <s v="Online"/>
    <x v="0"/>
    <x v="0"/>
    <n v="85000"/>
    <n v="2"/>
    <x v="0"/>
    <n v="68000"/>
    <n v="170000"/>
    <x v="2"/>
    <n v="34000"/>
    <n v="258"/>
  </r>
  <r>
    <s v="2025-02-01"/>
    <x v="2"/>
    <s v="Saturday"/>
    <x v="2"/>
    <x v="3"/>
    <s v="Retail"/>
    <s v="Store"/>
    <x v="6"/>
    <x v="2"/>
    <n v="150000"/>
    <n v="3"/>
    <x v="3"/>
    <n v="120000"/>
    <n v="450000"/>
    <x v="34"/>
    <n v="90000"/>
    <n v="259"/>
  </r>
  <r>
    <s v="2025-03-26"/>
    <x v="3"/>
    <s v="Wednesday"/>
    <x v="1"/>
    <x v="3"/>
    <s v="Retail"/>
    <s v="Store"/>
    <x v="0"/>
    <x v="0"/>
    <n v="85000"/>
    <n v="1"/>
    <x v="4"/>
    <n v="68000"/>
    <n v="85000"/>
    <x v="0"/>
    <n v="17000"/>
    <n v="260"/>
  </r>
  <r>
    <s v="2025-02-24"/>
    <x v="2"/>
    <s v="Monday"/>
    <x v="2"/>
    <x v="0"/>
    <s v="Corporate"/>
    <s v="Store"/>
    <x v="8"/>
    <x v="2"/>
    <n v="250000"/>
    <n v="3"/>
    <x v="5"/>
    <n v="200000"/>
    <n v="750000"/>
    <x v="56"/>
    <n v="150000"/>
    <n v="261"/>
  </r>
  <r>
    <s v="2025-04-01"/>
    <x v="1"/>
    <s v="Tuesday"/>
    <x v="1"/>
    <x v="0"/>
    <s v="Corporate"/>
    <s v="Store"/>
    <x v="7"/>
    <x v="2"/>
    <n v="420000"/>
    <n v="2"/>
    <x v="0"/>
    <n v="336000"/>
    <n v="840000"/>
    <x v="62"/>
    <n v="168000"/>
    <n v="262"/>
  </r>
  <r>
    <s v="2025-03-08"/>
    <x v="3"/>
    <s v="Saturday"/>
    <x v="0"/>
    <x v="2"/>
    <s v="Retail"/>
    <s v="Online"/>
    <x v="6"/>
    <x v="2"/>
    <n v="150000"/>
    <n v="9"/>
    <x v="2"/>
    <n v="120000"/>
    <n v="1350000"/>
    <x v="63"/>
    <n v="270000"/>
    <n v="263"/>
  </r>
  <r>
    <s v="2025-01-16"/>
    <x v="0"/>
    <s v="Thursday"/>
    <x v="3"/>
    <x v="3"/>
    <s v="Retail"/>
    <s v="Store"/>
    <x v="1"/>
    <x v="1"/>
    <n v="30000"/>
    <n v="9"/>
    <x v="1"/>
    <n v="24000"/>
    <n v="270000"/>
    <x v="57"/>
    <n v="54000"/>
    <n v="264"/>
  </r>
  <r>
    <s v="2025-04-03"/>
    <x v="1"/>
    <s v="Thursday"/>
    <x v="1"/>
    <x v="1"/>
    <s v="Corporate"/>
    <s v="Store"/>
    <x v="9"/>
    <x v="1"/>
    <n v="220000"/>
    <n v="6"/>
    <x v="5"/>
    <n v="176000"/>
    <n v="1320000"/>
    <x v="36"/>
    <n v="264000"/>
    <n v="265"/>
  </r>
  <r>
    <s v="2025-04-02"/>
    <x v="1"/>
    <s v="Wednesday"/>
    <x v="3"/>
    <x v="2"/>
    <s v="Corporate"/>
    <s v="Store"/>
    <x v="1"/>
    <x v="1"/>
    <n v="30000"/>
    <n v="3"/>
    <x v="5"/>
    <n v="24000"/>
    <n v="90000"/>
    <x v="33"/>
    <n v="18000"/>
    <n v="266"/>
  </r>
  <r>
    <s v="2025-02-01"/>
    <x v="2"/>
    <s v="Saturday"/>
    <x v="0"/>
    <x v="2"/>
    <s v="Retail"/>
    <s v="Online"/>
    <x v="7"/>
    <x v="2"/>
    <n v="420000"/>
    <n v="10"/>
    <x v="1"/>
    <n v="336000"/>
    <n v="4200000"/>
    <x v="20"/>
    <n v="840000"/>
    <n v="267"/>
  </r>
  <r>
    <s v="2025-04-12"/>
    <x v="1"/>
    <s v="Saturday"/>
    <x v="3"/>
    <x v="3"/>
    <s v="Corporate"/>
    <s v="Online"/>
    <x v="1"/>
    <x v="1"/>
    <n v="30000"/>
    <n v="2"/>
    <x v="4"/>
    <n v="24000"/>
    <n v="60000"/>
    <x v="41"/>
    <n v="12000"/>
    <n v="268"/>
  </r>
  <r>
    <s v="2025-02-03"/>
    <x v="2"/>
    <s v="Monday"/>
    <x v="1"/>
    <x v="0"/>
    <s v="Corporate"/>
    <s v="Store"/>
    <x v="6"/>
    <x v="2"/>
    <n v="150000"/>
    <n v="5"/>
    <x v="1"/>
    <n v="120000"/>
    <n v="750000"/>
    <x v="56"/>
    <n v="150000"/>
    <n v="269"/>
  </r>
  <r>
    <s v="2025-04-16"/>
    <x v="1"/>
    <s v="Wednesday"/>
    <x v="2"/>
    <x v="3"/>
    <s v="Retail"/>
    <s v="Store"/>
    <x v="6"/>
    <x v="2"/>
    <n v="150000"/>
    <n v="10"/>
    <x v="4"/>
    <n v="120000"/>
    <n v="1500000"/>
    <x v="17"/>
    <n v="300000"/>
    <n v="270"/>
  </r>
  <r>
    <s v="2025-01-11"/>
    <x v="0"/>
    <s v="Saturday"/>
    <x v="0"/>
    <x v="3"/>
    <s v="Corporate"/>
    <s v="Online"/>
    <x v="4"/>
    <x v="1"/>
    <n v="180000"/>
    <n v="3"/>
    <x v="1"/>
    <n v="144000"/>
    <n v="540000"/>
    <x v="46"/>
    <n v="108000"/>
    <n v="271"/>
  </r>
  <r>
    <s v="2025-02-02"/>
    <x v="2"/>
    <s v="Sunday"/>
    <x v="1"/>
    <x v="2"/>
    <s v="Corporate"/>
    <s v="Online"/>
    <x v="1"/>
    <x v="1"/>
    <n v="30000"/>
    <n v="10"/>
    <x v="2"/>
    <n v="24000"/>
    <n v="300000"/>
    <x v="11"/>
    <n v="60000"/>
    <n v="272"/>
  </r>
  <r>
    <s v="2025-01-04"/>
    <x v="0"/>
    <s v="Saturday"/>
    <x v="1"/>
    <x v="0"/>
    <s v="Retail"/>
    <s v="Online"/>
    <x v="7"/>
    <x v="2"/>
    <n v="420000"/>
    <n v="2"/>
    <x v="2"/>
    <n v="336000"/>
    <n v="840000"/>
    <x v="62"/>
    <n v="168000"/>
    <n v="273"/>
  </r>
  <r>
    <s v="2025-03-14"/>
    <x v="3"/>
    <s v="Friday"/>
    <x v="2"/>
    <x v="0"/>
    <s v="Corporate"/>
    <s v="Online"/>
    <x v="5"/>
    <x v="0"/>
    <n v="320000"/>
    <n v="1"/>
    <x v="3"/>
    <n v="256000"/>
    <n v="320000"/>
    <x v="7"/>
    <n v="64000"/>
    <n v="274"/>
  </r>
  <r>
    <s v="2025-03-27"/>
    <x v="3"/>
    <s v="Thursday"/>
    <x v="3"/>
    <x v="1"/>
    <s v="Retail"/>
    <s v="Online"/>
    <x v="6"/>
    <x v="2"/>
    <n v="150000"/>
    <n v="2"/>
    <x v="2"/>
    <n v="120000"/>
    <n v="300000"/>
    <x v="11"/>
    <n v="60000"/>
    <n v="275"/>
  </r>
  <r>
    <s v="2025-04-25"/>
    <x v="1"/>
    <s v="Friday"/>
    <x v="1"/>
    <x v="1"/>
    <s v="Corporate"/>
    <s v="Store"/>
    <x v="1"/>
    <x v="1"/>
    <n v="30000"/>
    <n v="9"/>
    <x v="5"/>
    <n v="24000"/>
    <n v="270000"/>
    <x v="57"/>
    <n v="54000"/>
    <n v="276"/>
  </r>
  <r>
    <s v="2025-02-26"/>
    <x v="2"/>
    <s v="Wednesday"/>
    <x v="0"/>
    <x v="1"/>
    <s v="Retail"/>
    <s v="Online"/>
    <x v="0"/>
    <x v="0"/>
    <n v="85000"/>
    <n v="7"/>
    <x v="3"/>
    <n v="68000"/>
    <n v="595000"/>
    <x v="30"/>
    <n v="119000"/>
    <n v="277"/>
  </r>
  <r>
    <s v="2025-02-02"/>
    <x v="2"/>
    <s v="Sunday"/>
    <x v="3"/>
    <x v="0"/>
    <s v="Corporate"/>
    <s v="Online"/>
    <x v="6"/>
    <x v="2"/>
    <n v="150000"/>
    <n v="5"/>
    <x v="1"/>
    <n v="120000"/>
    <n v="750000"/>
    <x v="56"/>
    <n v="150000"/>
    <n v="278"/>
  </r>
  <r>
    <s v="2025-01-01"/>
    <x v="0"/>
    <s v="Wednesday"/>
    <x v="0"/>
    <x v="2"/>
    <s v="Retail"/>
    <s v="Store"/>
    <x v="5"/>
    <x v="0"/>
    <n v="320000"/>
    <n v="9"/>
    <x v="0"/>
    <n v="256000"/>
    <n v="2880000"/>
    <x v="8"/>
    <n v="576000"/>
    <n v="279"/>
  </r>
  <r>
    <s v="2025-03-06"/>
    <x v="3"/>
    <s v="Thursday"/>
    <x v="3"/>
    <x v="1"/>
    <s v="Retail"/>
    <s v="Online"/>
    <x v="5"/>
    <x v="0"/>
    <n v="320000"/>
    <n v="10"/>
    <x v="3"/>
    <n v="256000"/>
    <n v="3200000"/>
    <x v="35"/>
    <n v="640000"/>
    <n v="280"/>
  </r>
  <r>
    <s v="2025-01-03"/>
    <x v="0"/>
    <s v="Friday"/>
    <x v="3"/>
    <x v="2"/>
    <s v="Corporate"/>
    <s v="Online"/>
    <x v="0"/>
    <x v="0"/>
    <n v="85000"/>
    <n v="7"/>
    <x v="3"/>
    <n v="68000"/>
    <n v="595000"/>
    <x v="30"/>
    <n v="119000"/>
    <n v="281"/>
  </r>
  <r>
    <s v="2025-04-21"/>
    <x v="1"/>
    <s v="Monday"/>
    <x v="2"/>
    <x v="2"/>
    <s v="Retail"/>
    <s v="Online"/>
    <x v="2"/>
    <x v="1"/>
    <n v="60000"/>
    <n v="4"/>
    <x v="3"/>
    <n v="48000"/>
    <n v="240000"/>
    <x v="1"/>
    <n v="48000"/>
    <n v="282"/>
  </r>
  <r>
    <s v="2025-04-04"/>
    <x v="1"/>
    <s v="Friday"/>
    <x v="1"/>
    <x v="2"/>
    <s v="Retail"/>
    <s v="Store"/>
    <x v="2"/>
    <x v="1"/>
    <n v="60000"/>
    <n v="7"/>
    <x v="1"/>
    <n v="48000"/>
    <n v="420000"/>
    <x v="40"/>
    <n v="84000"/>
    <n v="283"/>
  </r>
  <r>
    <s v="2025-04-08"/>
    <x v="1"/>
    <s v="Tuesday"/>
    <x v="2"/>
    <x v="1"/>
    <s v="Corporate"/>
    <s v="Online"/>
    <x v="6"/>
    <x v="2"/>
    <n v="150000"/>
    <n v="7"/>
    <x v="5"/>
    <n v="120000"/>
    <n v="1050000"/>
    <x v="16"/>
    <n v="210000"/>
    <n v="284"/>
  </r>
  <r>
    <s v="2025-04-22"/>
    <x v="1"/>
    <s v="Tuesday"/>
    <x v="0"/>
    <x v="1"/>
    <s v="Retail"/>
    <s v="Online"/>
    <x v="0"/>
    <x v="0"/>
    <n v="85000"/>
    <n v="3"/>
    <x v="1"/>
    <n v="68000"/>
    <n v="255000"/>
    <x v="23"/>
    <n v="51000"/>
    <n v="285"/>
  </r>
  <r>
    <s v="2025-03-19"/>
    <x v="3"/>
    <s v="Wednesday"/>
    <x v="2"/>
    <x v="3"/>
    <s v="Retail"/>
    <s v="Online"/>
    <x v="0"/>
    <x v="0"/>
    <n v="85000"/>
    <n v="10"/>
    <x v="2"/>
    <n v="68000"/>
    <n v="850000"/>
    <x v="43"/>
    <n v="170000"/>
    <n v="286"/>
  </r>
  <r>
    <s v="2025-04-22"/>
    <x v="1"/>
    <s v="Tuesday"/>
    <x v="1"/>
    <x v="1"/>
    <s v="Corporate"/>
    <s v="Store"/>
    <x v="3"/>
    <x v="2"/>
    <n v="300000"/>
    <n v="10"/>
    <x v="1"/>
    <n v="240000"/>
    <n v="3000000"/>
    <x v="68"/>
    <n v="600000"/>
    <n v="287"/>
  </r>
  <r>
    <s v="2025-03-20"/>
    <x v="3"/>
    <s v="Thursday"/>
    <x v="2"/>
    <x v="3"/>
    <s v="Retail"/>
    <s v="Store"/>
    <x v="2"/>
    <x v="1"/>
    <n v="60000"/>
    <n v="3"/>
    <x v="0"/>
    <n v="48000"/>
    <n v="180000"/>
    <x v="32"/>
    <n v="36000"/>
    <n v="288"/>
  </r>
  <r>
    <s v="2025-02-27"/>
    <x v="2"/>
    <s v="Thursday"/>
    <x v="1"/>
    <x v="0"/>
    <s v="Corporate"/>
    <s v="Online"/>
    <x v="2"/>
    <x v="1"/>
    <n v="60000"/>
    <n v="3"/>
    <x v="1"/>
    <n v="48000"/>
    <n v="180000"/>
    <x v="32"/>
    <n v="36000"/>
    <n v="289"/>
  </r>
  <r>
    <s v="2025-01-20"/>
    <x v="0"/>
    <s v="Monday"/>
    <x v="0"/>
    <x v="1"/>
    <s v="Retail"/>
    <s v="Online"/>
    <x v="0"/>
    <x v="0"/>
    <n v="85000"/>
    <n v="6"/>
    <x v="1"/>
    <n v="68000"/>
    <n v="510000"/>
    <x v="60"/>
    <n v="102000"/>
    <n v="290"/>
  </r>
  <r>
    <s v="2025-04-24"/>
    <x v="1"/>
    <s v="Thursday"/>
    <x v="1"/>
    <x v="2"/>
    <s v="Corporate"/>
    <s v="Store"/>
    <x v="7"/>
    <x v="2"/>
    <n v="420000"/>
    <n v="2"/>
    <x v="4"/>
    <n v="336000"/>
    <n v="840000"/>
    <x v="62"/>
    <n v="168000"/>
    <n v="291"/>
  </r>
  <r>
    <s v="2025-02-15"/>
    <x v="2"/>
    <s v="Saturday"/>
    <x v="3"/>
    <x v="3"/>
    <s v="Retail"/>
    <s v="Store"/>
    <x v="8"/>
    <x v="2"/>
    <n v="250000"/>
    <n v="6"/>
    <x v="5"/>
    <n v="200000"/>
    <n v="1500000"/>
    <x v="17"/>
    <n v="300000"/>
    <n v="292"/>
  </r>
  <r>
    <s v="2025-03-11"/>
    <x v="3"/>
    <s v="Tuesday"/>
    <x v="3"/>
    <x v="0"/>
    <s v="Retail"/>
    <s v="Online"/>
    <x v="6"/>
    <x v="2"/>
    <n v="150000"/>
    <n v="8"/>
    <x v="1"/>
    <n v="120000"/>
    <n v="1200000"/>
    <x v="29"/>
    <n v="240000"/>
    <n v="293"/>
  </r>
  <r>
    <s v="2025-04-28"/>
    <x v="1"/>
    <s v="Monday"/>
    <x v="1"/>
    <x v="2"/>
    <s v="Corporate"/>
    <s v="Online"/>
    <x v="6"/>
    <x v="2"/>
    <n v="150000"/>
    <n v="10"/>
    <x v="1"/>
    <n v="120000"/>
    <n v="1500000"/>
    <x v="17"/>
    <n v="300000"/>
    <n v="294"/>
  </r>
  <r>
    <s v="2025-04-22"/>
    <x v="1"/>
    <s v="Tuesday"/>
    <x v="1"/>
    <x v="2"/>
    <s v="Retail"/>
    <s v="Online"/>
    <x v="8"/>
    <x v="2"/>
    <n v="250000"/>
    <n v="5"/>
    <x v="5"/>
    <n v="200000"/>
    <n v="1250000"/>
    <x v="21"/>
    <n v="250000"/>
    <n v="295"/>
  </r>
  <r>
    <s v="2025-02-16"/>
    <x v="2"/>
    <s v="Sunday"/>
    <x v="0"/>
    <x v="2"/>
    <s v="Retail"/>
    <s v="Store"/>
    <x v="5"/>
    <x v="0"/>
    <n v="320000"/>
    <n v="9"/>
    <x v="0"/>
    <n v="256000"/>
    <n v="2880000"/>
    <x v="8"/>
    <n v="576000"/>
    <n v="296"/>
  </r>
  <r>
    <s v="2025-03-19"/>
    <x v="3"/>
    <s v="Wednesday"/>
    <x v="0"/>
    <x v="0"/>
    <s v="Corporate"/>
    <s v="Store"/>
    <x v="4"/>
    <x v="1"/>
    <n v="180000"/>
    <n v="10"/>
    <x v="5"/>
    <n v="144000"/>
    <n v="1800000"/>
    <x v="5"/>
    <n v="360000"/>
    <n v="297"/>
  </r>
  <r>
    <s v="2025-02-07"/>
    <x v="2"/>
    <s v="Friday"/>
    <x v="0"/>
    <x v="2"/>
    <s v="Corporate"/>
    <s v="Store"/>
    <x v="2"/>
    <x v="1"/>
    <n v="60000"/>
    <n v="6"/>
    <x v="4"/>
    <n v="48000"/>
    <n v="360000"/>
    <x v="50"/>
    <n v="72000"/>
    <n v="298"/>
  </r>
  <r>
    <s v="2025-01-16"/>
    <x v="0"/>
    <s v="Thursday"/>
    <x v="0"/>
    <x v="2"/>
    <s v="Corporate"/>
    <s v="Online"/>
    <x v="6"/>
    <x v="2"/>
    <n v="150000"/>
    <n v="10"/>
    <x v="2"/>
    <n v="120000"/>
    <n v="1500000"/>
    <x v="17"/>
    <n v="300000"/>
    <n v="299"/>
  </r>
  <r>
    <s v="2025-02-26"/>
    <x v="2"/>
    <s v="Wednesday"/>
    <x v="1"/>
    <x v="0"/>
    <s v="Retail"/>
    <s v="Online"/>
    <x v="8"/>
    <x v="2"/>
    <n v="250000"/>
    <n v="5"/>
    <x v="4"/>
    <n v="200000"/>
    <n v="1250000"/>
    <x v="21"/>
    <n v="250000"/>
    <n v="300"/>
  </r>
  <r>
    <s v="2025-01-22"/>
    <x v="0"/>
    <s v="Wednesday"/>
    <x v="0"/>
    <x v="2"/>
    <s v="Retail"/>
    <s v="Online"/>
    <x v="4"/>
    <x v="1"/>
    <n v="180000"/>
    <n v="3"/>
    <x v="0"/>
    <n v="144000"/>
    <n v="540000"/>
    <x v="46"/>
    <n v="108000"/>
    <n v="301"/>
  </r>
  <r>
    <s v="2025-02-14"/>
    <x v="2"/>
    <s v="Friday"/>
    <x v="0"/>
    <x v="2"/>
    <s v="Corporate"/>
    <s v="Store"/>
    <x v="5"/>
    <x v="0"/>
    <n v="320000"/>
    <n v="5"/>
    <x v="4"/>
    <n v="256000"/>
    <n v="1600000"/>
    <x v="28"/>
    <n v="320000"/>
    <n v="302"/>
  </r>
  <r>
    <s v="2025-02-05"/>
    <x v="2"/>
    <s v="Wednesday"/>
    <x v="2"/>
    <x v="0"/>
    <s v="Retail"/>
    <s v="Store"/>
    <x v="5"/>
    <x v="0"/>
    <n v="320000"/>
    <n v="10"/>
    <x v="1"/>
    <n v="256000"/>
    <n v="3200000"/>
    <x v="35"/>
    <n v="640000"/>
    <n v="303"/>
  </r>
  <r>
    <s v="2025-02-26"/>
    <x v="2"/>
    <s v="Wednesday"/>
    <x v="1"/>
    <x v="0"/>
    <s v="Corporate"/>
    <s v="Online"/>
    <x v="1"/>
    <x v="1"/>
    <n v="30000"/>
    <n v="5"/>
    <x v="0"/>
    <n v="24000"/>
    <n v="150000"/>
    <x v="26"/>
    <n v="30000"/>
    <n v="304"/>
  </r>
  <r>
    <s v="2025-02-19"/>
    <x v="2"/>
    <s v="Wednesday"/>
    <x v="3"/>
    <x v="0"/>
    <s v="Corporate"/>
    <s v="Store"/>
    <x v="7"/>
    <x v="2"/>
    <n v="420000"/>
    <n v="3"/>
    <x v="0"/>
    <n v="336000"/>
    <n v="1260000"/>
    <x v="55"/>
    <n v="252000"/>
    <n v="305"/>
  </r>
  <r>
    <s v="2025-03-08"/>
    <x v="3"/>
    <s v="Saturday"/>
    <x v="1"/>
    <x v="2"/>
    <s v="Retail"/>
    <s v="Online"/>
    <x v="1"/>
    <x v="1"/>
    <n v="30000"/>
    <n v="4"/>
    <x v="3"/>
    <n v="24000"/>
    <n v="120000"/>
    <x v="3"/>
    <n v="24000"/>
    <n v="306"/>
  </r>
  <r>
    <s v="2025-04-08"/>
    <x v="1"/>
    <s v="Tuesday"/>
    <x v="1"/>
    <x v="0"/>
    <s v="Retail"/>
    <s v="Online"/>
    <x v="4"/>
    <x v="1"/>
    <n v="180000"/>
    <n v="4"/>
    <x v="0"/>
    <n v="144000"/>
    <n v="720000"/>
    <x v="65"/>
    <n v="144000"/>
    <n v="307"/>
  </r>
  <r>
    <s v="2025-02-23"/>
    <x v="2"/>
    <s v="Sunday"/>
    <x v="1"/>
    <x v="1"/>
    <s v="Retail"/>
    <s v="Online"/>
    <x v="8"/>
    <x v="2"/>
    <n v="250000"/>
    <n v="5"/>
    <x v="5"/>
    <n v="200000"/>
    <n v="1250000"/>
    <x v="21"/>
    <n v="250000"/>
    <n v="308"/>
  </r>
  <r>
    <s v="2025-03-25"/>
    <x v="3"/>
    <s v="Tuesday"/>
    <x v="0"/>
    <x v="3"/>
    <s v="Corporate"/>
    <s v="Store"/>
    <x v="4"/>
    <x v="1"/>
    <n v="180000"/>
    <n v="3"/>
    <x v="3"/>
    <n v="144000"/>
    <n v="540000"/>
    <x v="46"/>
    <n v="108000"/>
    <n v="309"/>
  </r>
  <r>
    <s v="2025-03-20"/>
    <x v="3"/>
    <s v="Thursday"/>
    <x v="1"/>
    <x v="0"/>
    <s v="Retail"/>
    <s v="Online"/>
    <x v="3"/>
    <x v="2"/>
    <n v="300000"/>
    <n v="5"/>
    <x v="5"/>
    <n v="240000"/>
    <n v="1500000"/>
    <x v="17"/>
    <n v="300000"/>
    <n v="310"/>
  </r>
  <r>
    <s v="2025-01-19"/>
    <x v="0"/>
    <s v="Sunday"/>
    <x v="0"/>
    <x v="2"/>
    <s v="Retail"/>
    <s v="Store"/>
    <x v="0"/>
    <x v="0"/>
    <n v="85000"/>
    <n v="8"/>
    <x v="3"/>
    <n v="68000"/>
    <n v="680000"/>
    <x v="69"/>
    <n v="136000"/>
    <n v="311"/>
  </r>
  <r>
    <s v="2025-04-20"/>
    <x v="1"/>
    <s v="Sunday"/>
    <x v="1"/>
    <x v="1"/>
    <s v="Corporate"/>
    <s v="Online"/>
    <x v="4"/>
    <x v="1"/>
    <n v="180000"/>
    <n v="6"/>
    <x v="5"/>
    <n v="144000"/>
    <n v="1080000"/>
    <x v="53"/>
    <n v="216000"/>
    <n v="312"/>
  </r>
  <r>
    <s v="2025-01-23"/>
    <x v="0"/>
    <s v="Thursday"/>
    <x v="1"/>
    <x v="1"/>
    <s v="Corporate"/>
    <s v="Online"/>
    <x v="7"/>
    <x v="2"/>
    <n v="420000"/>
    <n v="7"/>
    <x v="4"/>
    <n v="336000"/>
    <n v="2940000"/>
    <x v="70"/>
    <n v="588000"/>
    <n v="313"/>
  </r>
  <r>
    <s v="2025-03-06"/>
    <x v="3"/>
    <s v="Thursday"/>
    <x v="2"/>
    <x v="2"/>
    <s v="Corporate"/>
    <s v="Online"/>
    <x v="6"/>
    <x v="2"/>
    <n v="150000"/>
    <n v="8"/>
    <x v="0"/>
    <n v="120000"/>
    <n v="1200000"/>
    <x v="29"/>
    <n v="240000"/>
    <n v="314"/>
  </r>
  <r>
    <s v="2025-04-12"/>
    <x v="1"/>
    <s v="Saturday"/>
    <x v="1"/>
    <x v="2"/>
    <s v="Retail"/>
    <s v="Online"/>
    <x v="0"/>
    <x v="0"/>
    <n v="85000"/>
    <n v="6"/>
    <x v="4"/>
    <n v="68000"/>
    <n v="510000"/>
    <x v="60"/>
    <n v="102000"/>
    <n v="315"/>
  </r>
  <r>
    <s v="2025-04-21"/>
    <x v="1"/>
    <s v="Monday"/>
    <x v="2"/>
    <x v="0"/>
    <s v="Retail"/>
    <s v="Store"/>
    <x v="4"/>
    <x v="1"/>
    <n v="180000"/>
    <n v="9"/>
    <x v="2"/>
    <n v="144000"/>
    <n v="1620000"/>
    <x v="27"/>
    <n v="324000"/>
    <n v="316"/>
  </r>
  <r>
    <s v="2025-03-11"/>
    <x v="3"/>
    <s v="Tuesday"/>
    <x v="0"/>
    <x v="2"/>
    <s v="Corporate"/>
    <s v="Online"/>
    <x v="8"/>
    <x v="2"/>
    <n v="250000"/>
    <n v="5"/>
    <x v="4"/>
    <n v="200000"/>
    <n v="1250000"/>
    <x v="21"/>
    <n v="250000"/>
    <n v="317"/>
  </r>
  <r>
    <s v="2025-01-04"/>
    <x v="0"/>
    <s v="Saturday"/>
    <x v="3"/>
    <x v="2"/>
    <s v="Retail"/>
    <s v="Store"/>
    <x v="5"/>
    <x v="0"/>
    <n v="320000"/>
    <n v="9"/>
    <x v="2"/>
    <n v="256000"/>
    <n v="2880000"/>
    <x v="8"/>
    <n v="576000"/>
    <n v="318"/>
  </r>
  <r>
    <s v="2025-01-19"/>
    <x v="0"/>
    <s v="Sunday"/>
    <x v="3"/>
    <x v="1"/>
    <s v="Corporate"/>
    <s v="Store"/>
    <x v="6"/>
    <x v="2"/>
    <n v="150000"/>
    <n v="7"/>
    <x v="1"/>
    <n v="120000"/>
    <n v="1050000"/>
    <x v="16"/>
    <n v="210000"/>
    <n v="319"/>
  </r>
  <r>
    <s v="2025-03-19"/>
    <x v="3"/>
    <s v="Wednesday"/>
    <x v="1"/>
    <x v="0"/>
    <s v="Retail"/>
    <s v="Online"/>
    <x v="7"/>
    <x v="2"/>
    <n v="420000"/>
    <n v="9"/>
    <x v="4"/>
    <n v="336000"/>
    <n v="3780000"/>
    <x v="12"/>
    <n v="756000"/>
    <n v="320"/>
  </r>
  <r>
    <s v="2025-01-10"/>
    <x v="0"/>
    <s v="Friday"/>
    <x v="2"/>
    <x v="1"/>
    <s v="Corporate"/>
    <s v="Store"/>
    <x v="2"/>
    <x v="1"/>
    <n v="60000"/>
    <n v="4"/>
    <x v="1"/>
    <n v="48000"/>
    <n v="240000"/>
    <x v="1"/>
    <n v="48000"/>
    <n v="321"/>
  </r>
  <r>
    <s v="2025-04-28"/>
    <x v="1"/>
    <s v="Monday"/>
    <x v="0"/>
    <x v="2"/>
    <s v="Retail"/>
    <s v="Store"/>
    <x v="8"/>
    <x v="2"/>
    <n v="250000"/>
    <n v="5"/>
    <x v="1"/>
    <n v="200000"/>
    <n v="1250000"/>
    <x v="21"/>
    <n v="250000"/>
    <n v="322"/>
  </r>
  <r>
    <s v="2025-01-09"/>
    <x v="0"/>
    <s v="Thursday"/>
    <x v="0"/>
    <x v="2"/>
    <s v="Corporate"/>
    <s v="Online"/>
    <x v="3"/>
    <x v="2"/>
    <n v="300000"/>
    <n v="8"/>
    <x v="3"/>
    <n v="240000"/>
    <n v="2400000"/>
    <x v="24"/>
    <n v="480000"/>
    <n v="323"/>
  </r>
  <r>
    <s v="2025-01-30"/>
    <x v="0"/>
    <s v="Thursday"/>
    <x v="0"/>
    <x v="2"/>
    <s v="Corporate"/>
    <s v="Online"/>
    <x v="7"/>
    <x v="2"/>
    <n v="420000"/>
    <n v="4"/>
    <x v="5"/>
    <n v="336000"/>
    <n v="1680000"/>
    <x v="45"/>
    <n v="336000"/>
    <n v="324"/>
  </r>
  <r>
    <s v="2025-03-17"/>
    <x v="3"/>
    <s v="Monday"/>
    <x v="0"/>
    <x v="2"/>
    <s v="Corporate"/>
    <s v="Store"/>
    <x v="1"/>
    <x v="1"/>
    <n v="30000"/>
    <n v="4"/>
    <x v="1"/>
    <n v="24000"/>
    <n v="120000"/>
    <x v="3"/>
    <n v="24000"/>
    <n v="325"/>
  </r>
  <r>
    <s v="2025-01-10"/>
    <x v="0"/>
    <s v="Friday"/>
    <x v="1"/>
    <x v="3"/>
    <s v="Retail"/>
    <s v="Online"/>
    <x v="5"/>
    <x v="0"/>
    <n v="320000"/>
    <n v="7"/>
    <x v="1"/>
    <n v="256000"/>
    <n v="2240000"/>
    <x v="10"/>
    <n v="448000"/>
    <n v="326"/>
  </r>
  <r>
    <s v="2025-01-02"/>
    <x v="0"/>
    <s v="Thursday"/>
    <x v="2"/>
    <x v="1"/>
    <s v="Retail"/>
    <s v="Online"/>
    <x v="6"/>
    <x v="2"/>
    <n v="150000"/>
    <n v="8"/>
    <x v="4"/>
    <n v="120000"/>
    <n v="1200000"/>
    <x v="29"/>
    <n v="240000"/>
    <n v="327"/>
  </r>
  <r>
    <s v="2025-03-14"/>
    <x v="3"/>
    <s v="Friday"/>
    <x v="0"/>
    <x v="1"/>
    <s v="Retail"/>
    <s v="Store"/>
    <x v="2"/>
    <x v="1"/>
    <n v="60000"/>
    <n v="7"/>
    <x v="2"/>
    <n v="48000"/>
    <n v="420000"/>
    <x v="40"/>
    <n v="84000"/>
    <n v="328"/>
  </r>
  <r>
    <s v="2025-04-19"/>
    <x v="1"/>
    <s v="Saturday"/>
    <x v="2"/>
    <x v="2"/>
    <s v="Retail"/>
    <s v="Online"/>
    <x v="4"/>
    <x v="1"/>
    <n v="180000"/>
    <n v="4"/>
    <x v="1"/>
    <n v="144000"/>
    <n v="720000"/>
    <x v="65"/>
    <n v="144000"/>
    <n v="329"/>
  </r>
  <r>
    <s v="2025-04-26"/>
    <x v="1"/>
    <s v="Saturday"/>
    <x v="0"/>
    <x v="2"/>
    <s v="Corporate"/>
    <s v="Store"/>
    <x v="7"/>
    <x v="2"/>
    <n v="420000"/>
    <n v="8"/>
    <x v="4"/>
    <n v="336000"/>
    <n v="3360000"/>
    <x v="19"/>
    <n v="672000"/>
    <n v="330"/>
  </r>
  <r>
    <s v="2025-02-17"/>
    <x v="2"/>
    <s v="Monday"/>
    <x v="0"/>
    <x v="2"/>
    <s v="Retail"/>
    <s v="Store"/>
    <x v="3"/>
    <x v="2"/>
    <n v="300000"/>
    <n v="2"/>
    <x v="5"/>
    <n v="240000"/>
    <n v="600000"/>
    <x v="4"/>
    <n v="120000"/>
    <n v="331"/>
  </r>
  <r>
    <s v="2025-03-27"/>
    <x v="3"/>
    <s v="Thursday"/>
    <x v="2"/>
    <x v="1"/>
    <s v="Corporate"/>
    <s v="Online"/>
    <x v="7"/>
    <x v="2"/>
    <n v="420000"/>
    <n v="3"/>
    <x v="4"/>
    <n v="336000"/>
    <n v="1260000"/>
    <x v="55"/>
    <n v="252000"/>
    <n v="332"/>
  </r>
  <r>
    <s v="2025-03-06"/>
    <x v="3"/>
    <s v="Thursday"/>
    <x v="3"/>
    <x v="2"/>
    <s v="Retail"/>
    <s v="Online"/>
    <x v="0"/>
    <x v="0"/>
    <n v="85000"/>
    <n v="3"/>
    <x v="2"/>
    <n v="68000"/>
    <n v="255000"/>
    <x v="23"/>
    <n v="51000"/>
    <n v="333"/>
  </r>
  <r>
    <s v="2025-01-17"/>
    <x v="0"/>
    <s v="Friday"/>
    <x v="0"/>
    <x v="3"/>
    <s v="Corporate"/>
    <s v="Store"/>
    <x v="2"/>
    <x v="1"/>
    <n v="60000"/>
    <n v="8"/>
    <x v="1"/>
    <n v="48000"/>
    <n v="480000"/>
    <x v="47"/>
    <n v="96000"/>
    <n v="334"/>
  </r>
  <r>
    <s v="2025-01-07"/>
    <x v="0"/>
    <s v="Tuesday"/>
    <x v="0"/>
    <x v="1"/>
    <s v="Corporate"/>
    <s v="Store"/>
    <x v="4"/>
    <x v="1"/>
    <n v="180000"/>
    <n v="10"/>
    <x v="3"/>
    <n v="144000"/>
    <n v="1800000"/>
    <x v="5"/>
    <n v="360000"/>
    <n v="335"/>
  </r>
  <r>
    <s v="2025-03-19"/>
    <x v="3"/>
    <s v="Wednesday"/>
    <x v="1"/>
    <x v="3"/>
    <s v="Corporate"/>
    <s v="Online"/>
    <x v="4"/>
    <x v="1"/>
    <n v="180000"/>
    <n v="7"/>
    <x v="0"/>
    <n v="144000"/>
    <n v="1260000"/>
    <x v="55"/>
    <n v="252000"/>
    <n v="336"/>
  </r>
  <r>
    <s v="2025-01-11"/>
    <x v="0"/>
    <s v="Saturday"/>
    <x v="1"/>
    <x v="3"/>
    <s v="Retail"/>
    <s v="Store"/>
    <x v="1"/>
    <x v="1"/>
    <n v="30000"/>
    <n v="3"/>
    <x v="2"/>
    <n v="24000"/>
    <n v="90000"/>
    <x v="33"/>
    <n v="18000"/>
    <n v="337"/>
  </r>
  <r>
    <s v="2025-04-20"/>
    <x v="1"/>
    <s v="Sunday"/>
    <x v="3"/>
    <x v="0"/>
    <s v="Corporate"/>
    <s v="Store"/>
    <x v="1"/>
    <x v="1"/>
    <n v="30000"/>
    <n v="6"/>
    <x v="1"/>
    <n v="24000"/>
    <n v="180000"/>
    <x v="32"/>
    <n v="36000"/>
    <n v="338"/>
  </r>
  <r>
    <s v="2025-04-12"/>
    <x v="1"/>
    <s v="Saturday"/>
    <x v="3"/>
    <x v="1"/>
    <s v="Corporate"/>
    <s v="Online"/>
    <x v="7"/>
    <x v="2"/>
    <n v="420000"/>
    <n v="4"/>
    <x v="4"/>
    <n v="336000"/>
    <n v="1680000"/>
    <x v="45"/>
    <n v="336000"/>
    <n v="339"/>
  </r>
  <r>
    <s v="2025-03-07"/>
    <x v="3"/>
    <s v="Friday"/>
    <x v="1"/>
    <x v="2"/>
    <s v="Retail"/>
    <s v="Online"/>
    <x v="9"/>
    <x v="1"/>
    <n v="220000"/>
    <n v="8"/>
    <x v="5"/>
    <n v="176000"/>
    <n v="1760000"/>
    <x v="42"/>
    <n v="352000"/>
    <n v="340"/>
  </r>
  <r>
    <s v="2025-02-27"/>
    <x v="2"/>
    <s v="Thursday"/>
    <x v="3"/>
    <x v="1"/>
    <s v="Corporate"/>
    <s v="Store"/>
    <x v="0"/>
    <x v="0"/>
    <n v="85000"/>
    <n v="5"/>
    <x v="0"/>
    <n v="68000"/>
    <n v="425000"/>
    <x v="58"/>
    <n v="85000"/>
    <n v="341"/>
  </r>
  <r>
    <s v="2025-04-12"/>
    <x v="1"/>
    <s v="Saturday"/>
    <x v="0"/>
    <x v="1"/>
    <s v="Retail"/>
    <s v="Online"/>
    <x v="5"/>
    <x v="0"/>
    <n v="320000"/>
    <n v="7"/>
    <x v="2"/>
    <n v="256000"/>
    <n v="2240000"/>
    <x v="10"/>
    <n v="448000"/>
    <n v="342"/>
  </r>
  <r>
    <s v="2025-04-03"/>
    <x v="1"/>
    <s v="Thursday"/>
    <x v="2"/>
    <x v="1"/>
    <s v="Corporate"/>
    <s v="Store"/>
    <x v="4"/>
    <x v="1"/>
    <n v="180000"/>
    <n v="6"/>
    <x v="0"/>
    <n v="144000"/>
    <n v="1080000"/>
    <x v="53"/>
    <n v="216000"/>
    <n v="343"/>
  </r>
  <r>
    <s v="2025-01-19"/>
    <x v="0"/>
    <s v="Sunday"/>
    <x v="1"/>
    <x v="3"/>
    <s v="Corporate"/>
    <s v="Online"/>
    <x v="2"/>
    <x v="1"/>
    <n v="60000"/>
    <n v="2"/>
    <x v="4"/>
    <n v="48000"/>
    <n v="120000"/>
    <x v="3"/>
    <n v="24000"/>
    <n v="344"/>
  </r>
  <r>
    <s v="2025-02-24"/>
    <x v="2"/>
    <s v="Monday"/>
    <x v="0"/>
    <x v="3"/>
    <s v="Corporate"/>
    <s v="Store"/>
    <x v="4"/>
    <x v="1"/>
    <n v="180000"/>
    <n v="5"/>
    <x v="1"/>
    <n v="144000"/>
    <n v="900000"/>
    <x v="48"/>
    <n v="180000"/>
    <n v="345"/>
  </r>
  <r>
    <s v="2025-04-28"/>
    <x v="1"/>
    <s v="Monday"/>
    <x v="1"/>
    <x v="3"/>
    <s v="Corporate"/>
    <s v="Store"/>
    <x v="6"/>
    <x v="2"/>
    <n v="150000"/>
    <n v="6"/>
    <x v="4"/>
    <n v="120000"/>
    <n v="900000"/>
    <x v="48"/>
    <n v="180000"/>
    <n v="346"/>
  </r>
  <r>
    <s v="2025-01-27"/>
    <x v="0"/>
    <s v="Monday"/>
    <x v="1"/>
    <x v="0"/>
    <s v="Corporate"/>
    <s v="Store"/>
    <x v="1"/>
    <x v="1"/>
    <n v="30000"/>
    <n v="2"/>
    <x v="4"/>
    <n v="24000"/>
    <n v="60000"/>
    <x v="41"/>
    <n v="12000"/>
    <n v="347"/>
  </r>
  <r>
    <s v="2025-04-23"/>
    <x v="1"/>
    <s v="Wednesday"/>
    <x v="3"/>
    <x v="0"/>
    <s v="Retail"/>
    <s v="Online"/>
    <x v="8"/>
    <x v="2"/>
    <n v="250000"/>
    <n v="9"/>
    <x v="4"/>
    <n v="200000"/>
    <n v="2250000"/>
    <x v="71"/>
    <n v="450000"/>
    <n v="348"/>
  </r>
  <r>
    <s v="2025-01-21"/>
    <x v="0"/>
    <s v="Tuesday"/>
    <x v="0"/>
    <x v="2"/>
    <s v="Retail"/>
    <s v="Store"/>
    <x v="2"/>
    <x v="1"/>
    <n v="60000"/>
    <n v="4"/>
    <x v="1"/>
    <n v="48000"/>
    <n v="240000"/>
    <x v="1"/>
    <n v="48000"/>
    <n v="349"/>
  </r>
  <r>
    <s v="2025-03-27"/>
    <x v="3"/>
    <s v="Thursday"/>
    <x v="1"/>
    <x v="0"/>
    <s v="Retail"/>
    <s v="Online"/>
    <x v="6"/>
    <x v="2"/>
    <n v="150000"/>
    <n v="9"/>
    <x v="4"/>
    <n v="120000"/>
    <n v="1350000"/>
    <x v="63"/>
    <n v="270000"/>
    <n v="350"/>
  </r>
  <r>
    <s v="2025-01-18"/>
    <x v="0"/>
    <s v="Saturday"/>
    <x v="3"/>
    <x v="1"/>
    <s v="Corporate"/>
    <s v="Store"/>
    <x v="4"/>
    <x v="1"/>
    <n v="180000"/>
    <n v="3"/>
    <x v="0"/>
    <n v="144000"/>
    <n v="540000"/>
    <x v="46"/>
    <n v="108000"/>
    <n v="351"/>
  </r>
  <r>
    <s v="2025-03-26"/>
    <x v="3"/>
    <s v="Wednesday"/>
    <x v="0"/>
    <x v="0"/>
    <s v="Retail"/>
    <s v="Online"/>
    <x v="4"/>
    <x v="1"/>
    <n v="180000"/>
    <n v="10"/>
    <x v="0"/>
    <n v="144000"/>
    <n v="1800000"/>
    <x v="5"/>
    <n v="360000"/>
    <n v="352"/>
  </r>
  <r>
    <s v="2025-01-19"/>
    <x v="0"/>
    <s v="Sunday"/>
    <x v="1"/>
    <x v="1"/>
    <s v="Retail"/>
    <s v="Online"/>
    <x v="9"/>
    <x v="1"/>
    <n v="220000"/>
    <n v="2"/>
    <x v="0"/>
    <n v="176000"/>
    <n v="440000"/>
    <x v="15"/>
    <n v="88000"/>
    <n v="353"/>
  </r>
  <r>
    <s v="2025-04-02"/>
    <x v="1"/>
    <s v="Wednesday"/>
    <x v="3"/>
    <x v="0"/>
    <s v="Corporate"/>
    <s v="Online"/>
    <x v="7"/>
    <x v="2"/>
    <n v="420000"/>
    <n v="10"/>
    <x v="2"/>
    <n v="336000"/>
    <n v="4200000"/>
    <x v="20"/>
    <n v="840000"/>
    <n v="354"/>
  </r>
  <r>
    <s v="2025-03-20"/>
    <x v="3"/>
    <s v="Thursday"/>
    <x v="0"/>
    <x v="0"/>
    <s v="Retail"/>
    <s v="Store"/>
    <x v="1"/>
    <x v="1"/>
    <n v="30000"/>
    <n v="9"/>
    <x v="5"/>
    <n v="24000"/>
    <n v="270000"/>
    <x v="57"/>
    <n v="54000"/>
    <n v="355"/>
  </r>
  <r>
    <s v="2025-01-19"/>
    <x v="0"/>
    <s v="Sunday"/>
    <x v="0"/>
    <x v="3"/>
    <s v="Corporate"/>
    <s v="Online"/>
    <x v="5"/>
    <x v="0"/>
    <n v="320000"/>
    <n v="6"/>
    <x v="3"/>
    <n v="256000"/>
    <n v="1920000"/>
    <x v="31"/>
    <n v="384000"/>
    <n v="356"/>
  </r>
  <r>
    <s v="2025-01-24"/>
    <x v="0"/>
    <s v="Friday"/>
    <x v="0"/>
    <x v="3"/>
    <s v="Retail"/>
    <s v="Store"/>
    <x v="7"/>
    <x v="2"/>
    <n v="420000"/>
    <n v="2"/>
    <x v="5"/>
    <n v="336000"/>
    <n v="840000"/>
    <x v="62"/>
    <n v="168000"/>
    <n v="357"/>
  </r>
  <r>
    <s v="2025-04-23"/>
    <x v="1"/>
    <s v="Wednesday"/>
    <x v="2"/>
    <x v="2"/>
    <s v="Corporate"/>
    <s v="Online"/>
    <x v="5"/>
    <x v="0"/>
    <n v="320000"/>
    <n v="10"/>
    <x v="3"/>
    <n v="256000"/>
    <n v="3200000"/>
    <x v="35"/>
    <n v="640000"/>
    <n v="358"/>
  </r>
  <r>
    <s v="2025-02-06"/>
    <x v="2"/>
    <s v="Thursday"/>
    <x v="1"/>
    <x v="2"/>
    <s v="Corporate"/>
    <s v="Store"/>
    <x v="3"/>
    <x v="2"/>
    <n v="300000"/>
    <n v="8"/>
    <x v="5"/>
    <n v="240000"/>
    <n v="2400000"/>
    <x v="24"/>
    <n v="480000"/>
    <n v="359"/>
  </r>
  <r>
    <s v="2025-02-07"/>
    <x v="2"/>
    <s v="Friday"/>
    <x v="1"/>
    <x v="0"/>
    <s v="Corporate"/>
    <s v="Online"/>
    <x v="2"/>
    <x v="1"/>
    <n v="60000"/>
    <n v="1"/>
    <x v="1"/>
    <n v="48000"/>
    <n v="60000"/>
    <x v="41"/>
    <n v="12000"/>
    <n v="360"/>
  </r>
  <r>
    <s v="2025-03-21"/>
    <x v="3"/>
    <s v="Friday"/>
    <x v="2"/>
    <x v="1"/>
    <s v="Corporate"/>
    <s v="Online"/>
    <x v="0"/>
    <x v="0"/>
    <n v="85000"/>
    <n v="3"/>
    <x v="1"/>
    <n v="68000"/>
    <n v="255000"/>
    <x v="23"/>
    <n v="51000"/>
    <n v="361"/>
  </r>
  <r>
    <s v="2025-03-25"/>
    <x v="3"/>
    <s v="Tuesday"/>
    <x v="1"/>
    <x v="2"/>
    <s v="Corporate"/>
    <s v="Store"/>
    <x v="1"/>
    <x v="1"/>
    <n v="30000"/>
    <n v="10"/>
    <x v="0"/>
    <n v="24000"/>
    <n v="300000"/>
    <x v="11"/>
    <n v="60000"/>
    <n v="362"/>
  </r>
  <r>
    <s v="2025-01-22"/>
    <x v="0"/>
    <s v="Wednesday"/>
    <x v="1"/>
    <x v="2"/>
    <s v="Corporate"/>
    <s v="Online"/>
    <x v="1"/>
    <x v="1"/>
    <n v="30000"/>
    <n v="4"/>
    <x v="3"/>
    <n v="24000"/>
    <n v="120000"/>
    <x v="3"/>
    <n v="24000"/>
    <n v="363"/>
  </r>
  <r>
    <s v="2025-01-27"/>
    <x v="0"/>
    <s v="Monday"/>
    <x v="2"/>
    <x v="3"/>
    <s v="Corporate"/>
    <s v="Store"/>
    <x v="6"/>
    <x v="2"/>
    <n v="150000"/>
    <n v="3"/>
    <x v="1"/>
    <n v="120000"/>
    <n v="450000"/>
    <x v="34"/>
    <n v="90000"/>
    <n v="364"/>
  </r>
  <r>
    <s v="2025-04-14"/>
    <x v="1"/>
    <s v="Monday"/>
    <x v="0"/>
    <x v="0"/>
    <s v="Corporate"/>
    <s v="Online"/>
    <x v="6"/>
    <x v="2"/>
    <n v="150000"/>
    <n v="3"/>
    <x v="0"/>
    <n v="120000"/>
    <n v="450000"/>
    <x v="34"/>
    <n v="90000"/>
    <n v="365"/>
  </r>
  <r>
    <s v="2025-04-30"/>
    <x v="1"/>
    <s v="Wednesday"/>
    <x v="1"/>
    <x v="2"/>
    <s v="Corporate"/>
    <s v="Store"/>
    <x v="0"/>
    <x v="0"/>
    <n v="85000"/>
    <n v="8"/>
    <x v="0"/>
    <n v="68000"/>
    <n v="680000"/>
    <x v="69"/>
    <n v="136000"/>
    <n v="366"/>
  </r>
  <r>
    <s v="2025-04-07"/>
    <x v="1"/>
    <s v="Monday"/>
    <x v="2"/>
    <x v="2"/>
    <s v="Corporate"/>
    <s v="Online"/>
    <x v="7"/>
    <x v="2"/>
    <n v="420000"/>
    <n v="7"/>
    <x v="0"/>
    <n v="336000"/>
    <n v="2940000"/>
    <x v="70"/>
    <n v="588000"/>
    <n v="367"/>
  </r>
  <r>
    <s v="2025-01-22"/>
    <x v="0"/>
    <s v="Wednesday"/>
    <x v="1"/>
    <x v="3"/>
    <s v="Corporate"/>
    <s v="Store"/>
    <x v="6"/>
    <x v="2"/>
    <n v="150000"/>
    <n v="3"/>
    <x v="1"/>
    <n v="120000"/>
    <n v="450000"/>
    <x v="34"/>
    <n v="90000"/>
    <n v="368"/>
  </r>
  <r>
    <s v="2025-04-25"/>
    <x v="1"/>
    <s v="Friday"/>
    <x v="0"/>
    <x v="3"/>
    <s v="Corporate"/>
    <s v="Store"/>
    <x v="5"/>
    <x v="0"/>
    <n v="320000"/>
    <n v="1"/>
    <x v="2"/>
    <n v="256000"/>
    <n v="320000"/>
    <x v="7"/>
    <n v="64000"/>
    <n v="369"/>
  </r>
  <r>
    <s v="2025-02-09"/>
    <x v="2"/>
    <s v="Sunday"/>
    <x v="1"/>
    <x v="3"/>
    <s v="Corporate"/>
    <s v="Online"/>
    <x v="4"/>
    <x v="1"/>
    <n v="180000"/>
    <n v="5"/>
    <x v="0"/>
    <n v="144000"/>
    <n v="900000"/>
    <x v="48"/>
    <n v="180000"/>
    <n v="370"/>
  </r>
  <r>
    <s v="2025-03-28"/>
    <x v="3"/>
    <s v="Friday"/>
    <x v="3"/>
    <x v="2"/>
    <s v="Corporate"/>
    <s v="Store"/>
    <x v="3"/>
    <x v="2"/>
    <n v="300000"/>
    <n v="1"/>
    <x v="2"/>
    <n v="240000"/>
    <n v="300000"/>
    <x v="11"/>
    <n v="60000"/>
    <n v="371"/>
  </r>
  <r>
    <s v="2025-04-09"/>
    <x v="1"/>
    <s v="Wednesday"/>
    <x v="1"/>
    <x v="0"/>
    <s v="Corporate"/>
    <s v="Online"/>
    <x v="4"/>
    <x v="1"/>
    <n v="180000"/>
    <n v="8"/>
    <x v="4"/>
    <n v="144000"/>
    <n v="1440000"/>
    <x v="37"/>
    <n v="288000"/>
    <n v="372"/>
  </r>
  <r>
    <s v="2025-04-05"/>
    <x v="1"/>
    <s v="Saturday"/>
    <x v="2"/>
    <x v="2"/>
    <s v="Corporate"/>
    <s v="Online"/>
    <x v="4"/>
    <x v="1"/>
    <n v="180000"/>
    <n v="3"/>
    <x v="3"/>
    <n v="144000"/>
    <n v="540000"/>
    <x v="46"/>
    <n v="108000"/>
    <n v="373"/>
  </r>
  <r>
    <s v="2025-01-11"/>
    <x v="0"/>
    <s v="Saturday"/>
    <x v="0"/>
    <x v="3"/>
    <s v="Corporate"/>
    <s v="Store"/>
    <x v="5"/>
    <x v="0"/>
    <n v="320000"/>
    <n v="6"/>
    <x v="5"/>
    <n v="256000"/>
    <n v="1920000"/>
    <x v="31"/>
    <n v="384000"/>
    <n v="374"/>
  </r>
  <r>
    <s v="2025-01-18"/>
    <x v="0"/>
    <s v="Saturday"/>
    <x v="0"/>
    <x v="3"/>
    <s v="Corporate"/>
    <s v="Store"/>
    <x v="2"/>
    <x v="1"/>
    <n v="60000"/>
    <n v="10"/>
    <x v="0"/>
    <n v="48000"/>
    <n v="600000"/>
    <x v="4"/>
    <n v="120000"/>
    <n v="375"/>
  </r>
  <r>
    <s v="2025-02-24"/>
    <x v="2"/>
    <s v="Monday"/>
    <x v="2"/>
    <x v="1"/>
    <s v="Corporate"/>
    <s v="Store"/>
    <x v="3"/>
    <x v="2"/>
    <n v="300000"/>
    <n v="1"/>
    <x v="4"/>
    <n v="240000"/>
    <n v="300000"/>
    <x v="11"/>
    <n v="60000"/>
    <n v="376"/>
  </r>
  <r>
    <s v="2025-03-11"/>
    <x v="3"/>
    <s v="Tuesday"/>
    <x v="0"/>
    <x v="1"/>
    <s v="Corporate"/>
    <s v="Online"/>
    <x v="4"/>
    <x v="1"/>
    <n v="180000"/>
    <n v="1"/>
    <x v="1"/>
    <n v="144000"/>
    <n v="180000"/>
    <x v="32"/>
    <n v="36000"/>
    <n v="377"/>
  </r>
  <r>
    <s v="2025-01-22"/>
    <x v="0"/>
    <s v="Wednesday"/>
    <x v="1"/>
    <x v="1"/>
    <s v="Retail"/>
    <s v="Store"/>
    <x v="9"/>
    <x v="1"/>
    <n v="220000"/>
    <n v="8"/>
    <x v="4"/>
    <n v="176000"/>
    <n v="1760000"/>
    <x v="42"/>
    <n v="352000"/>
    <n v="378"/>
  </r>
  <r>
    <s v="2025-02-01"/>
    <x v="2"/>
    <s v="Saturday"/>
    <x v="3"/>
    <x v="1"/>
    <s v="Corporate"/>
    <s v="Store"/>
    <x v="0"/>
    <x v="0"/>
    <n v="85000"/>
    <n v="7"/>
    <x v="2"/>
    <n v="68000"/>
    <n v="595000"/>
    <x v="30"/>
    <n v="119000"/>
    <n v="379"/>
  </r>
  <r>
    <s v="2025-02-09"/>
    <x v="2"/>
    <s v="Sunday"/>
    <x v="0"/>
    <x v="0"/>
    <s v="Retail"/>
    <s v="Store"/>
    <x v="4"/>
    <x v="1"/>
    <n v="180000"/>
    <n v="9"/>
    <x v="5"/>
    <n v="144000"/>
    <n v="1620000"/>
    <x v="27"/>
    <n v="324000"/>
    <n v="380"/>
  </r>
  <r>
    <s v="2025-02-03"/>
    <x v="2"/>
    <s v="Monday"/>
    <x v="3"/>
    <x v="0"/>
    <s v="Corporate"/>
    <s v="Online"/>
    <x v="5"/>
    <x v="0"/>
    <n v="320000"/>
    <n v="3"/>
    <x v="3"/>
    <n v="256000"/>
    <n v="960000"/>
    <x v="9"/>
    <n v="192000"/>
    <n v="381"/>
  </r>
  <r>
    <s v="2025-04-01"/>
    <x v="1"/>
    <s v="Tuesday"/>
    <x v="3"/>
    <x v="0"/>
    <s v="Corporate"/>
    <s v="Online"/>
    <x v="6"/>
    <x v="2"/>
    <n v="150000"/>
    <n v="4"/>
    <x v="0"/>
    <n v="120000"/>
    <n v="600000"/>
    <x v="4"/>
    <n v="120000"/>
    <n v="382"/>
  </r>
  <r>
    <s v="2025-04-02"/>
    <x v="1"/>
    <s v="Wednesday"/>
    <x v="1"/>
    <x v="1"/>
    <s v="Retail"/>
    <s v="Online"/>
    <x v="9"/>
    <x v="1"/>
    <n v="220000"/>
    <n v="10"/>
    <x v="5"/>
    <n v="176000"/>
    <n v="2200000"/>
    <x v="61"/>
    <n v="440000"/>
    <n v="383"/>
  </r>
  <r>
    <s v="2025-02-15"/>
    <x v="2"/>
    <s v="Saturday"/>
    <x v="2"/>
    <x v="0"/>
    <s v="Corporate"/>
    <s v="Online"/>
    <x v="6"/>
    <x v="2"/>
    <n v="150000"/>
    <n v="6"/>
    <x v="0"/>
    <n v="120000"/>
    <n v="900000"/>
    <x v="48"/>
    <n v="180000"/>
    <n v="384"/>
  </r>
  <r>
    <s v="2025-01-15"/>
    <x v="0"/>
    <s v="Wednesday"/>
    <x v="0"/>
    <x v="1"/>
    <s v="Corporate"/>
    <s v="Store"/>
    <x v="4"/>
    <x v="1"/>
    <n v="180000"/>
    <n v="1"/>
    <x v="2"/>
    <n v="144000"/>
    <n v="180000"/>
    <x v="32"/>
    <n v="36000"/>
    <n v="385"/>
  </r>
  <r>
    <s v="2025-04-21"/>
    <x v="1"/>
    <s v="Monday"/>
    <x v="1"/>
    <x v="2"/>
    <s v="Retail"/>
    <s v="Online"/>
    <x v="1"/>
    <x v="1"/>
    <n v="30000"/>
    <n v="2"/>
    <x v="3"/>
    <n v="24000"/>
    <n v="60000"/>
    <x v="41"/>
    <n v="12000"/>
    <n v="386"/>
  </r>
  <r>
    <s v="2025-03-01"/>
    <x v="3"/>
    <s v="Saturday"/>
    <x v="3"/>
    <x v="3"/>
    <s v="Corporate"/>
    <s v="Online"/>
    <x v="5"/>
    <x v="0"/>
    <n v="320000"/>
    <n v="7"/>
    <x v="0"/>
    <n v="256000"/>
    <n v="2240000"/>
    <x v="10"/>
    <n v="448000"/>
    <n v="387"/>
  </r>
  <r>
    <s v="2025-02-07"/>
    <x v="2"/>
    <s v="Friday"/>
    <x v="3"/>
    <x v="2"/>
    <s v="Retail"/>
    <s v="Store"/>
    <x v="0"/>
    <x v="0"/>
    <n v="85000"/>
    <n v="10"/>
    <x v="1"/>
    <n v="68000"/>
    <n v="850000"/>
    <x v="43"/>
    <n v="170000"/>
    <n v="388"/>
  </r>
  <r>
    <s v="2025-04-05"/>
    <x v="1"/>
    <s v="Saturday"/>
    <x v="1"/>
    <x v="0"/>
    <s v="Corporate"/>
    <s v="Online"/>
    <x v="4"/>
    <x v="1"/>
    <n v="180000"/>
    <n v="7"/>
    <x v="2"/>
    <n v="144000"/>
    <n v="1260000"/>
    <x v="55"/>
    <n v="252000"/>
    <n v="389"/>
  </r>
  <r>
    <s v="2025-03-24"/>
    <x v="3"/>
    <s v="Monday"/>
    <x v="2"/>
    <x v="1"/>
    <s v="Retail"/>
    <s v="Online"/>
    <x v="7"/>
    <x v="2"/>
    <n v="420000"/>
    <n v="5"/>
    <x v="3"/>
    <n v="336000"/>
    <n v="2100000"/>
    <x v="13"/>
    <n v="420000"/>
    <n v="390"/>
  </r>
  <r>
    <s v="2025-04-04"/>
    <x v="1"/>
    <s v="Friday"/>
    <x v="2"/>
    <x v="3"/>
    <s v="Corporate"/>
    <s v="Store"/>
    <x v="5"/>
    <x v="0"/>
    <n v="320000"/>
    <n v="8"/>
    <x v="1"/>
    <n v="256000"/>
    <n v="2560000"/>
    <x v="72"/>
    <n v="512000"/>
    <n v="391"/>
  </r>
  <r>
    <s v="2025-02-25"/>
    <x v="2"/>
    <s v="Tuesday"/>
    <x v="1"/>
    <x v="2"/>
    <s v="Corporate"/>
    <s v="Store"/>
    <x v="4"/>
    <x v="1"/>
    <n v="180000"/>
    <n v="5"/>
    <x v="2"/>
    <n v="144000"/>
    <n v="900000"/>
    <x v="48"/>
    <n v="180000"/>
    <n v="392"/>
  </r>
  <r>
    <s v="2025-03-23"/>
    <x v="3"/>
    <s v="Sunday"/>
    <x v="3"/>
    <x v="0"/>
    <s v="Corporate"/>
    <s v="Store"/>
    <x v="7"/>
    <x v="2"/>
    <n v="420000"/>
    <n v="2"/>
    <x v="0"/>
    <n v="336000"/>
    <n v="840000"/>
    <x v="62"/>
    <n v="168000"/>
    <n v="393"/>
  </r>
  <r>
    <s v="2025-03-28"/>
    <x v="3"/>
    <s v="Friday"/>
    <x v="3"/>
    <x v="2"/>
    <s v="Retail"/>
    <s v="Online"/>
    <x v="3"/>
    <x v="2"/>
    <n v="300000"/>
    <n v="8"/>
    <x v="1"/>
    <n v="240000"/>
    <n v="2400000"/>
    <x v="24"/>
    <n v="480000"/>
    <n v="394"/>
  </r>
  <r>
    <s v="2025-01-02"/>
    <x v="0"/>
    <s v="Thursday"/>
    <x v="1"/>
    <x v="2"/>
    <s v="Retail"/>
    <s v="Online"/>
    <x v="5"/>
    <x v="0"/>
    <n v="320000"/>
    <n v="1"/>
    <x v="1"/>
    <n v="256000"/>
    <n v="320000"/>
    <x v="7"/>
    <n v="64000"/>
    <n v="395"/>
  </r>
  <r>
    <s v="2025-01-17"/>
    <x v="0"/>
    <s v="Friday"/>
    <x v="1"/>
    <x v="2"/>
    <s v="Retail"/>
    <s v="Online"/>
    <x v="7"/>
    <x v="2"/>
    <n v="420000"/>
    <n v="9"/>
    <x v="0"/>
    <n v="336000"/>
    <n v="3780000"/>
    <x v="12"/>
    <n v="756000"/>
    <n v="396"/>
  </r>
  <r>
    <s v="2025-02-17"/>
    <x v="2"/>
    <s v="Monday"/>
    <x v="1"/>
    <x v="3"/>
    <s v="Corporate"/>
    <s v="Store"/>
    <x v="0"/>
    <x v="0"/>
    <n v="85000"/>
    <n v="8"/>
    <x v="5"/>
    <n v="68000"/>
    <n v="680000"/>
    <x v="69"/>
    <n v="136000"/>
    <n v="397"/>
  </r>
  <r>
    <s v="2025-02-03"/>
    <x v="2"/>
    <s v="Monday"/>
    <x v="3"/>
    <x v="0"/>
    <s v="Corporate"/>
    <s v="Store"/>
    <x v="7"/>
    <x v="2"/>
    <n v="420000"/>
    <n v="10"/>
    <x v="3"/>
    <n v="336000"/>
    <n v="4200000"/>
    <x v="20"/>
    <n v="840000"/>
    <n v="398"/>
  </r>
  <r>
    <s v="2025-02-11"/>
    <x v="2"/>
    <s v="Tuesday"/>
    <x v="1"/>
    <x v="0"/>
    <s v="Retail"/>
    <s v="Store"/>
    <x v="8"/>
    <x v="2"/>
    <n v="250000"/>
    <n v="1"/>
    <x v="3"/>
    <n v="200000"/>
    <n v="250000"/>
    <x v="44"/>
    <n v="50000"/>
    <n v="399"/>
  </r>
  <r>
    <s v="2025-02-22"/>
    <x v="2"/>
    <s v="Saturday"/>
    <x v="1"/>
    <x v="3"/>
    <s v="Corporate"/>
    <s v="Online"/>
    <x v="9"/>
    <x v="1"/>
    <n v="220000"/>
    <n v="5"/>
    <x v="5"/>
    <n v="176000"/>
    <n v="1100000"/>
    <x v="51"/>
    <n v="220000"/>
    <n v="400"/>
  </r>
  <r>
    <s v="2025-03-19"/>
    <x v="3"/>
    <s v="Wednesday"/>
    <x v="3"/>
    <x v="1"/>
    <s v="Retail"/>
    <s v="Online"/>
    <x v="3"/>
    <x v="2"/>
    <n v="300000"/>
    <n v="1"/>
    <x v="0"/>
    <n v="240000"/>
    <n v="300000"/>
    <x v="11"/>
    <n v="60000"/>
    <n v="401"/>
  </r>
  <r>
    <s v="2025-02-26"/>
    <x v="2"/>
    <s v="Wednesday"/>
    <x v="3"/>
    <x v="2"/>
    <s v="Corporate"/>
    <s v="Store"/>
    <x v="2"/>
    <x v="1"/>
    <n v="60000"/>
    <n v="6"/>
    <x v="4"/>
    <n v="48000"/>
    <n v="360000"/>
    <x v="50"/>
    <n v="72000"/>
    <n v="402"/>
  </r>
  <r>
    <s v="2025-03-04"/>
    <x v="3"/>
    <s v="Tuesday"/>
    <x v="2"/>
    <x v="3"/>
    <s v="Retail"/>
    <s v="Online"/>
    <x v="2"/>
    <x v="1"/>
    <n v="60000"/>
    <n v="8"/>
    <x v="1"/>
    <n v="48000"/>
    <n v="480000"/>
    <x v="47"/>
    <n v="96000"/>
    <n v="403"/>
  </r>
  <r>
    <s v="2025-04-03"/>
    <x v="1"/>
    <s v="Thursday"/>
    <x v="2"/>
    <x v="2"/>
    <s v="Retail"/>
    <s v="Store"/>
    <x v="9"/>
    <x v="1"/>
    <n v="220000"/>
    <n v="3"/>
    <x v="4"/>
    <n v="176000"/>
    <n v="660000"/>
    <x v="49"/>
    <n v="132000"/>
    <n v="404"/>
  </r>
  <r>
    <s v="2025-03-23"/>
    <x v="3"/>
    <s v="Sunday"/>
    <x v="3"/>
    <x v="3"/>
    <s v="Retail"/>
    <s v="Online"/>
    <x v="2"/>
    <x v="1"/>
    <n v="60000"/>
    <n v="1"/>
    <x v="3"/>
    <n v="48000"/>
    <n v="60000"/>
    <x v="41"/>
    <n v="12000"/>
    <n v="405"/>
  </r>
  <r>
    <s v="2025-03-16"/>
    <x v="3"/>
    <s v="Sunday"/>
    <x v="1"/>
    <x v="1"/>
    <s v="Corporate"/>
    <s v="Online"/>
    <x v="6"/>
    <x v="2"/>
    <n v="150000"/>
    <n v="1"/>
    <x v="2"/>
    <n v="120000"/>
    <n v="150000"/>
    <x v="26"/>
    <n v="30000"/>
    <n v="406"/>
  </r>
  <r>
    <s v="2025-03-16"/>
    <x v="3"/>
    <s v="Sunday"/>
    <x v="0"/>
    <x v="2"/>
    <s v="Corporate"/>
    <s v="Online"/>
    <x v="5"/>
    <x v="0"/>
    <n v="320000"/>
    <n v="7"/>
    <x v="5"/>
    <n v="256000"/>
    <n v="2240000"/>
    <x v="10"/>
    <n v="448000"/>
    <n v="407"/>
  </r>
  <r>
    <s v="2025-02-21"/>
    <x v="2"/>
    <s v="Friday"/>
    <x v="2"/>
    <x v="2"/>
    <s v="Retail"/>
    <s v="Store"/>
    <x v="0"/>
    <x v="0"/>
    <n v="85000"/>
    <n v="10"/>
    <x v="2"/>
    <n v="68000"/>
    <n v="850000"/>
    <x v="43"/>
    <n v="170000"/>
    <n v="408"/>
  </r>
  <r>
    <s v="2025-04-20"/>
    <x v="1"/>
    <s v="Sunday"/>
    <x v="0"/>
    <x v="0"/>
    <s v="Corporate"/>
    <s v="Online"/>
    <x v="6"/>
    <x v="2"/>
    <n v="150000"/>
    <n v="10"/>
    <x v="0"/>
    <n v="120000"/>
    <n v="1500000"/>
    <x v="17"/>
    <n v="300000"/>
    <n v="409"/>
  </r>
  <r>
    <s v="2025-01-24"/>
    <x v="0"/>
    <s v="Friday"/>
    <x v="2"/>
    <x v="1"/>
    <s v="Corporate"/>
    <s v="Online"/>
    <x v="2"/>
    <x v="1"/>
    <n v="60000"/>
    <n v="2"/>
    <x v="2"/>
    <n v="48000"/>
    <n v="120000"/>
    <x v="3"/>
    <n v="24000"/>
    <n v="410"/>
  </r>
  <r>
    <s v="2025-03-08"/>
    <x v="3"/>
    <s v="Saturday"/>
    <x v="3"/>
    <x v="3"/>
    <s v="Corporate"/>
    <s v="Online"/>
    <x v="3"/>
    <x v="2"/>
    <n v="300000"/>
    <n v="6"/>
    <x v="0"/>
    <n v="240000"/>
    <n v="1800000"/>
    <x v="5"/>
    <n v="360000"/>
    <n v="411"/>
  </r>
  <r>
    <s v="2025-03-04"/>
    <x v="3"/>
    <s v="Tuesday"/>
    <x v="1"/>
    <x v="2"/>
    <s v="Retail"/>
    <s v="Online"/>
    <x v="6"/>
    <x v="2"/>
    <n v="150000"/>
    <n v="3"/>
    <x v="4"/>
    <n v="120000"/>
    <n v="450000"/>
    <x v="34"/>
    <n v="90000"/>
    <n v="412"/>
  </r>
  <r>
    <s v="2025-03-30"/>
    <x v="3"/>
    <s v="Sunday"/>
    <x v="0"/>
    <x v="0"/>
    <s v="Corporate"/>
    <s v="Online"/>
    <x v="1"/>
    <x v="1"/>
    <n v="30000"/>
    <n v="2"/>
    <x v="1"/>
    <n v="24000"/>
    <n v="60000"/>
    <x v="41"/>
    <n v="12000"/>
    <n v="413"/>
  </r>
  <r>
    <s v="2025-01-11"/>
    <x v="0"/>
    <s v="Saturday"/>
    <x v="1"/>
    <x v="1"/>
    <s v="Retail"/>
    <s v="Online"/>
    <x v="4"/>
    <x v="1"/>
    <n v="180000"/>
    <n v="2"/>
    <x v="4"/>
    <n v="144000"/>
    <n v="360000"/>
    <x v="50"/>
    <n v="72000"/>
    <n v="414"/>
  </r>
  <r>
    <s v="2025-01-23"/>
    <x v="0"/>
    <s v="Thursday"/>
    <x v="0"/>
    <x v="2"/>
    <s v="Corporate"/>
    <s v="Online"/>
    <x v="5"/>
    <x v="0"/>
    <n v="320000"/>
    <n v="3"/>
    <x v="2"/>
    <n v="256000"/>
    <n v="960000"/>
    <x v="9"/>
    <n v="192000"/>
    <n v="415"/>
  </r>
  <r>
    <s v="2025-01-05"/>
    <x v="0"/>
    <s v="Sunday"/>
    <x v="2"/>
    <x v="2"/>
    <s v="Corporate"/>
    <s v="Store"/>
    <x v="1"/>
    <x v="1"/>
    <n v="30000"/>
    <n v="3"/>
    <x v="4"/>
    <n v="24000"/>
    <n v="90000"/>
    <x v="33"/>
    <n v="18000"/>
    <n v="416"/>
  </r>
  <r>
    <s v="2025-04-17"/>
    <x v="1"/>
    <s v="Thursday"/>
    <x v="0"/>
    <x v="3"/>
    <s v="Retail"/>
    <s v="Store"/>
    <x v="0"/>
    <x v="0"/>
    <n v="85000"/>
    <n v="3"/>
    <x v="3"/>
    <n v="68000"/>
    <n v="255000"/>
    <x v="23"/>
    <n v="51000"/>
    <n v="417"/>
  </r>
  <r>
    <s v="2025-02-26"/>
    <x v="2"/>
    <s v="Wednesday"/>
    <x v="3"/>
    <x v="2"/>
    <s v="Retail"/>
    <s v="Store"/>
    <x v="0"/>
    <x v="0"/>
    <n v="85000"/>
    <n v="10"/>
    <x v="4"/>
    <n v="68000"/>
    <n v="850000"/>
    <x v="43"/>
    <n v="170000"/>
    <n v="418"/>
  </r>
  <r>
    <s v="2025-03-06"/>
    <x v="3"/>
    <s v="Thursday"/>
    <x v="1"/>
    <x v="0"/>
    <s v="Corporate"/>
    <s v="Store"/>
    <x v="4"/>
    <x v="1"/>
    <n v="180000"/>
    <n v="10"/>
    <x v="0"/>
    <n v="144000"/>
    <n v="1800000"/>
    <x v="5"/>
    <n v="360000"/>
    <n v="419"/>
  </r>
  <r>
    <s v="2025-01-16"/>
    <x v="0"/>
    <s v="Thursday"/>
    <x v="0"/>
    <x v="1"/>
    <s v="Retail"/>
    <s v="Store"/>
    <x v="9"/>
    <x v="1"/>
    <n v="220000"/>
    <n v="9"/>
    <x v="2"/>
    <n v="176000"/>
    <n v="1980000"/>
    <x v="64"/>
    <n v="396000"/>
    <n v="420"/>
  </r>
  <r>
    <s v="2025-03-03"/>
    <x v="3"/>
    <s v="Monday"/>
    <x v="0"/>
    <x v="3"/>
    <s v="Corporate"/>
    <s v="Store"/>
    <x v="7"/>
    <x v="2"/>
    <n v="420000"/>
    <n v="9"/>
    <x v="2"/>
    <n v="336000"/>
    <n v="3780000"/>
    <x v="12"/>
    <n v="756000"/>
    <n v="421"/>
  </r>
  <r>
    <s v="2025-02-24"/>
    <x v="2"/>
    <s v="Monday"/>
    <x v="1"/>
    <x v="0"/>
    <s v="Corporate"/>
    <s v="Online"/>
    <x v="4"/>
    <x v="1"/>
    <n v="180000"/>
    <n v="2"/>
    <x v="4"/>
    <n v="144000"/>
    <n v="360000"/>
    <x v="50"/>
    <n v="72000"/>
    <n v="422"/>
  </r>
  <r>
    <s v="2025-03-16"/>
    <x v="3"/>
    <s v="Sunday"/>
    <x v="0"/>
    <x v="1"/>
    <s v="Corporate"/>
    <s v="Online"/>
    <x v="3"/>
    <x v="2"/>
    <n v="300000"/>
    <n v="3"/>
    <x v="1"/>
    <n v="240000"/>
    <n v="900000"/>
    <x v="48"/>
    <n v="180000"/>
    <n v="423"/>
  </r>
  <r>
    <s v="2025-02-25"/>
    <x v="2"/>
    <s v="Tuesday"/>
    <x v="3"/>
    <x v="2"/>
    <s v="Corporate"/>
    <s v="Online"/>
    <x v="4"/>
    <x v="1"/>
    <n v="180000"/>
    <n v="1"/>
    <x v="5"/>
    <n v="144000"/>
    <n v="180000"/>
    <x v="32"/>
    <n v="36000"/>
    <n v="424"/>
  </r>
  <r>
    <s v="2025-04-11"/>
    <x v="1"/>
    <s v="Friday"/>
    <x v="3"/>
    <x v="1"/>
    <s v="Retail"/>
    <s v="Store"/>
    <x v="5"/>
    <x v="0"/>
    <n v="320000"/>
    <n v="9"/>
    <x v="3"/>
    <n v="256000"/>
    <n v="2880000"/>
    <x v="8"/>
    <n v="576000"/>
    <n v="425"/>
  </r>
  <r>
    <s v="2025-03-18"/>
    <x v="3"/>
    <s v="Tuesday"/>
    <x v="3"/>
    <x v="0"/>
    <s v="Retail"/>
    <s v="Online"/>
    <x v="5"/>
    <x v="0"/>
    <n v="320000"/>
    <n v="5"/>
    <x v="1"/>
    <n v="256000"/>
    <n v="1600000"/>
    <x v="28"/>
    <n v="320000"/>
    <n v="426"/>
  </r>
  <r>
    <s v="2025-02-20"/>
    <x v="2"/>
    <s v="Thursday"/>
    <x v="3"/>
    <x v="3"/>
    <s v="Retail"/>
    <s v="Online"/>
    <x v="2"/>
    <x v="1"/>
    <n v="60000"/>
    <n v="8"/>
    <x v="5"/>
    <n v="48000"/>
    <n v="480000"/>
    <x v="47"/>
    <n v="96000"/>
    <n v="427"/>
  </r>
  <r>
    <s v="2025-03-05"/>
    <x v="3"/>
    <s v="Wednesday"/>
    <x v="2"/>
    <x v="0"/>
    <s v="Corporate"/>
    <s v="Online"/>
    <x v="0"/>
    <x v="0"/>
    <n v="85000"/>
    <n v="8"/>
    <x v="1"/>
    <n v="68000"/>
    <n v="680000"/>
    <x v="69"/>
    <n v="136000"/>
    <n v="428"/>
  </r>
  <r>
    <s v="2025-03-31"/>
    <x v="3"/>
    <s v="Monday"/>
    <x v="1"/>
    <x v="0"/>
    <s v="Retail"/>
    <s v="Store"/>
    <x v="5"/>
    <x v="0"/>
    <n v="320000"/>
    <n v="5"/>
    <x v="1"/>
    <n v="256000"/>
    <n v="1600000"/>
    <x v="28"/>
    <n v="320000"/>
    <n v="429"/>
  </r>
  <r>
    <s v="2025-02-18"/>
    <x v="2"/>
    <s v="Tuesday"/>
    <x v="3"/>
    <x v="2"/>
    <s v="Corporate"/>
    <s v="Online"/>
    <x v="6"/>
    <x v="2"/>
    <n v="150000"/>
    <n v="3"/>
    <x v="4"/>
    <n v="120000"/>
    <n v="450000"/>
    <x v="34"/>
    <n v="90000"/>
    <n v="430"/>
  </r>
  <r>
    <s v="2025-01-09"/>
    <x v="0"/>
    <s v="Thursday"/>
    <x v="3"/>
    <x v="2"/>
    <s v="Retail"/>
    <s v="Store"/>
    <x v="6"/>
    <x v="2"/>
    <n v="150000"/>
    <n v="1"/>
    <x v="0"/>
    <n v="120000"/>
    <n v="150000"/>
    <x v="26"/>
    <n v="30000"/>
    <n v="431"/>
  </r>
  <r>
    <s v="2025-04-21"/>
    <x v="1"/>
    <s v="Monday"/>
    <x v="2"/>
    <x v="2"/>
    <s v="Corporate"/>
    <s v="Online"/>
    <x v="2"/>
    <x v="1"/>
    <n v="60000"/>
    <n v="7"/>
    <x v="1"/>
    <n v="48000"/>
    <n v="420000"/>
    <x v="40"/>
    <n v="84000"/>
    <n v="432"/>
  </r>
  <r>
    <s v="2025-03-09"/>
    <x v="3"/>
    <s v="Sunday"/>
    <x v="0"/>
    <x v="0"/>
    <s v="Retail"/>
    <s v="Online"/>
    <x v="4"/>
    <x v="1"/>
    <n v="180000"/>
    <n v="1"/>
    <x v="1"/>
    <n v="144000"/>
    <n v="180000"/>
    <x v="32"/>
    <n v="36000"/>
    <n v="433"/>
  </r>
  <r>
    <s v="2025-04-29"/>
    <x v="1"/>
    <s v="Tuesday"/>
    <x v="2"/>
    <x v="0"/>
    <s v="Corporate"/>
    <s v="Online"/>
    <x v="4"/>
    <x v="1"/>
    <n v="180000"/>
    <n v="1"/>
    <x v="3"/>
    <n v="144000"/>
    <n v="180000"/>
    <x v="32"/>
    <n v="36000"/>
    <n v="434"/>
  </r>
  <r>
    <s v="2025-02-08"/>
    <x v="2"/>
    <s v="Saturday"/>
    <x v="2"/>
    <x v="0"/>
    <s v="Retail"/>
    <s v="Store"/>
    <x v="8"/>
    <x v="2"/>
    <n v="250000"/>
    <n v="9"/>
    <x v="0"/>
    <n v="200000"/>
    <n v="2250000"/>
    <x v="71"/>
    <n v="450000"/>
    <n v="435"/>
  </r>
  <r>
    <s v="2025-03-20"/>
    <x v="3"/>
    <s v="Thursday"/>
    <x v="0"/>
    <x v="2"/>
    <s v="Corporate"/>
    <s v="Online"/>
    <x v="5"/>
    <x v="0"/>
    <n v="320000"/>
    <n v="1"/>
    <x v="1"/>
    <n v="256000"/>
    <n v="320000"/>
    <x v="7"/>
    <n v="64000"/>
    <n v="436"/>
  </r>
  <r>
    <s v="2025-02-07"/>
    <x v="2"/>
    <s v="Friday"/>
    <x v="2"/>
    <x v="1"/>
    <s v="Retail"/>
    <s v="Store"/>
    <x v="4"/>
    <x v="1"/>
    <n v="180000"/>
    <n v="10"/>
    <x v="0"/>
    <n v="144000"/>
    <n v="1800000"/>
    <x v="5"/>
    <n v="360000"/>
    <n v="437"/>
  </r>
  <r>
    <s v="2025-04-07"/>
    <x v="1"/>
    <s v="Monday"/>
    <x v="1"/>
    <x v="2"/>
    <s v="Retail"/>
    <s v="Store"/>
    <x v="3"/>
    <x v="2"/>
    <n v="300000"/>
    <n v="10"/>
    <x v="3"/>
    <n v="240000"/>
    <n v="3000000"/>
    <x v="68"/>
    <n v="600000"/>
    <n v="438"/>
  </r>
  <r>
    <s v="2025-04-15"/>
    <x v="1"/>
    <s v="Tuesday"/>
    <x v="2"/>
    <x v="0"/>
    <s v="Retail"/>
    <s v="Online"/>
    <x v="7"/>
    <x v="2"/>
    <n v="420000"/>
    <n v="4"/>
    <x v="4"/>
    <n v="336000"/>
    <n v="1680000"/>
    <x v="45"/>
    <n v="336000"/>
    <n v="439"/>
  </r>
  <r>
    <s v="2025-04-20"/>
    <x v="1"/>
    <s v="Sunday"/>
    <x v="0"/>
    <x v="0"/>
    <s v="Corporate"/>
    <s v="Store"/>
    <x v="1"/>
    <x v="1"/>
    <n v="30000"/>
    <n v="4"/>
    <x v="2"/>
    <n v="24000"/>
    <n v="120000"/>
    <x v="3"/>
    <n v="24000"/>
    <n v="440"/>
  </r>
  <r>
    <s v="2025-03-25"/>
    <x v="3"/>
    <s v="Tuesday"/>
    <x v="3"/>
    <x v="2"/>
    <s v="Retail"/>
    <s v="Online"/>
    <x v="1"/>
    <x v="1"/>
    <n v="30000"/>
    <n v="10"/>
    <x v="3"/>
    <n v="24000"/>
    <n v="300000"/>
    <x v="11"/>
    <n v="60000"/>
    <n v="441"/>
  </r>
  <r>
    <s v="2025-04-08"/>
    <x v="1"/>
    <s v="Tuesday"/>
    <x v="2"/>
    <x v="0"/>
    <s v="Corporate"/>
    <s v="Store"/>
    <x v="2"/>
    <x v="1"/>
    <n v="60000"/>
    <n v="7"/>
    <x v="0"/>
    <n v="48000"/>
    <n v="420000"/>
    <x v="40"/>
    <n v="84000"/>
    <n v="442"/>
  </r>
  <r>
    <s v="2025-03-19"/>
    <x v="3"/>
    <s v="Wednesday"/>
    <x v="3"/>
    <x v="0"/>
    <s v="Corporate"/>
    <s v="Store"/>
    <x v="4"/>
    <x v="1"/>
    <n v="180000"/>
    <n v="4"/>
    <x v="5"/>
    <n v="144000"/>
    <n v="720000"/>
    <x v="65"/>
    <n v="144000"/>
    <n v="443"/>
  </r>
  <r>
    <s v="2025-02-02"/>
    <x v="2"/>
    <s v="Sunday"/>
    <x v="0"/>
    <x v="3"/>
    <s v="Retail"/>
    <s v="Store"/>
    <x v="1"/>
    <x v="1"/>
    <n v="30000"/>
    <n v="7"/>
    <x v="3"/>
    <n v="24000"/>
    <n v="210000"/>
    <x v="54"/>
    <n v="42000"/>
    <n v="444"/>
  </r>
  <r>
    <s v="2025-03-05"/>
    <x v="3"/>
    <s v="Wednesday"/>
    <x v="2"/>
    <x v="1"/>
    <s v="Corporate"/>
    <s v="Store"/>
    <x v="7"/>
    <x v="2"/>
    <n v="420000"/>
    <n v="10"/>
    <x v="0"/>
    <n v="336000"/>
    <n v="4200000"/>
    <x v="20"/>
    <n v="840000"/>
    <n v="445"/>
  </r>
  <r>
    <s v="2025-02-23"/>
    <x v="2"/>
    <s v="Sunday"/>
    <x v="1"/>
    <x v="0"/>
    <s v="Corporate"/>
    <s v="Online"/>
    <x v="7"/>
    <x v="2"/>
    <n v="420000"/>
    <n v="7"/>
    <x v="3"/>
    <n v="336000"/>
    <n v="2940000"/>
    <x v="70"/>
    <n v="588000"/>
    <n v="446"/>
  </r>
  <r>
    <s v="2025-04-27"/>
    <x v="1"/>
    <s v="Sunday"/>
    <x v="2"/>
    <x v="2"/>
    <s v="Retail"/>
    <s v="Store"/>
    <x v="8"/>
    <x v="2"/>
    <n v="250000"/>
    <n v="5"/>
    <x v="1"/>
    <n v="200000"/>
    <n v="1250000"/>
    <x v="21"/>
    <n v="250000"/>
    <n v="447"/>
  </r>
  <r>
    <s v="2025-01-12"/>
    <x v="0"/>
    <s v="Sunday"/>
    <x v="0"/>
    <x v="3"/>
    <s v="Corporate"/>
    <s v="Online"/>
    <x v="7"/>
    <x v="2"/>
    <n v="420000"/>
    <n v="5"/>
    <x v="2"/>
    <n v="336000"/>
    <n v="2100000"/>
    <x v="13"/>
    <n v="420000"/>
    <n v="448"/>
  </r>
  <r>
    <s v="2025-04-13"/>
    <x v="1"/>
    <s v="Sunday"/>
    <x v="1"/>
    <x v="2"/>
    <s v="Corporate"/>
    <s v="Store"/>
    <x v="5"/>
    <x v="0"/>
    <n v="320000"/>
    <n v="2"/>
    <x v="2"/>
    <n v="256000"/>
    <n v="640000"/>
    <x v="38"/>
    <n v="128000"/>
    <n v="449"/>
  </r>
  <r>
    <s v="2025-04-15"/>
    <x v="1"/>
    <s v="Tuesday"/>
    <x v="3"/>
    <x v="0"/>
    <s v="Retail"/>
    <s v="Store"/>
    <x v="3"/>
    <x v="2"/>
    <n v="300000"/>
    <n v="10"/>
    <x v="4"/>
    <n v="240000"/>
    <n v="3000000"/>
    <x v="68"/>
    <n v="600000"/>
    <n v="450"/>
  </r>
  <r>
    <s v="2025-01-23"/>
    <x v="0"/>
    <s v="Thursday"/>
    <x v="1"/>
    <x v="0"/>
    <s v="Retail"/>
    <s v="Online"/>
    <x v="8"/>
    <x v="2"/>
    <n v="250000"/>
    <n v="5"/>
    <x v="4"/>
    <n v="200000"/>
    <n v="1250000"/>
    <x v="21"/>
    <n v="250000"/>
    <n v="451"/>
  </r>
  <r>
    <s v="2025-04-08"/>
    <x v="1"/>
    <s v="Tuesday"/>
    <x v="2"/>
    <x v="2"/>
    <s v="Corporate"/>
    <s v="Store"/>
    <x v="8"/>
    <x v="2"/>
    <n v="250000"/>
    <n v="2"/>
    <x v="1"/>
    <n v="200000"/>
    <n v="500000"/>
    <x v="73"/>
    <n v="100000"/>
    <n v="452"/>
  </r>
  <r>
    <s v="2025-01-21"/>
    <x v="0"/>
    <s v="Tuesday"/>
    <x v="3"/>
    <x v="1"/>
    <s v="Retail"/>
    <s v="Store"/>
    <x v="4"/>
    <x v="1"/>
    <n v="180000"/>
    <n v="1"/>
    <x v="0"/>
    <n v="144000"/>
    <n v="180000"/>
    <x v="32"/>
    <n v="36000"/>
    <n v="453"/>
  </r>
  <r>
    <s v="2025-03-30"/>
    <x v="3"/>
    <s v="Sunday"/>
    <x v="1"/>
    <x v="1"/>
    <s v="Retail"/>
    <s v="Store"/>
    <x v="5"/>
    <x v="0"/>
    <n v="320000"/>
    <n v="10"/>
    <x v="3"/>
    <n v="256000"/>
    <n v="3200000"/>
    <x v="35"/>
    <n v="640000"/>
    <n v="454"/>
  </r>
  <r>
    <s v="2025-02-11"/>
    <x v="2"/>
    <s v="Tuesday"/>
    <x v="2"/>
    <x v="2"/>
    <s v="Corporate"/>
    <s v="Store"/>
    <x v="6"/>
    <x v="2"/>
    <n v="150000"/>
    <n v="2"/>
    <x v="0"/>
    <n v="120000"/>
    <n v="300000"/>
    <x v="11"/>
    <n v="60000"/>
    <n v="455"/>
  </r>
  <r>
    <s v="2025-03-13"/>
    <x v="3"/>
    <s v="Thursday"/>
    <x v="1"/>
    <x v="1"/>
    <s v="Retail"/>
    <s v="Store"/>
    <x v="4"/>
    <x v="1"/>
    <n v="180000"/>
    <n v="10"/>
    <x v="2"/>
    <n v="144000"/>
    <n v="1800000"/>
    <x v="5"/>
    <n v="360000"/>
    <n v="456"/>
  </r>
  <r>
    <s v="2025-04-19"/>
    <x v="1"/>
    <s v="Saturday"/>
    <x v="0"/>
    <x v="1"/>
    <s v="Retail"/>
    <s v="Online"/>
    <x v="6"/>
    <x v="2"/>
    <n v="150000"/>
    <n v="2"/>
    <x v="2"/>
    <n v="120000"/>
    <n v="300000"/>
    <x v="11"/>
    <n v="60000"/>
    <n v="457"/>
  </r>
  <r>
    <s v="2025-04-19"/>
    <x v="1"/>
    <s v="Saturday"/>
    <x v="2"/>
    <x v="2"/>
    <s v="Corporate"/>
    <s v="Store"/>
    <x v="2"/>
    <x v="1"/>
    <n v="60000"/>
    <n v="10"/>
    <x v="2"/>
    <n v="48000"/>
    <n v="600000"/>
    <x v="4"/>
    <n v="120000"/>
    <n v="458"/>
  </r>
  <r>
    <s v="2025-03-18"/>
    <x v="3"/>
    <s v="Tuesday"/>
    <x v="0"/>
    <x v="3"/>
    <s v="Corporate"/>
    <s v="Online"/>
    <x v="9"/>
    <x v="1"/>
    <n v="220000"/>
    <n v="4"/>
    <x v="3"/>
    <n v="176000"/>
    <n v="880000"/>
    <x v="22"/>
    <n v="176000"/>
    <n v="459"/>
  </r>
  <r>
    <s v="2025-04-27"/>
    <x v="1"/>
    <s v="Sunday"/>
    <x v="2"/>
    <x v="1"/>
    <s v="Retail"/>
    <s v="Online"/>
    <x v="2"/>
    <x v="1"/>
    <n v="60000"/>
    <n v="5"/>
    <x v="3"/>
    <n v="48000"/>
    <n v="300000"/>
    <x v="11"/>
    <n v="60000"/>
    <n v="460"/>
  </r>
  <r>
    <s v="2025-02-11"/>
    <x v="2"/>
    <s v="Tuesday"/>
    <x v="2"/>
    <x v="3"/>
    <s v="Corporate"/>
    <s v="Online"/>
    <x v="8"/>
    <x v="2"/>
    <n v="250000"/>
    <n v="3"/>
    <x v="1"/>
    <n v="200000"/>
    <n v="750000"/>
    <x v="56"/>
    <n v="150000"/>
    <n v="461"/>
  </r>
  <r>
    <s v="2025-01-16"/>
    <x v="0"/>
    <s v="Thursday"/>
    <x v="2"/>
    <x v="1"/>
    <s v="Corporate"/>
    <s v="Store"/>
    <x v="6"/>
    <x v="2"/>
    <n v="150000"/>
    <n v="1"/>
    <x v="4"/>
    <n v="120000"/>
    <n v="150000"/>
    <x v="26"/>
    <n v="30000"/>
    <n v="462"/>
  </r>
  <r>
    <s v="2025-02-24"/>
    <x v="2"/>
    <s v="Monday"/>
    <x v="3"/>
    <x v="3"/>
    <s v="Corporate"/>
    <s v="Store"/>
    <x v="9"/>
    <x v="1"/>
    <n v="220000"/>
    <n v="1"/>
    <x v="1"/>
    <n v="176000"/>
    <n v="220000"/>
    <x v="25"/>
    <n v="44000"/>
    <n v="463"/>
  </r>
  <r>
    <s v="2025-01-04"/>
    <x v="0"/>
    <s v="Saturday"/>
    <x v="1"/>
    <x v="2"/>
    <s v="Retail"/>
    <s v="Store"/>
    <x v="8"/>
    <x v="2"/>
    <n v="250000"/>
    <n v="6"/>
    <x v="4"/>
    <n v="200000"/>
    <n v="1500000"/>
    <x v="17"/>
    <n v="300000"/>
    <n v="464"/>
  </r>
  <r>
    <s v="2025-03-19"/>
    <x v="3"/>
    <s v="Wednesday"/>
    <x v="0"/>
    <x v="3"/>
    <s v="Retail"/>
    <s v="Store"/>
    <x v="9"/>
    <x v="1"/>
    <n v="220000"/>
    <n v="10"/>
    <x v="3"/>
    <n v="176000"/>
    <n v="2200000"/>
    <x v="61"/>
    <n v="440000"/>
    <n v="465"/>
  </r>
  <r>
    <s v="2025-04-26"/>
    <x v="1"/>
    <s v="Saturday"/>
    <x v="1"/>
    <x v="0"/>
    <s v="Retail"/>
    <s v="Store"/>
    <x v="4"/>
    <x v="1"/>
    <n v="180000"/>
    <n v="10"/>
    <x v="1"/>
    <n v="144000"/>
    <n v="1800000"/>
    <x v="5"/>
    <n v="360000"/>
    <n v="466"/>
  </r>
  <r>
    <s v="2025-03-10"/>
    <x v="3"/>
    <s v="Monday"/>
    <x v="0"/>
    <x v="0"/>
    <s v="Corporate"/>
    <s v="Online"/>
    <x v="2"/>
    <x v="1"/>
    <n v="60000"/>
    <n v="6"/>
    <x v="5"/>
    <n v="48000"/>
    <n v="360000"/>
    <x v="50"/>
    <n v="72000"/>
    <n v="467"/>
  </r>
  <r>
    <s v="2025-04-20"/>
    <x v="1"/>
    <s v="Sunday"/>
    <x v="3"/>
    <x v="2"/>
    <s v="Retail"/>
    <s v="Store"/>
    <x v="9"/>
    <x v="1"/>
    <n v="220000"/>
    <n v="4"/>
    <x v="1"/>
    <n v="176000"/>
    <n v="880000"/>
    <x v="22"/>
    <n v="176000"/>
    <n v="468"/>
  </r>
  <r>
    <s v="2025-02-13"/>
    <x v="2"/>
    <s v="Thursday"/>
    <x v="2"/>
    <x v="3"/>
    <s v="Corporate"/>
    <s v="Online"/>
    <x v="6"/>
    <x v="2"/>
    <n v="150000"/>
    <n v="1"/>
    <x v="1"/>
    <n v="120000"/>
    <n v="150000"/>
    <x v="26"/>
    <n v="30000"/>
    <n v="469"/>
  </r>
  <r>
    <s v="2025-02-03"/>
    <x v="2"/>
    <s v="Monday"/>
    <x v="2"/>
    <x v="2"/>
    <s v="Retail"/>
    <s v="Store"/>
    <x v="4"/>
    <x v="1"/>
    <n v="180000"/>
    <n v="1"/>
    <x v="2"/>
    <n v="144000"/>
    <n v="180000"/>
    <x v="32"/>
    <n v="36000"/>
    <n v="470"/>
  </r>
  <r>
    <s v="2025-04-11"/>
    <x v="1"/>
    <s v="Friday"/>
    <x v="1"/>
    <x v="3"/>
    <s v="Corporate"/>
    <s v="Store"/>
    <x v="9"/>
    <x v="1"/>
    <n v="220000"/>
    <n v="8"/>
    <x v="2"/>
    <n v="176000"/>
    <n v="1760000"/>
    <x v="42"/>
    <n v="352000"/>
    <n v="471"/>
  </r>
  <r>
    <s v="2025-01-26"/>
    <x v="0"/>
    <s v="Sunday"/>
    <x v="0"/>
    <x v="1"/>
    <s v="Retail"/>
    <s v="Store"/>
    <x v="8"/>
    <x v="2"/>
    <n v="250000"/>
    <n v="3"/>
    <x v="1"/>
    <n v="200000"/>
    <n v="750000"/>
    <x v="56"/>
    <n v="150000"/>
    <n v="472"/>
  </r>
  <r>
    <s v="2025-03-05"/>
    <x v="3"/>
    <s v="Wednesday"/>
    <x v="3"/>
    <x v="1"/>
    <s v="Corporate"/>
    <s v="Store"/>
    <x v="2"/>
    <x v="1"/>
    <n v="60000"/>
    <n v="1"/>
    <x v="3"/>
    <n v="48000"/>
    <n v="60000"/>
    <x v="41"/>
    <n v="12000"/>
    <n v="473"/>
  </r>
  <r>
    <s v="2025-04-13"/>
    <x v="1"/>
    <s v="Sunday"/>
    <x v="1"/>
    <x v="3"/>
    <s v="Retail"/>
    <s v="Store"/>
    <x v="5"/>
    <x v="0"/>
    <n v="320000"/>
    <n v="4"/>
    <x v="0"/>
    <n v="256000"/>
    <n v="1280000"/>
    <x v="6"/>
    <n v="256000"/>
    <n v="474"/>
  </r>
  <r>
    <s v="2025-03-15"/>
    <x v="3"/>
    <s v="Saturday"/>
    <x v="2"/>
    <x v="2"/>
    <s v="Corporate"/>
    <s v="Store"/>
    <x v="7"/>
    <x v="2"/>
    <n v="420000"/>
    <n v="8"/>
    <x v="1"/>
    <n v="336000"/>
    <n v="3360000"/>
    <x v="19"/>
    <n v="672000"/>
    <n v="475"/>
  </r>
  <r>
    <s v="2025-02-21"/>
    <x v="2"/>
    <s v="Friday"/>
    <x v="2"/>
    <x v="1"/>
    <s v="Corporate"/>
    <s v="Store"/>
    <x v="7"/>
    <x v="2"/>
    <n v="420000"/>
    <n v="8"/>
    <x v="3"/>
    <n v="336000"/>
    <n v="3360000"/>
    <x v="19"/>
    <n v="672000"/>
    <n v="476"/>
  </r>
  <r>
    <s v="2025-01-30"/>
    <x v="0"/>
    <s v="Thursday"/>
    <x v="3"/>
    <x v="1"/>
    <s v="Retail"/>
    <s v="Store"/>
    <x v="2"/>
    <x v="1"/>
    <n v="60000"/>
    <n v="1"/>
    <x v="5"/>
    <n v="48000"/>
    <n v="60000"/>
    <x v="41"/>
    <n v="12000"/>
    <n v="477"/>
  </r>
  <r>
    <s v="2025-03-04"/>
    <x v="3"/>
    <s v="Tuesday"/>
    <x v="1"/>
    <x v="0"/>
    <s v="Corporate"/>
    <s v="Store"/>
    <x v="4"/>
    <x v="1"/>
    <n v="180000"/>
    <n v="8"/>
    <x v="1"/>
    <n v="144000"/>
    <n v="1440000"/>
    <x v="37"/>
    <n v="288000"/>
    <n v="478"/>
  </r>
  <r>
    <s v="2025-01-02"/>
    <x v="0"/>
    <s v="Thursday"/>
    <x v="0"/>
    <x v="1"/>
    <s v="Corporate"/>
    <s v="Store"/>
    <x v="4"/>
    <x v="1"/>
    <n v="180000"/>
    <n v="2"/>
    <x v="1"/>
    <n v="144000"/>
    <n v="360000"/>
    <x v="50"/>
    <n v="72000"/>
    <n v="479"/>
  </r>
  <r>
    <s v="2025-04-20"/>
    <x v="1"/>
    <s v="Sunday"/>
    <x v="2"/>
    <x v="1"/>
    <s v="Corporate"/>
    <s v="Online"/>
    <x v="3"/>
    <x v="2"/>
    <n v="300000"/>
    <n v="7"/>
    <x v="3"/>
    <n v="240000"/>
    <n v="2100000"/>
    <x v="13"/>
    <n v="420000"/>
    <n v="480"/>
  </r>
  <r>
    <s v="2025-01-10"/>
    <x v="0"/>
    <s v="Friday"/>
    <x v="0"/>
    <x v="2"/>
    <s v="Retail"/>
    <s v="Online"/>
    <x v="8"/>
    <x v="2"/>
    <n v="250000"/>
    <n v="6"/>
    <x v="3"/>
    <n v="200000"/>
    <n v="1500000"/>
    <x v="17"/>
    <n v="300000"/>
    <n v="481"/>
  </r>
  <r>
    <s v="2025-04-10"/>
    <x v="1"/>
    <s v="Thursday"/>
    <x v="3"/>
    <x v="2"/>
    <s v="Retail"/>
    <s v="Store"/>
    <x v="6"/>
    <x v="2"/>
    <n v="150000"/>
    <n v="5"/>
    <x v="1"/>
    <n v="120000"/>
    <n v="750000"/>
    <x v="56"/>
    <n v="150000"/>
    <n v="482"/>
  </r>
  <r>
    <s v="2025-03-09"/>
    <x v="3"/>
    <s v="Sunday"/>
    <x v="0"/>
    <x v="3"/>
    <s v="Retail"/>
    <s v="Online"/>
    <x v="0"/>
    <x v="0"/>
    <n v="85000"/>
    <n v="10"/>
    <x v="1"/>
    <n v="68000"/>
    <n v="850000"/>
    <x v="43"/>
    <n v="170000"/>
    <n v="483"/>
  </r>
  <r>
    <s v="2025-01-15"/>
    <x v="0"/>
    <s v="Wednesday"/>
    <x v="3"/>
    <x v="3"/>
    <s v="Retail"/>
    <s v="Online"/>
    <x v="0"/>
    <x v="0"/>
    <n v="85000"/>
    <n v="8"/>
    <x v="3"/>
    <n v="68000"/>
    <n v="680000"/>
    <x v="69"/>
    <n v="136000"/>
    <n v="484"/>
  </r>
  <r>
    <s v="2025-05-01"/>
    <x v="4"/>
    <s v="Thursday"/>
    <x v="2"/>
    <x v="0"/>
    <s v="Retail"/>
    <s v="Online"/>
    <x v="0"/>
    <x v="0"/>
    <n v="85000"/>
    <n v="2"/>
    <x v="2"/>
    <n v="68000"/>
    <n v="170000"/>
    <x v="2"/>
    <n v="34000"/>
    <n v="485"/>
  </r>
  <r>
    <s v="2025-03-05"/>
    <x v="3"/>
    <s v="Wednesday"/>
    <x v="0"/>
    <x v="3"/>
    <s v="Retail"/>
    <s v="Online"/>
    <x v="8"/>
    <x v="2"/>
    <n v="250000"/>
    <n v="4"/>
    <x v="0"/>
    <n v="200000"/>
    <n v="1000000"/>
    <x v="14"/>
    <n v="200000"/>
    <n v="486"/>
  </r>
  <r>
    <s v="2025-04-26"/>
    <x v="1"/>
    <s v="Saturday"/>
    <x v="2"/>
    <x v="0"/>
    <s v="Retail"/>
    <s v="Online"/>
    <x v="6"/>
    <x v="2"/>
    <n v="150000"/>
    <n v="6"/>
    <x v="5"/>
    <n v="120000"/>
    <n v="900000"/>
    <x v="48"/>
    <n v="180000"/>
    <n v="487"/>
  </r>
  <r>
    <s v="2025-02-27"/>
    <x v="2"/>
    <s v="Thursday"/>
    <x v="2"/>
    <x v="3"/>
    <s v="Corporate"/>
    <s v="Store"/>
    <x v="4"/>
    <x v="1"/>
    <n v="180000"/>
    <n v="10"/>
    <x v="4"/>
    <n v="144000"/>
    <n v="1800000"/>
    <x v="5"/>
    <n v="360000"/>
    <n v="488"/>
  </r>
  <r>
    <s v="2025-03-25"/>
    <x v="3"/>
    <s v="Tuesday"/>
    <x v="2"/>
    <x v="3"/>
    <s v="Retail"/>
    <s v="Online"/>
    <x v="6"/>
    <x v="2"/>
    <n v="150000"/>
    <n v="8"/>
    <x v="0"/>
    <n v="120000"/>
    <n v="1200000"/>
    <x v="29"/>
    <n v="240000"/>
    <n v="489"/>
  </r>
  <r>
    <s v="2025-01-22"/>
    <x v="0"/>
    <s v="Wednesday"/>
    <x v="2"/>
    <x v="1"/>
    <s v="Retail"/>
    <s v="Online"/>
    <x v="4"/>
    <x v="1"/>
    <n v="180000"/>
    <n v="8"/>
    <x v="1"/>
    <n v="144000"/>
    <n v="1440000"/>
    <x v="37"/>
    <n v="288000"/>
    <n v="490"/>
  </r>
  <r>
    <s v="2025-02-20"/>
    <x v="2"/>
    <s v="Thursday"/>
    <x v="1"/>
    <x v="2"/>
    <s v="Corporate"/>
    <s v="Online"/>
    <x v="6"/>
    <x v="2"/>
    <n v="150000"/>
    <n v="6"/>
    <x v="3"/>
    <n v="120000"/>
    <n v="900000"/>
    <x v="48"/>
    <n v="180000"/>
    <n v="491"/>
  </r>
  <r>
    <s v="2025-04-13"/>
    <x v="1"/>
    <s v="Sunday"/>
    <x v="2"/>
    <x v="3"/>
    <s v="Corporate"/>
    <s v="Store"/>
    <x v="6"/>
    <x v="2"/>
    <n v="150000"/>
    <n v="4"/>
    <x v="5"/>
    <n v="120000"/>
    <n v="600000"/>
    <x v="4"/>
    <n v="120000"/>
    <n v="492"/>
  </r>
  <r>
    <s v="2025-01-03"/>
    <x v="0"/>
    <s v="Friday"/>
    <x v="0"/>
    <x v="1"/>
    <s v="Retail"/>
    <s v="Online"/>
    <x v="4"/>
    <x v="1"/>
    <n v="180000"/>
    <n v="1"/>
    <x v="3"/>
    <n v="144000"/>
    <n v="180000"/>
    <x v="32"/>
    <n v="36000"/>
    <n v="493"/>
  </r>
  <r>
    <s v="2025-04-13"/>
    <x v="1"/>
    <s v="Sunday"/>
    <x v="3"/>
    <x v="1"/>
    <s v="Retail"/>
    <s v="Online"/>
    <x v="8"/>
    <x v="2"/>
    <n v="250000"/>
    <n v="6"/>
    <x v="5"/>
    <n v="200000"/>
    <n v="1500000"/>
    <x v="17"/>
    <n v="300000"/>
    <n v="494"/>
  </r>
  <r>
    <s v="2025-03-05"/>
    <x v="3"/>
    <s v="Wednesday"/>
    <x v="2"/>
    <x v="0"/>
    <s v="Retail"/>
    <s v="Online"/>
    <x v="2"/>
    <x v="1"/>
    <n v="60000"/>
    <n v="6"/>
    <x v="1"/>
    <n v="48000"/>
    <n v="360000"/>
    <x v="50"/>
    <n v="72000"/>
    <n v="495"/>
  </r>
  <r>
    <s v="2025-01-26"/>
    <x v="0"/>
    <s v="Sunday"/>
    <x v="3"/>
    <x v="3"/>
    <s v="Corporate"/>
    <s v="Store"/>
    <x v="6"/>
    <x v="2"/>
    <n v="150000"/>
    <n v="2"/>
    <x v="1"/>
    <n v="120000"/>
    <n v="300000"/>
    <x v="11"/>
    <n v="60000"/>
    <n v="496"/>
  </r>
  <r>
    <s v="2025-02-04"/>
    <x v="2"/>
    <s v="Tuesday"/>
    <x v="1"/>
    <x v="2"/>
    <s v="Corporate"/>
    <s v="Online"/>
    <x v="0"/>
    <x v="0"/>
    <n v="85000"/>
    <n v="2"/>
    <x v="0"/>
    <n v="68000"/>
    <n v="170000"/>
    <x v="2"/>
    <n v="34000"/>
    <n v="497"/>
  </r>
  <r>
    <s v="2025-02-24"/>
    <x v="2"/>
    <s v="Monday"/>
    <x v="2"/>
    <x v="1"/>
    <s v="Retail"/>
    <s v="Store"/>
    <x v="3"/>
    <x v="2"/>
    <n v="300000"/>
    <n v="5"/>
    <x v="3"/>
    <n v="240000"/>
    <n v="1500000"/>
    <x v="17"/>
    <n v="300000"/>
    <n v="498"/>
  </r>
  <r>
    <s v="2025-04-16"/>
    <x v="1"/>
    <s v="Wednesday"/>
    <x v="1"/>
    <x v="2"/>
    <s v="Corporate"/>
    <s v="Online"/>
    <x v="7"/>
    <x v="2"/>
    <n v="420000"/>
    <n v="10"/>
    <x v="3"/>
    <n v="336000"/>
    <n v="4200000"/>
    <x v="20"/>
    <n v="840000"/>
    <n v="499"/>
  </r>
  <r>
    <s v="2025-01-14"/>
    <x v="0"/>
    <s v="Tuesday"/>
    <x v="0"/>
    <x v="3"/>
    <s v="Corporate"/>
    <s v="Online"/>
    <x v="4"/>
    <x v="1"/>
    <n v="180000"/>
    <n v="6"/>
    <x v="1"/>
    <n v="144000"/>
    <n v="1080000"/>
    <x v="53"/>
    <n v="216000"/>
    <n v="500"/>
  </r>
  <r>
    <s v="2025-03-08"/>
    <x v="3"/>
    <s v="Saturday"/>
    <x v="1"/>
    <x v="3"/>
    <s v="Retail"/>
    <s v="Store"/>
    <x v="0"/>
    <x v="0"/>
    <n v="85000"/>
    <n v="4"/>
    <x v="3"/>
    <n v="68000"/>
    <n v="340000"/>
    <x v="74"/>
    <n v="68000"/>
    <n v="501"/>
  </r>
  <r>
    <s v="2025-02-20"/>
    <x v="2"/>
    <s v="Thursday"/>
    <x v="3"/>
    <x v="2"/>
    <s v="Corporate"/>
    <s v="Online"/>
    <x v="3"/>
    <x v="2"/>
    <n v="300000"/>
    <n v="4"/>
    <x v="4"/>
    <n v="240000"/>
    <n v="1200000"/>
    <x v="29"/>
    <n v="240000"/>
    <n v="502"/>
  </r>
  <r>
    <s v="2025-01-28"/>
    <x v="0"/>
    <s v="Tuesday"/>
    <x v="2"/>
    <x v="3"/>
    <s v="Retail"/>
    <s v="Online"/>
    <x v="0"/>
    <x v="0"/>
    <n v="85000"/>
    <n v="3"/>
    <x v="3"/>
    <n v="68000"/>
    <n v="255000"/>
    <x v="23"/>
    <n v="51000"/>
    <n v="503"/>
  </r>
  <r>
    <s v="2025-02-08"/>
    <x v="2"/>
    <s v="Saturday"/>
    <x v="3"/>
    <x v="0"/>
    <s v="Retail"/>
    <s v="Store"/>
    <x v="9"/>
    <x v="1"/>
    <n v="220000"/>
    <n v="9"/>
    <x v="4"/>
    <n v="176000"/>
    <n v="1980000"/>
    <x v="64"/>
    <n v="396000"/>
    <n v="504"/>
  </r>
  <r>
    <s v="2025-04-01"/>
    <x v="1"/>
    <s v="Tuesday"/>
    <x v="0"/>
    <x v="2"/>
    <s v="Corporate"/>
    <s v="Online"/>
    <x v="4"/>
    <x v="1"/>
    <n v="180000"/>
    <n v="3"/>
    <x v="3"/>
    <n v="144000"/>
    <n v="540000"/>
    <x v="46"/>
    <n v="108000"/>
    <n v="505"/>
  </r>
  <r>
    <s v="2025-03-22"/>
    <x v="3"/>
    <s v="Saturday"/>
    <x v="1"/>
    <x v="1"/>
    <s v="Corporate"/>
    <s v="Store"/>
    <x v="3"/>
    <x v="2"/>
    <n v="300000"/>
    <n v="9"/>
    <x v="1"/>
    <n v="240000"/>
    <n v="2700000"/>
    <x v="39"/>
    <n v="540000"/>
    <n v="506"/>
  </r>
  <r>
    <s v="2025-03-27"/>
    <x v="3"/>
    <s v="Thursday"/>
    <x v="3"/>
    <x v="0"/>
    <s v="Corporate"/>
    <s v="Store"/>
    <x v="6"/>
    <x v="2"/>
    <n v="150000"/>
    <n v="4"/>
    <x v="2"/>
    <n v="120000"/>
    <n v="600000"/>
    <x v="4"/>
    <n v="120000"/>
    <n v="507"/>
  </r>
  <r>
    <s v="2025-01-28"/>
    <x v="0"/>
    <s v="Tuesday"/>
    <x v="1"/>
    <x v="3"/>
    <s v="Corporate"/>
    <s v="Store"/>
    <x v="5"/>
    <x v="0"/>
    <n v="320000"/>
    <n v="8"/>
    <x v="4"/>
    <n v="256000"/>
    <n v="2560000"/>
    <x v="72"/>
    <n v="512000"/>
    <n v="508"/>
  </r>
  <r>
    <s v="2025-01-10"/>
    <x v="0"/>
    <s v="Friday"/>
    <x v="3"/>
    <x v="3"/>
    <s v="Retail"/>
    <s v="Online"/>
    <x v="5"/>
    <x v="0"/>
    <n v="320000"/>
    <n v="7"/>
    <x v="5"/>
    <n v="256000"/>
    <n v="2240000"/>
    <x v="10"/>
    <n v="448000"/>
    <n v="509"/>
  </r>
  <r>
    <s v="2025-03-17"/>
    <x v="3"/>
    <s v="Monday"/>
    <x v="1"/>
    <x v="3"/>
    <s v="Retail"/>
    <s v="Store"/>
    <x v="9"/>
    <x v="1"/>
    <n v="220000"/>
    <n v="10"/>
    <x v="2"/>
    <n v="176000"/>
    <n v="2200000"/>
    <x v="61"/>
    <n v="440000"/>
    <n v="510"/>
  </r>
  <r>
    <s v="2025-03-03"/>
    <x v="3"/>
    <s v="Monday"/>
    <x v="2"/>
    <x v="1"/>
    <s v="Retail"/>
    <s v="Store"/>
    <x v="1"/>
    <x v="1"/>
    <n v="30000"/>
    <n v="7"/>
    <x v="2"/>
    <n v="24000"/>
    <n v="210000"/>
    <x v="54"/>
    <n v="42000"/>
    <n v="511"/>
  </r>
  <r>
    <s v="2025-04-14"/>
    <x v="1"/>
    <s v="Monday"/>
    <x v="1"/>
    <x v="2"/>
    <s v="Retail"/>
    <s v="Online"/>
    <x v="5"/>
    <x v="0"/>
    <n v="320000"/>
    <n v="2"/>
    <x v="2"/>
    <n v="256000"/>
    <n v="640000"/>
    <x v="38"/>
    <n v="128000"/>
    <n v="512"/>
  </r>
  <r>
    <s v="2025-01-13"/>
    <x v="0"/>
    <s v="Monday"/>
    <x v="3"/>
    <x v="2"/>
    <s v="Corporate"/>
    <s v="Store"/>
    <x v="3"/>
    <x v="2"/>
    <n v="300000"/>
    <n v="3"/>
    <x v="4"/>
    <n v="240000"/>
    <n v="900000"/>
    <x v="48"/>
    <n v="180000"/>
    <n v="513"/>
  </r>
  <r>
    <s v="2025-04-29"/>
    <x v="1"/>
    <s v="Tuesday"/>
    <x v="2"/>
    <x v="0"/>
    <s v="Retail"/>
    <s v="Online"/>
    <x v="3"/>
    <x v="2"/>
    <n v="300000"/>
    <n v="3"/>
    <x v="2"/>
    <n v="240000"/>
    <n v="900000"/>
    <x v="48"/>
    <n v="180000"/>
    <n v="514"/>
  </r>
  <r>
    <s v="2025-02-12"/>
    <x v="2"/>
    <s v="Wednesday"/>
    <x v="2"/>
    <x v="3"/>
    <s v="Retail"/>
    <s v="Store"/>
    <x v="6"/>
    <x v="2"/>
    <n v="150000"/>
    <n v="10"/>
    <x v="2"/>
    <n v="120000"/>
    <n v="1500000"/>
    <x v="17"/>
    <n v="300000"/>
    <n v="515"/>
  </r>
  <r>
    <s v="2025-04-05"/>
    <x v="1"/>
    <s v="Saturday"/>
    <x v="2"/>
    <x v="1"/>
    <s v="Corporate"/>
    <s v="Store"/>
    <x v="1"/>
    <x v="1"/>
    <n v="30000"/>
    <n v="7"/>
    <x v="3"/>
    <n v="24000"/>
    <n v="210000"/>
    <x v="54"/>
    <n v="42000"/>
    <n v="516"/>
  </r>
  <r>
    <s v="2025-04-18"/>
    <x v="1"/>
    <s v="Friday"/>
    <x v="0"/>
    <x v="0"/>
    <s v="Retail"/>
    <s v="Online"/>
    <x v="2"/>
    <x v="1"/>
    <n v="60000"/>
    <n v="2"/>
    <x v="4"/>
    <n v="48000"/>
    <n v="120000"/>
    <x v="3"/>
    <n v="24000"/>
    <n v="517"/>
  </r>
  <r>
    <s v="2025-01-11"/>
    <x v="0"/>
    <s v="Saturday"/>
    <x v="1"/>
    <x v="1"/>
    <s v="Retail"/>
    <s v="Online"/>
    <x v="3"/>
    <x v="2"/>
    <n v="300000"/>
    <n v="8"/>
    <x v="0"/>
    <n v="240000"/>
    <n v="2400000"/>
    <x v="24"/>
    <n v="480000"/>
    <n v="518"/>
  </r>
  <r>
    <s v="2025-03-31"/>
    <x v="3"/>
    <s v="Monday"/>
    <x v="3"/>
    <x v="1"/>
    <s v="Corporate"/>
    <s v="Store"/>
    <x v="1"/>
    <x v="1"/>
    <n v="30000"/>
    <n v="6"/>
    <x v="2"/>
    <n v="24000"/>
    <n v="180000"/>
    <x v="32"/>
    <n v="36000"/>
    <n v="519"/>
  </r>
  <r>
    <s v="2025-02-12"/>
    <x v="2"/>
    <s v="Wednesday"/>
    <x v="0"/>
    <x v="1"/>
    <s v="Corporate"/>
    <s v="Online"/>
    <x v="8"/>
    <x v="2"/>
    <n v="250000"/>
    <n v="6"/>
    <x v="1"/>
    <n v="200000"/>
    <n v="1500000"/>
    <x v="17"/>
    <n v="300000"/>
    <n v="520"/>
  </r>
  <r>
    <s v="2025-03-02"/>
    <x v="3"/>
    <s v="Sunday"/>
    <x v="1"/>
    <x v="3"/>
    <s v="Retail"/>
    <s v="Online"/>
    <x v="7"/>
    <x v="2"/>
    <n v="420000"/>
    <n v="10"/>
    <x v="3"/>
    <n v="336000"/>
    <n v="4200000"/>
    <x v="20"/>
    <n v="840000"/>
    <n v="521"/>
  </r>
  <r>
    <s v="2025-03-10"/>
    <x v="3"/>
    <s v="Monday"/>
    <x v="2"/>
    <x v="3"/>
    <s v="Retail"/>
    <s v="Online"/>
    <x v="2"/>
    <x v="1"/>
    <n v="60000"/>
    <n v="9"/>
    <x v="5"/>
    <n v="48000"/>
    <n v="540000"/>
    <x v="46"/>
    <n v="108000"/>
    <n v="522"/>
  </r>
  <r>
    <s v="2025-01-14"/>
    <x v="0"/>
    <s v="Tuesday"/>
    <x v="1"/>
    <x v="2"/>
    <s v="Corporate"/>
    <s v="Store"/>
    <x v="4"/>
    <x v="1"/>
    <n v="180000"/>
    <n v="4"/>
    <x v="0"/>
    <n v="144000"/>
    <n v="720000"/>
    <x v="65"/>
    <n v="144000"/>
    <n v="523"/>
  </r>
  <r>
    <s v="2025-02-17"/>
    <x v="2"/>
    <s v="Monday"/>
    <x v="3"/>
    <x v="2"/>
    <s v="Retail"/>
    <s v="Store"/>
    <x v="4"/>
    <x v="1"/>
    <n v="180000"/>
    <n v="10"/>
    <x v="0"/>
    <n v="144000"/>
    <n v="1800000"/>
    <x v="5"/>
    <n v="360000"/>
    <n v="524"/>
  </r>
  <r>
    <s v="2025-04-03"/>
    <x v="1"/>
    <s v="Thursday"/>
    <x v="3"/>
    <x v="1"/>
    <s v="Corporate"/>
    <s v="Online"/>
    <x v="1"/>
    <x v="1"/>
    <n v="30000"/>
    <n v="1"/>
    <x v="4"/>
    <n v="24000"/>
    <n v="30000"/>
    <x v="75"/>
    <n v="6000"/>
    <n v="525"/>
  </r>
  <r>
    <s v="2025-04-19"/>
    <x v="1"/>
    <s v="Saturday"/>
    <x v="1"/>
    <x v="2"/>
    <s v="Retail"/>
    <s v="Store"/>
    <x v="7"/>
    <x v="2"/>
    <n v="420000"/>
    <n v="3"/>
    <x v="3"/>
    <n v="336000"/>
    <n v="1260000"/>
    <x v="55"/>
    <n v="252000"/>
    <n v="526"/>
  </r>
  <r>
    <s v="2025-04-07"/>
    <x v="1"/>
    <s v="Monday"/>
    <x v="1"/>
    <x v="0"/>
    <s v="Retail"/>
    <s v="Store"/>
    <x v="1"/>
    <x v="1"/>
    <n v="30000"/>
    <n v="8"/>
    <x v="3"/>
    <n v="24000"/>
    <n v="240000"/>
    <x v="1"/>
    <n v="48000"/>
    <n v="527"/>
  </r>
  <r>
    <s v="2025-03-23"/>
    <x v="3"/>
    <s v="Sunday"/>
    <x v="2"/>
    <x v="3"/>
    <s v="Corporate"/>
    <s v="Online"/>
    <x v="5"/>
    <x v="0"/>
    <n v="320000"/>
    <n v="2"/>
    <x v="2"/>
    <n v="256000"/>
    <n v="640000"/>
    <x v="38"/>
    <n v="128000"/>
    <n v="528"/>
  </r>
  <r>
    <s v="2025-04-28"/>
    <x v="1"/>
    <s v="Monday"/>
    <x v="0"/>
    <x v="1"/>
    <s v="Corporate"/>
    <s v="Store"/>
    <x v="6"/>
    <x v="2"/>
    <n v="150000"/>
    <n v="10"/>
    <x v="2"/>
    <n v="120000"/>
    <n v="1500000"/>
    <x v="17"/>
    <n v="300000"/>
    <n v="529"/>
  </r>
  <r>
    <s v="2025-04-05"/>
    <x v="1"/>
    <s v="Saturday"/>
    <x v="3"/>
    <x v="2"/>
    <s v="Corporate"/>
    <s v="Online"/>
    <x v="8"/>
    <x v="2"/>
    <n v="250000"/>
    <n v="9"/>
    <x v="1"/>
    <n v="200000"/>
    <n v="2250000"/>
    <x v="71"/>
    <n v="450000"/>
    <n v="530"/>
  </r>
  <r>
    <s v="2025-04-12"/>
    <x v="1"/>
    <s v="Saturday"/>
    <x v="2"/>
    <x v="2"/>
    <s v="Corporate"/>
    <s v="Store"/>
    <x v="9"/>
    <x v="1"/>
    <n v="220000"/>
    <n v="5"/>
    <x v="1"/>
    <n v="176000"/>
    <n v="1100000"/>
    <x v="51"/>
    <n v="220000"/>
    <n v="531"/>
  </r>
  <r>
    <s v="2025-03-29"/>
    <x v="3"/>
    <s v="Saturday"/>
    <x v="0"/>
    <x v="2"/>
    <s v="Retail"/>
    <s v="Store"/>
    <x v="6"/>
    <x v="2"/>
    <n v="150000"/>
    <n v="5"/>
    <x v="0"/>
    <n v="120000"/>
    <n v="750000"/>
    <x v="56"/>
    <n v="150000"/>
    <n v="532"/>
  </r>
  <r>
    <s v="2025-02-02"/>
    <x v="2"/>
    <s v="Sunday"/>
    <x v="1"/>
    <x v="3"/>
    <s v="Corporate"/>
    <s v="Store"/>
    <x v="9"/>
    <x v="1"/>
    <n v="220000"/>
    <n v="8"/>
    <x v="4"/>
    <n v="176000"/>
    <n v="1760000"/>
    <x v="42"/>
    <n v="352000"/>
    <n v="533"/>
  </r>
  <r>
    <s v="2025-03-15"/>
    <x v="3"/>
    <s v="Saturday"/>
    <x v="1"/>
    <x v="1"/>
    <s v="Retail"/>
    <s v="Online"/>
    <x v="0"/>
    <x v="0"/>
    <n v="85000"/>
    <n v="4"/>
    <x v="3"/>
    <n v="68000"/>
    <n v="340000"/>
    <x v="74"/>
    <n v="68000"/>
    <n v="534"/>
  </r>
  <r>
    <s v="2025-04-04"/>
    <x v="1"/>
    <s v="Friday"/>
    <x v="2"/>
    <x v="2"/>
    <s v="Retail"/>
    <s v="Online"/>
    <x v="5"/>
    <x v="0"/>
    <n v="320000"/>
    <n v="4"/>
    <x v="3"/>
    <n v="256000"/>
    <n v="1280000"/>
    <x v="6"/>
    <n v="256000"/>
    <n v="535"/>
  </r>
  <r>
    <s v="2025-01-03"/>
    <x v="0"/>
    <s v="Friday"/>
    <x v="1"/>
    <x v="2"/>
    <s v="Corporate"/>
    <s v="Online"/>
    <x v="8"/>
    <x v="2"/>
    <n v="250000"/>
    <n v="2"/>
    <x v="1"/>
    <n v="200000"/>
    <n v="500000"/>
    <x v="73"/>
    <n v="100000"/>
    <n v="536"/>
  </r>
  <r>
    <s v="2025-01-07"/>
    <x v="0"/>
    <s v="Tuesday"/>
    <x v="1"/>
    <x v="0"/>
    <s v="Retail"/>
    <s v="Online"/>
    <x v="3"/>
    <x v="2"/>
    <n v="300000"/>
    <n v="5"/>
    <x v="1"/>
    <n v="240000"/>
    <n v="1500000"/>
    <x v="17"/>
    <n v="300000"/>
    <n v="537"/>
  </r>
  <r>
    <s v="2025-02-15"/>
    <x v="2"/>
    <s v="Saturday"/>
    <x v="1"/>
    <x v="2"/>
    <s v="Retail"/>
    <s v="Online"/>
    <x v="2"/>
    <x v="1"/>
    <n v="60000"/>
    <n v="9"/>
    <x v="2"/>
    <n v="48000"/>
    <n v="540000"/>
    <x v="46"/>
    <n v="108000"/>
    <n v="538"/>
  </r>
  <r>
    <s v="2025-01-22"/>
    <x v="0"/>
    <s v="Wednesday"/>
    <x v="1"/>
    <x v="2"/>
    <s v="Corporate"/>
    <s v="Online"/>
    <x v="6"/>
    <x v="2"/>
    <n v="150000"/>
    <n v="6"/>
    <x v="2"/>
    <n v="120000"/>
    <n v="900000"/>
    <x v="48"/>
    <n v="180000"/>
    <n v="539"/>
  </r>
  <r>
    <s v="2025-01-16"/>
    <x v="0"/>
    <s v="Thursday"/>
    <x v="2"/>
    <x v="2"/>
    <s v="Corporate"/>
    <s v="Store"/>
    <x v="0"/>
    <x v="0"/>
    <n v="85000"/>
    <n v="3"/>
    <x v="3"/>
    <n v="68000"/>
    <n v="255000"/>
    <x v="23"/>
    <n v="51000"/>
    <n v="540"/>
  </r>
  <r>
    <s v="2025-03-10"/>
    <x v="3"/>
    <s v="Monday"/>
    <x v="2"/>
    <x v="1"/>
    <s v="Corporate"/>
    <s v="Store"/>
    <x v="5"/>
    <x v="0"/>
    <n v="320000"/>
    <n v="8"/>
    <x v="2"/>
    <n v="256000"/>
    <n v="2560000"/>
    <x v="72"/>
    <n v="512000"/>
    <n v="541"/>
  </r>
  <r>
    <s v="2025-03-30"/>
    <x v="3"/>
    <s v="Sunday"/>
    <x v="1"/>
    <x v="0"/>
    <s v="Corporate"/>
    <s v="Online"/>
    <x v="8"/>
    <x v="2"/>
    <n v="250000"/>
    <n v="1"/>
    <x v="3"/>
    <n v="200000"/>
    <n v="250000"/>
    <x v="44"/>
    <n v="50000"/>
    <n v="542"/>
  </r>
  <r>
    <s v="2025-03-25"/>
    <x v="3"/>
    <s v="Tuesday"/>
    <x v="0"/>
    <x v="1"/>
    <s v="Corporate"/>
    <s v="Store"/>
    <x v="4"/>
    <x v="1"/>
    <n v="180000"/>
    <n v="4"/>
    <x v="0"/>
    <n v="144000"/>
    <n v="720000"/>
    <x v="65"/>
    <n v="144000"/>
    <n v="543"/>
  </r>
  <r>
    <s v="2025-01-09"/>
    <x v="0"/>
    <s v="Thursday"/>
    <x v="1"/>
    <x v="2"/>
    <s v="Retail"/>
    <s v="Online"/>
    <x v="2"/>
    <x v="1"/>
    <n v="60000"/>
    <n v="6"/>
    <x v="5"/>
    <n v="48000"/>
    <n v="360000"/>
    <x v="50"/>
    <n v="72000"/>
    <n v="544"/>
  </r>
  <r>
    <s v="2025-01-27"/>
    <x v="0"/>
    <s v="Monday"/>
    <x v="3"/>
    <x v="3"/>
    <s v="Retail"/>
    <s v="Store"/>
    <x v="4"/>
    <x v="1"/>
    <n v="180000"/>
    <n v="7"/>
    <x v="0"/>
    <n v="144000"/>
    <n v="1260000"/>
    <x v="55"/>
    <n v="252000"/>
    <n v="545"/>
  </r>
  <r>
    <s v="2025-01-29"/>
    <x v="0"/>
    <s v="Wednesday"/>
    <x v="3"/>
    <x v="1"/>
    <s v="Retail"/>
    <s v="Online"/>
    <x v="6"/>
    <x v="2"/>
    <n v="150000"/>
    <n v="10"/>
    <x v="4"/>
    <n v="120000"/>
    <n v="1500000"/>
    <x v="17"/>
    <n v="300000"/>
    <n v="546"/>
  </r>
  <r>
    <s v="2025-03-31"/>
    <x v="3"/>
    <s v="Monday"/>
    <x v="1"/>
    <x v="2"/>
    <s v="Retail"/>
    <s v="Store"/>
    <x v="5"/>
    <x v="0"/>
    <n v="320000"/>
    <n v="5"/>
    <x v="4"/>
    <n v="256000"/>
    <n v="1600000"/>
    <x v="28"/>
    <n v="320000"/>
    <n v="547"/>
  </r>
  <r>
    <s v="2025-03-26"/>
    <x v="3"/>
    <s v="Wednesday"/>
    <x v="0"/>
    <x v="0"/>
    <s v="Corporate"/>
    <s v="Store"/>
    <x v="6"/>
    <x v="2"/>
    <n v="150000"/>
    <n v="7"/>
    <x v="1"/>
    <n v="120000"/>
    <n v="1050000"/>
    <x v="16"/>
    <n v="210000"/>
    <n v="548"/>
  </r>
  <r>
    <s v="2025-04-25"/>
    <x v="1"/>
    <s v="Friday"/>
    <x v="1"/>
    <x v="0"/>
    <s v="Corporate"/>
    <s v="Online"/>
    <x v="6"/>
    <x v="2"/>
    <n v="150000"/>
    <n v="4"/>
    <x v="4"/>
    <n v="120000"/>
    <n v="600000"/>
    <x v="4"/>
    <n v="120000"/>
    <n v="549"/>
  </r>
  <r>
    <s v="2025-02-17"/>
    <x v="2"/>
    <s v="Monday"/>
    <x v="3"/>
    <x v="2"/>
    <s v="Corporate"/>
    <s v="Online"/>
    <x v="3"/>
    <x v="2"/>
    <n v="300000"/>
    <n v="6"/>
    <x v="2"/>
    <n v="240000"/>
    <n v="1800000"/>
    <x v="5"/>
    <n v="360000"/>
    <n v="550"/>
  </r>
  <r>
    <s v="2025-02-13"/>
    <x v="2"/>
    <s v="Thursday"/>
    <x v="3"/>
    <x v="0"/>
    <s v="Retail"/>
    <s v="Store"/>
    <x v="5"/>
    <x v="0"/>
    <n v="320000"/>
    <n v="4"/>
    <x v="2"/>
    <n v="256000"/>
    <n v="1280000"/>
    <x v="6"/>
    <n v="256000"/>
    <n v="551"/>
  </r>
  <r>
    <s v="2025-02-18"/>
    <x v="2"/>
    <s v="Tuesday"/>
    <x v="2"/>
    <x v="1"/>
    <s v="Corporate"/>
    <s v="Online"/>
    <x v="1"/>
    <x v="1"/>
    <n v="30000"/>
    <n v="4"/>
    <x v="1"/>
    <n v="24000"/>
    <n v="120000"/>
    <x v="3"/>
    <n v="24000"/>
    <n v="552"/>
  </r>
  <r>
    <s v="2025-01-29"/>
    <x v="0"/>
    <s v="Wednesday"/>
    <x v="1"/>
    <x v="2"/>
    <s v="Corporate"/>
    <s v="Online"/>
    <x v="6"/>
    <x v="2"/>
    <n v="150000"/>
    <n v="8"/>
    <x v="5"/>
    <n v="120000"/>
    <n v="1200000"/>
    <x v="29"/>
    <n v="240000"/>
    <n v="553"/>
  </r>
  <r>
    <s v="2025-01-02"/>
    <x v="0"/>
    <s v="Thursday"/>
    <x v="2"/>
    <x v="1"/>
    <s v="Retail"/>
    <s v="Store"/>
    <x v="8"/>
    <x v="2"/>
    <n v="250000"/>
    <n v="8"/>
    <x v="4"/>
    <n v="200000"/>
    <n v="2000000"/>
    <x v="52"/>
    <n v="400000"/>
    <n v="554"/>
  </r>
  <r>
    <s v="2025-03-17"/>
    <x v="3"/>
    <s v="Monday"/>
    <x v="3"/>
    <x v="1"/>
    <s v="Corporate"/>
    <s v="Online"/>
    <x v="1"/>
    <x v="1"/>
    <n v="30000"/>
    <n v="4"/>
    <x v="5"/>
    <n v="24000"/>
    <n v="120000"/>
    <x v="3"/>
    <n v="24000"/>
    <n v="555"/>
  </r>
  <r>
    <s v="2025-01-29"/>
    <x v="0"/>
    <s v="Wednesday"/>
    <x v="2"/>
    <x v="0"/>
    <s v="Corporate"/>
    <s v="Online"/>
    <x v="7"/>
    <x v="2"/>
    <n v="420000"/>
    <n v="2"/>
    <x v="4"/>
    <n v="336000"/>
    <n v="840000"/>
    <x v="62"/>
    <n v="168000"/>
    <n v="556"/>
  </r>
  <r>
    <s v="2025-03-31"/>
    <x v="3"/>
    <s v="Monday"/>
    <x v="2"/>
    <x v="0"/>
    <s v="Corporate"/>
    <s v="Store"/>
    <x v="1"/>
    <x v="1"/>
    <n v="30000"/>
    <n v="6"/>
    <x v="4"/>
    <n v="24000"/>
    <n v="180000"/>
    <x v="32"/>
    <n v="36000"/>
    <n v="557"/>
  </r>
  <r>
    <s v="2025-03-25"/>
    <x v="3"/>
    <s v="Tuesday"/>
    <x v="3"/>
    <x v="3"/>
    <s v="Corporate"/>
    <s v="Online"/>
    <x v="9"/>
    <x v="1"/>
    <n v="220000"/>
    <n v="2"/>
    <x v="3"/>
    <n v="176000"/>
    <n v="440000"/>
    <x v="15"/>
    <n v="88000"/>
    <n v="558"/>
  </r>
  <r>
    <s v="2025-02-02"/>
    <x v="2"/>
    <s v="Sunday"/>
    <x v="2"/>
    <x v="0"/>
    <s v="Retail"/>
    <s v="Online"/>
    <x v="3"/>
    <x v="2"/>
    <n v="300000"/>
    <n v="4"/>
    <x v="3"/>
    <n v="240000"/>
    <n v="1200000"/>
    <x v="29"/>
    <n v="240000"/>
    <n v="559"/>
  </r>
  <r>
    <s v="2025-04-17"/>
    <x v="1"/>
    <s v="Thursday"/>
    <x v="2"/>
    <x v="0"/>
    <s v="Corporate"/>
    <s v="Online"/>
    <x v="7"/>
    <x v="2"/>
    <n v="420000"/>
    <n v="8"/>
    <x v="0"/>
    <n v="336000"/>
    <n v="3360000"/>
    <x v="19"/>
    <n v="672000"/>
    <n v="560"/>
  </r>
  <r>
    <s v="2025-03-03"/>
    <x v="3"/>
    <s v="Monday"/>
    <x v="1"/>
    <x v="0"/>
    <s v="Retail"/>
    <s v="Online"/>
    <x v="5"/>
    <x v="0"/>
    <n v="320000"/>
    <n v="4"/>
    <x v="3"/>
    <n v="256000"/>
    <n v="1280000"/>
    <x v="6"/>
    <n v="256000"/>
    <n v="561"/>
  </r>
  <r>
    <s v="2025-02-10"/>
    <x v="2"/>
    <s v="Monday"/>
    <x v="0"/>
    <x v="0"/>
    <s v="Corporate"/>
    <s v="Store"/>
    <x v="8"/>
    <x v="2"/>
    <n v="250000"/>
    <n v="8"/>
    <x v="1"/>
    <n v="200000"/>
    <n v="2000000"/>
    <x v="52"/>
    <n v="400000"/>
    <n v="562"/>
  </r>
  <r>
    <s v="2025-02-21"/>
    <x v="2"/>
    <s v="Friday"/>
    <x v="1"/>
    <x v="1"/>
    <s v="Retail"/>
    <s v="Store"/>
    <x v="5"/>
    <x v="0"/>
    <n v="320000"/>
    <n v="7"/>
    <x v="5"/>
    <n v="256000"/>
    <n v="2240000"/>
    <x v="10"/>
    <n v="448000"/>
    <n v="563"/>
  </r>
  <r>
    <s v="2025-02-26"/>
    <x v="2"/>
    <s v="Wednesday"/>
    <x v="0"/>
    <x v="1"/>
    <s v="Corporate"/>
    <s v="Store"/>
    <x v="3"/>
    <x v="2"/>
    <n v="300000"/>
    <n v="6"/>
    <x v="1"/>
    <n v="240000"/>
    <n v="1800000"/>
    <x v="5"/>
    <n v="360000"/>
    <n v="564"/>
  </r>
  <r>
    <s v="2025-01-28"/>
    <x v="0"/>
    <s v="Tuesday"/>
    <x v="3"/>
    <x v="3"/>
    <s v="Corporate"/>
    <s v="Store"/>
    <x v="4"/>
    <x v="1"/>
    <n v="180000"/>
    <n v="4"/>
    <x v="0"/>
    <n v="144000"/>
    <n v="720000"/>
    <x v="65"/>
    <n v="144000"/>
    <n v="565"/>
  </r>
  <r>
    <s v="2025-01-07"/>
    <x v="0"/>
    <s v="Tuesday"/>
    <x v="0"/>
    <x v="0"/>
    <s v="Corporate"/>
    <s v="Online"/>
    <x v="8"/>
    <x v="2"/>
    <n v="250000"/>
    <n v="6"/>
    <x v="3"/>
    <n v="200000"/>
    <n v="1500000"/>
    <x v="17"/>
    <n v="300000"/>
    <n v="566"/>
  </r>
  <r>
    <s v="2025-02-09"/>
    <x v="2"/>
    <s v="Sunday"/>
    <x v="0"/>
    <x v="2"/>
    <s v="Corporate"/>
    <s v="Online"/>
    <x v="8"/>
    <x v="2"/>
    <n v="250000"/>
    <n v="7"/>
    <x v="3"/>
    <n v="200000"/>
    <n v="1750000"/>
    <x v="59"/>
    <n v="350000"/>
    <n v="567"/>
  </r>
  <r>
    <s v="2025-03-07"/>
    <x v="3"/>
    <s v="Friday"/>
    <x v="1"/>
    <x v="1"/>
    <s v="Retail"/>
    <s v="Store"/>
    <x v="7"/>
    <x v="2"/>
    <n v="420000"/>
    <n v="2"/>
    <x v="0"/>
    <n v="336000"/>
    <n v="840000"/>
    <x v="62"/>
    <n v="168000"/>
    <n v="568"/>
  </r>
  <r>
    <s v="2025-04-09"/>
    <x v="1"/>
    <s v="Wednesday"/>
    <x v="2"/>
    <x v="1"/>
    <s v="Corporate"/>
    <s v="Online"/>
    <x v="6"/>
    <x v="2"/>
    <n v="150000"/>
    <n v="2"/>
    <x v="1"/>
    <n v="120000"/>
    <n v="300000"/>
    <x v="11"/>
    <n v="60000"/>
    <n v="569"/>
  </r>
  <r>
    <s v="2025-03-31"/>
    <x v="3"/>
    <s v="Monday"/>
    <x v="3"/>
    <x v="1"/>
    <s v="Retail"/>
    <s v="Online"/>
    <x v="9"/>
    <x v="1"/>
    <n v="220000"/>
    <n v="8"/>
    <x v="5"/>
    <n v="176000"/>
    <n v="1760000"/>
    <x v="42"/>
    <n v="352000"/>
    <n v="570"/>
  </r>
  <r>
    <s v="2025-02-14"/>
    <x v="2"/>
    <s v="Friday"/>
    <x v="1"/>
    <x v="0"/>
    <s v="Retail"/>
    <s v="Store"/>
    <x v="6"/>
    <x v="2"/>
    <n v="150000"/>
    <n v="2"/>
    <x v="2"/>
    <n v="120000"/>
    <n v="300000"/>
    <x v="11"/>
    <n v="60000"/>
    <n v="571"/>
  </r>
  <r>
    <s v="2025-03-22"/>
    <x v="3"/>
    <s v="Saturday"/>
    <x v="1"/>
    <x v="1"/>
    <s v="Corporate"/>
    <s v="Online"/>
    <x v="1"/>
    <x v="1"/>
    <n v="30000"/>
    <n v="1"/>
    <x v="3"/>
    <n v="24000"/>
    <n v="30000"/>
    <x v="75"/>
    <n v="6000"/>
    <n v="572"/>
  </r>
  <r>
    <s v="2025-04-25"/>
    <x v="1"/>
    <s v="Friday"/>
    <x v="1"/>
    <x v="0"/>
    <s v="Retail"/>
    <s v="Store"/>
    <x v="4"/>
    <x v="1"/>
    <n v="180000"/>
    <n v="5"/>
    <x v="0"/>
    <n v="144000"/>
    <n v="900000"/>
    <x v="48"/>
    <n v="180000"/>
    <n v="573"/>
  </r>
  <r>
    <s v="2025-04-26"/>
    <x v="1"/>
    <s v="Saturday"/>
    <x v="0"/>
    <x v="2"/>
    <s v="Corporate"/>
    <s v="Store"/>
    <x v="6"/>
    <x v="2"/>
    <n v="150000"/>
    <n v="9"/>
    <x v="4"/>
    <n v="120000"/>
    <n v="1350000"/>
    <x v="63"/>
    <n v="270000"/>
    <n v="574"/>
  </r>
  <r>
    <s v="2025-02-26"/>
    <x v="2"/>
    <s v="Wednesday"/>
    <x v="2"/>
    <x v="1"/>
    <s v="Corporate"/>
    <s v="Store"/>
    <x v="6"/>
    <x v="2"/>
    <n v="150000"/>
    <n v="5"/>
    <x v="4"/>
    <n v="120000"/>
    <n v="750000"/>
    <x v="56"/>
    <n v="150000"/>
    <n v="575"/>
  </r>
  <r>
    <s v="2025-04-02"/>
    <x v="1"/>
    <s v="Wednesday"/>
    <x v="2"/>
    <x v="0"/>
    <s v="Retail"/>
    <s v="Online"/>
    <x v="9"/>
    <x v="1"/>
    <n v="220000"/>
    <n v="4"/>
    <x v="5"/>
    <n v="176000"/>
    <n v="880000"/>
    <x v="22"/>
    <n v="176000"/>
    <n v="576"/>
  </r>
  <r>
    <s v="2025-01-29"/>
    <x v="0"/>
    <s v="Wednesday"/>
    <x v="0"/>
    <x v="2"/>
    <s v="Retail"/>
    <s v="Online"/>
    <x v="5"/>
    <x v="0"/>
    <n v="320000"/>
    <n v="4"/>
    <x v="0"/>
    <n v="256000"/>
    <n v="1280000"/>
    <x v="6"/>
    <n v="256000"/>
    <n v="577"/>
  </r>
  <r>
    <s v="2025-03-05"/>
    <x v="3"/>
    <s v="Wednesday"/>
    <x v="0"/>
    <x v="3"/>
    <s v="Corporate"/>
    <s v="Store"/>
    <x v="5"/>
    <x v="0"/>
    <n v="320000"/>
    <n v="8"/>
    <x v="0"/>
    <n v="256000"/>
    <n v="2560000"/>
    <x v="72"/>
    <n v="512000"/>
    <n v="578"/>
  </r>
  <r>
    <s v="2025-04-23"/>
    <x v="1"/>
    <s v="Wednesday"/>
    <x v="3"/>
    <x v="3"/>
    <s v="Retail"/>
    <s v="Online"/>
    <x v="2"/>
    <x v="1"/>
    <n v="60000"/>
    <n v="9"/>
    <x v="0"/>
    <n v="48000"/>
    <n v="540000"/>
    <x v="46"/>
    <n v="108000"/>
    <n v="579"/>
  </r>
  <r>
    <s v="2025-03-05"/>
    <x v="3"/>
    <s v="Wednesday"/>
    <x v="1"/>
    <x v="1"/>
    <s v="Retail"/>
    <s v="Store"/>
    <x v="3"/>
    <x v="2"/>
    <n v="300000"/>
    <n v="10"/>
    <x v="0"/>
    <n v="240000"/>
    <n v="3000000"/>
    <x v="68"/>
    <n v="600000"/>
    <n v="580"/>
  </r>
  <r>
    <s v="2025-03-22"/>
    <x v="3"/>
    <s v="Saturday"/>
    <x v="3"/>
    <x v="1"/>
    <s v="Corporate"/>
    <s v="Online"/>
    <x v="6"/>
    <x v="2"/>
    <n v="150000"/>
    <n v="6"/>
    <x v="3"/>
    <n v="120000"/>
    <n v="900000"/>
    <x v="48"/>
    <n v="180000"/>
    <n v="581"/>
  </r>
  <r>
    <s v="2025-05-01"/>
    <x v="4"/>
    <s v="Thursday"/>
    <x v="2"/>
    <x v="2"/>
    <s v="Corporate"/>
    <s v="Online"/>
    <x v="4"/>
    <x v="1"/>
    <n v="180000"/>
    <n v="8"/>
    <x v="4"/>
    <n v="144000"/>
    <n v="1440000"/>
    <x v="37"/>
    <n v="288000"/>
    <n v="582"/>
  </r>
  <r>
    <s v="2025-02-28"/>
    <x v="2"/>
    <s v="Friday"/>
    <x v="1"/>
    <x v="0"/>
    <s v="Retail"/>
    <s v="Online"/>
    <x v="2"/>
    <x v="1"/>
    <n v="60000"/>
    <n v="7"/>
    <x v="5"/>
    <n v="48000"/>
    <n v="420000"/>
    <x v="40"/>
    <n v="84000"/>
    <n v="583"/>
  </r>
  <r>
    <s v="2025-03-01"/>
    <x v="3"/>
    <s v="Saturday"/>
    <x v="1"/>
    <x v="1"/>
    <s v="Retail"/>
    <s v="Store"/>
    <x v="6"/>
    <x v="2"/>
    <n v="150000"/>
    <n v="9"/>
    <x v="0"/>
    <n v="120000"/>
    <n v="1350000"/>
    <x v="63"/>
    <n v="270000"/>
    <n v="584"/>
  </r>
  <r>
    <s v="2025-04-08"/>
    <x v="1"/>
    <s v="Tuesday"/>
    <x v="1"/>
    <x v="1"/>
    <s v="Retail"/>
    <s v="Store"/>
    <x v="4"/>
    <x v="1"/>
    <n v="180000"/>
    <n v="4"/>
    <x v="3"/>
    <n v="144000"/>
    <n v="720000"/>
    <x v="65"/>
    <n v="144000"/>
    <n v="585"/>
  </r>
  <r>
    <s v="2025-01-06"/>
    <x v="0"/>
    <s v="Monday"/>
    <x v="0"/>
    <x v="3"/>
    <s v="Retail"/>
    <s v="Store"/>
    <x v="4"/>
    <x v="1"/>
    <n v="180000"/>
    <n v="1"/>
    <x v="4"/>
    <n v="144000"/>
    <n v="180000"/>
    <x v="32"/>
    <n v="36000"/>
    <n v="586"/>
  </r>
  <r>
    <s v="2025-04-07"/>
    <x v="1"/>
    <s v="Monday"/>
    <x v="0"/>
    <x v="0"/>
    <s v="Retail"/>
    <s v="Online"/>
    <x v="2"/>
    <x v="1"/>
    <n v="60000"/>
    <n v="6"/>
    <x v="4"/>
    <n v="48000"/>
    <n v="360000"/>
    <x v="50"/>
    <n v="72000"/>
    <n v="587"/>
  </r>
  <r>
    <s v="2025-02-12"/>
    <x v="2"/>
    <s v="Wednesday"/>
    <x v="1"/>
    <x v="2"/>
    <s v="Corporate"/>
    <s v="Store"/>
    <x v="5"/>
    <x v="0"/>
    <n v="320000"/>
    <n v="8"/>
    <x v="3"/>
    <n v="256000"/>
    <n v="2560000"/>
    <x v="72"/>
    <n v="512000"/>
    <n v="588"/>
  </r>
  <r>
    <s v="2025-01-02"/>
    <x v="0"/>
    <s v="Thursday"/>
    <x v="1"/>
    <x v="2"/>
    <s v="Retail"/>
    <s v="Online"/>
    <x v="4"/>
    <x v="1"/>
    <n v="180000"/>
    <n v="6"/>
    <x v="4"/>
    <n v="144000"/>
    <n v="1080000"/>
    <x v="53"/>
    <n v="216000"/>
    <n v="589"/>
  </r>
  <r>
    <s v="2025-02-25"/>
    <x v="2"/>
    <s v="Tuesday"/>
    <x v="2"/>
    <x v="1"/>
    <s v="Corporate"/>
    <s v="Online"/>
    <x v="2"/>
    <x v="1"/>
    <n v="60000"/>
    <n v="8"/>
    <x v="1"/>
    <n v="48000"/>
    <n v="480000"/>
    <x v="47"/>
    <n v="96000"/>
    <n v="590"/>
  </r>
  <r>
    <s v="2025-04-13"/>
    <x v="1"/>
    <s v="Sunday"/>
    <x v="1"/>
    <x v="1"/>
    <s v="Corporate"/>
    <s v="Online"/>
    <x v="7"/>
    <x v="2"/>
    <n v="420000"/>
    <n v="3"/>
    <x v="0"/>
    <n v="336000"/>
    <n v="1260000"/>
    <x v="55"/>
    <n v="252000"/>
    <n v="591"/>
  </r>
  <r>
    <s v="2025-01-30"/>
    <x v="0"/>
    <s v="Thursday"/>
    <x v="2"/>
    <x v="2"/>
    <s v="Corporate"/>
    <s v="Online"/>
    <x v="9"/>
    <x v="1"/>
    <n v="220000"/>
    <n v="5"/>
    <x v="1"/>
    <n v="176000"/>
    <n v="1100000"/>
    <x v="51"/>
    <n v="220000"/>
    <n v="592"/>
  </r>
  <r>
    <s v="2025-03-28"/>
    <x v="3"/>
    <s v="Friday"/>
    <x v="0"/>
    <x v="3"/>
    <s v="Retail"/>
    <s v="Online"/>
    <x v="2"/>
    <x v="1"/>
    <n v="60000"/>
    <n v="6"/>
    <x v="0"/>
    <n v="48000"/>
    <n v="360000"/>
    <x v="50"/>
    <n v="72000"/>
    <n v="593"/>
  </r>
  <r>
    <s v="2025-04-03"/>
    <x v="1"/>
    <s v="Thursday"/>
    <x v="0"/>
    <x v="3"/>
    <s v="Retail"/>
    <s v="Store"/>
    <x v="2"/>
    <x v="1"/>
    <n v="60000"/>
    <n v="8"/>
    <x v="5"/>
    <n v="48000"/>
    <n v="480000"/>
    <x v="47"/>
    <n v="96000"/>
    <n v="594"/>
  </r>
  <r>
    <s v="2025-01-01"/>
    <x v="0"/>
    <s v="Wednesday"/>
    <x v="0"/>
    <x v="1"/>
    <s v="Corporate"/>
    <s v="Online"/>
    <x v="1"/>
    <x v="1"/>
    <n v="30000"/>
    <n v="2"/>
    <x v="0"/>
    <n v="24000"/>
    <n v="60000"/>
    <x v="41"/>
    <n v="12000"/>
    <n v="595"/>
  </r>
  <r>
    <s v="2025-03-01"/>
    <x v="3"/>
    <s v="Saturday"/>
    <x v="1"/>
    <x v="0"/>
    <s v="Corporate"/>
    <s v="Store"/>
    <x v="3"/>
    <x v="2"/>
    <n v="300000"/>
    <n v="3"/>
    <x v="3"/>
    <n v="240000"/>
    <n v="900000"/>
    <x v="48"/>
    <n v="180000"/>
    <n v="596"/>
  </r>
  <r>
    <s v="2025-01-17"/>
    <x v="0"/>
    <s v="Friday"/>
    <x v="3"/>
    <x v="1"/>
    <s v="Corporate"/>
    <s v="Store"/>
    <x v="8"/>
    <x v="2"/>
    <n v="250000"/>
    <n v="3"/>
    <x v="1"/>
    <n v="200000"/>
    <n v="750000"/>
    <x v="56"/>
    <n v="150000"/>
    <n v="597"/>
  </r>
  <r>
    <s v="2025-04-21"/>
    <x v="1"/>
    <s v="Monday"/>
    <x v="3"/>
    <x v="1"/>
    <s v="Corporate"/>
    <s v="Store"/>
    <x v="7"/>
    <x v="2"/>
    <n v="420000"/>
    <n v="1"/>
    <x v="1"/>
    <n v="336000"/>
    <n v="420000"/>
    <x v="40"/>
    <n v="84000"/>
    <n v="598"/>
  </r>
  <r>
    <s v="2025-04-06"/>
    <x v="1"/>
    <s v="Sunday"/>
    <x v="2"/>
    <x v="0"/>
    <s v="Corporate"/>
    <s v="Store"/>
    <x v="1"/>
    <x v="1"/>
    <n v="30000"/>
    <n v="1"/>
    <x v="3"/>
    <n v="24000"/>
    <n v="30000"/>
    <x v="75"/>
    <n v="6000"/>
    <n v="599"/>
  </r>
  <r>
    <s v="2025-01-07"/>
    <x v="0"/>
    <s v="Tuesday"/>
    <x v="2"/>
    <x v="2"/>
    <s v="Retail"/>
    <s v="Online"/>
    <x v="1"/>
    <x v="1"/>
    <n v="30000"/>
    <n v="8"/>
    <x v="4"/>
    <n v="24000"/>
    <n v="240000"/>
    <x v="1"/>
    <n v="48000"/>
    <n v="600"/>
  </r>
  <r>
    <s v="2025-04-01"/>
    <x v="1"/>
    <s v="Tuesday"/>
    <x v="3"/>
    <x v="0"/>
    <s v="Corporate"/>
    <s v="Online"/>
    <x v="8"/>
    <x v="2"/>
    <n v="250000"/>
    <n v="10"/>
    <x v="4"/>
    <n v="200000"/>
    <n v="2500000"/>
    <x v="66"/>
    <n v="500000"/>
    <n v="601"/>
  </r>
  <r>
    <s v="2025-04-21"/>
    <x v="1"/>
    <s v="Monday"/>
    <x v="3"/>
    <x v="2"/>
    <s v="Corporate"/>
    <s v="Store"/>
    <x v="6"/>
    <x v="2"/>
    <n v="150000"/>
    <n v="10"/>
    <x v="1"/>
    <n v="120000"/>
    <n v="1500000"/>
    <x v="17"/>
    <n v="300000"/>
    <n v="602"/>
  </r>
  <r>
    <s v="2025-03-23"/>
    <x v="3"/>
    <s v="Sunday"/>
    <x v="1"/>
    <x v="3"/>
    <s v="Retail"/>
    <s v="Store"/>
    <x v="8"/>
    <x v="2"/>
    <n v="250000"/>
    <n v="8"/>
    <x v="0"/>
    <n v="200000"/>
    <n v="2000000"/>
    <x v="52"/>
    <n v="400000"/>
    <n v="603"/>
  </r>
  <r>
    <s v="2025-04-26"/>
    <x v="1"/>
    <s v="Saturday"/>
    <x v="3"/>
    <x v="2"/>
    <s v="Retail"/>
    <s v="Store"/>
    <x v="8"/>
    <x v="2"/>
    <n v="250000"/>
    <n v="9"/>
    <x v="5"/>
    <n v="200000"/>
    <n v="2250000"/>
    <x v="71"/>
    <n v="450000"/>
    <n v="604"/>
  </r>
  <r>
    <s v="2025-04-15"/>
    <x v="1"/>
    <s v="Tuesday"/>
    <x v="3"/>
    <x v="3"/>
    <s v="Retail"/>
    <s v="Store"/>
    <x v="7"/>
    <x v="2"/>
    <n v="420000"/>
    <n v="10"/>
    <x v="2"/>
    <n v="336000"/>
    <n v="4200000"/>
    <x v="20"/>
    <n v="840000"/>
    <n v="605"/>
  </r>
  <r>
    <s v="2025-02-24"/>
    <x v="2"/>
    <s v="Monday"/>
    <x v="0"/>
    <x v="1"/>
    <s v="Corporate"/>
    <s v="Online"/>
    <x v="0"/>
    <x v="0"/>
    <n v="85000"/>
    <n v="4"/>
    <x v="1"/>
    <n v="68000"/>
    <n v="340000"/>
    <x v="74"/>
    <n v="68000"/>
    <n v="606"/>
  </r>
  <r>
    <s v="2025-01-30"/>
    <x v="0"/>
    <s v="Thursday"/>
    <x v="1"/>
    <x v="1"/>
    <s v="Retail"/>
    <s v="Online"/>
    <x v="4"/>
    <x v="1"/>
    <n v="180000"/>
    <n v="1"/>
    <x v="5"/>
    <n v="144000"/>
    <n v="180000"/>
    <x v="32"/>
    <n v="36000"/>
    <n v="607"/>
  </r>
  <r>
    <s v="2025-01-05"/>
    <x v="0"/>
    <s v="Sunday"/>
    <x v="2"/>
    <x v="1"/>
    <s v="Retail"/>
    <s v="Store"/>
    <x v="4"/>
    <x v="1"/>
    <n v="180000"/>
    <n v="9"/>
    <x v="3"/>
    <n v="144000"/>
    <n v="1620000"/>
    <x v="27"/>
    <n v="324000"/>
    <n v="608"/>
  </r>
  <r>
    <s v="2025-02-22"/>
    <x v="2"/>
    <s v="Saturday"/>
    <x v="1"/>
    <x v="2"/>
    <s v="Corporate"/>
    <s v="Store"/>
    <x v="6"/>
    <x v="2"/>
    <n v="150000"/>
    <n v="10"/>
    <x v="2"/>
    <n v="120000"/>
    <n v="1500000"/>
    <x v="17"/>
    <n v="300000"/>
    <n v="609"/>
  </r>
  <r>
    <s v="2025-04-01"/>
    <x v="1"/>
    <s v="Tuesday"/>
    <x v="1"/>
    <x v="3"/>
    <s v="Corporate"/>
    <s v="Store"/>
    <x v="3"/>
    <x v="2"/>
    <n v="300000"/>
    <n v="1"/>
    <x v="2"/>
    <n v="240000"/>
    <n v="300000"/>
    <x v="11"/>
    <n v="60000"/>
    <n v="610"/>
  </r>
  <r>
    <s v="2025-04-03"/>
    <x v="1"/>
    <s v="Thursday"/>
    <x v="2"/>
    <x v="3"/>
    <s v="Retail"/>
    <s v="Online"/>
    <x v="6"/>
    <x v="2"/>
    <n v="150000"/>
    <n v="8"/>
    <x v="0"/>
    <n v="120000"/>
    <n v="1200000"/>
    <x v="29"/>
    <n v="240000"/>
    <n v="611"/>
  </r>
  <r>
    <s v="2025-03-24"/>
    <x v="3"/>
    <s v="Monday"/>
    <x v="0"/>
    <x v="3"/>
    <s v="Retail"/>
    <s v="Store"/>
    <x v="6"/>
    <x v="2"/>
    <n v="150000"/>
    <n v="3"/>
    <x v="3"/>
    <n v="120000"/>
    <n v="450000"/>
    <x v="34"/>
    <n v="90000"/>
    <n v="612"/>
  </r>
  <r>
    <s v="2025-03-21"/>
    <x v="3"/>
    <s v="Friday"/>
    <x v="3"/>
    <x v="3"/>
    <s v="Retail"/>
    <s v="Store"/>
    <x v="5"/>
    <x v="0"/>
    <n v="320000"/>
    <n v="3"/>
    <x v="0"/>
    <n v="256000"/>
    <n v="960000"/>
    <x v="9"/>
    <n v="192000"/>
    <n v="613"/>
  </r>
  <r>
    <s v="2025-04-16"/>
    <x v="1"/>
    <s v="Wednesday"/>
    <x v="2"/>
    <x v="2"/>
    <s v="Retail"/>
    <s v="Online"/>
    <x v="4"/>
    <x v="1"/>
    <n v="180000"/>
    <n v="8"/>
    <x v="0"/>
    <n v="144000"/>
    <n v="1440000"/>
    <x v="37"/>
    <n v="288000"/>
    <n v="614"/>
  </r>
  <r>
    <s v="2025-02-01"/>
    <x v="2"/>
    <s v="Saturday"/>
    <x v="2"/>
    <x v="2"/>
    <s v="Retail"/>
    <s v="Store"/>
    <x v="4"/>
    <x v="1"/>
    <n v="180000"/>
    <n v="1"/>
    <x v="1"/>
    <n v="144000"/>
    <n v="180000"/>
    <x v="32"/>
    <n v="36000"/>
    <n v="615"/>
  </r>
  <r>
    <s v="2025-02-15"/>
    <x v="2"/>
    <s v="Saturday"/>
    <x v="0"/>
    <x v="1"/>
    <s v="Retail"/>
    <s v="Store"/>
    <x v="2"/>
    <x v="1"/>
    <n v="60000"/>
    <n v="7"/>
    <x v="4"/>
    <n v="48000"/>
    <n v="420000"/>
    <x v="40"/>
    <n v="84000"/>
    <n v="616"/>
  </r>
  <r>
    <s v="2025-04-04"/>
    <x v="1"/>
    <s v="Friday"/>
    <x v="1"/>
    <x v="2"/>
    <s v="Corporate"/>
    <s v="Store"/>
    <x v="5"/>
    <x v="0"/>
    <n v="320000"/>
    <n v="7"/>
    <x v="1"/>
    <n v="256000"/>
    <n v="2240000"/>
    <x v="10"/>
    <n v="448000"/>
    <n v="617"/>
  </r>
  <r>
    <s v="2025-04-22"/>
    <x v="1"/>
    <s v="Tuesday"/>
    <x v="2"/>
    <x v="1"/>
    <s v="Corporate"/>
    <s v="Online"/>
    <x v="0"/>
    <x v="0"/>
    <n v="85000"/>
    <n v="9"/>
    <x v="1"/>
    <n v="68000"/>
    <n v="765000"/>
    <x v="18"/>
    <n v="153000"/>
    <n v="618"/>
  </r>
  <r>
    <s v="2025-04-28"/>
    <x v="1"/>
    <s v="Monday"/>
    <x v="0"/>
    <x v="1"/>
    <s v="Retail"/>
    <s v="Online"/>
    <x v="5"/>
    <x v="0"/>
    <n v="320000"/>
    <n v="3"/>
    <x v="4"/>
    <n v="256000"/>
    <n v="960000"/>
    <x v="9"/>
    <n v="192000"/>
    <n v="619"/>
  </r>
  <r>
    <s v="2025-01-01"/>
    <x v="0"/>
    <s v="Wednesday"/>
    <x v="2"/>
    <x v="3"/>
    <s v="Retail"/>
    <s v="Online"/>
    <x v="9"/>
    <x v="1"/>
    <n v="220000"/>
    <n v="4"/>
    <x v="4"/>
    <n v="176000"/>
    <n v="880000"/>
    <x v="22"/>
    <n v="176000"/>
    <n v="620"/>
  </r>
  <r>
    <s v="2025-02-20"/>
    <x v="2"/>
    <s v="Thursday"/>
    <x v="1"/>
    <x v="2"/>
    <s v="Corporate"/>
    <s v="Online"/>
    <x v="5"/>
    <x v="0"/>
    <n v="320000"/>
    <n v="7"/>
    <x v="3"/>
    <n v="256000"/>
    <n v="2240000"/>
    <x v="10"/>
    <n v="448000"/>
    <n v="621"/>
  </r>
  <r>
    <s v="2025-04-22"/>
    <x v="1"/>
    <s v="Tuesday"/>
    <x v="1"/>
    <x v="0"/>
    <s v="Corporate"/>
    <s v="Online"/>
    <x v="8"/>
    <x v="2"/>
    <n v="250000"/>
    <n v="1"/>
    <x v="2"/>
    <n v="200000"/>
    <n v="250000"/>
    <x v="44"/>
    <n v="50000"/>
    <n v="622"/>
  </r>
  <r>
    <s v="2025-01-20"/>
    <x v="0"/>
    <s v="Monday"/>
    <x v="1"/>
    <x v="2"/>
    <s v="Retail"/>
    <s v="Store"/>
    <x v="1"/>
    <x v="1"/>
    <n v="30000"/>
    <n v="5"/>
    <x v="2"/>
    <n v="24000"/>
    <n v="150000"/>
    <x v="26"/>
    <n v="30000"/>
    <n v="623"/>
  </r>
  <r>
    <s v="2025-03-10"/>
    <x v="3"/>
    <s v="Monday"/>
    <x v="2"/>
    <x v="2"/>
    <s v="Corporate"/>
    <s v="Online"/>
    <x v="9"/>
    <x v="1"/>
    <n v="220000"/>
    <n v="5"/>
    <x v="1"/>
    <n v="176000"/>
    <n v="1100000"/>
    <x v="51"/>
    <n v="220000"/>
    <n v="624"/>
  </r>
  <r>
    <s v="2025-03-18"/>
    <x v="3"/>
    <s v="Tuesday"/>
    <x v="3"/>
    <x v="2"/>
    <s v="Corporate"/>
    <s v="Store"/>
    <x v="8"/>
    <x v="2"/>
    <n v="250000"/>
    <n v="4"/>
    <x v="3"/>
    <n v="200000"/>
    <n v="1000000"/>
    <x v="14"/>
    <n v="200000"/>
    <n v="625"/>
  </r>
  <r>
    <s v="2025-01-08"/>
    <x v="0"/>
    <s v="Wednesday"/>
    <x v="3"/>
    <x v="0"/>
    <s v="Retail"/>
    <s v="Store"/>
    <x v="4"/>
    <x v="1"/>
    <n v="180000"/>
    <n v="4"/>
    <x v="0"/>
    <n v="144000"/>
    <n v="720000"/>
    <x v="65"/>
    <n v="144000"/>
    <n v="626"/>
  </r>
  <r>
    <s v="2025-04-20"/>
    <x v="1"/>
    <s v="Sunday"/>
    <x v="2"/>
    <x v="0"/>
    <s v="Corporate"/>
    <s v="Store"/>
    <x v="2"/>
    <x v="1"/>
    <n v="60000"/>
    <n v="10"/>
    <x v="1"/>
    <n v="48000"/>
    <n v="600000"/>
    <x v="4"/>
    <n v="120000"/>
    <n v="627"/>
  </r>
  <r>
    <s v="2025-02-05"/>
    <x v="2"/>
    <s v="Wednesday"/>
    <x v="1"/>
    <x v="2"/>
    <s v="Retail"/>
    <s v="Online"/>
    <x v="5"/>
    <x v="0"/>
    <n v="320000"/>
    <n v="10"/>
    <x v="0"/>
    <n v="256000"/>
    <n v="3200000"/>
    <x v="35"/>
    <n v="640000"/>
    <n v="628"/>
  </r>
  <r>
    <s v="2025-01-21"/>
    <x v="0"/>
    <s v="Tuesday"/>
    <x v="1"/>
    <x v="2"/>
    <s v="Retail"/>
    <s v="Store"/>
    <x v="6"/>
    <x v="2"/>
    <n v="150000"/>
    <n v="4"/>
    <x v="2"/>
    <n v="120000"/>
    <n v="600000"/>
    <x v="4"/>
    <n v="120000"/>
    <n v="629"/>
  </r>
  <r>
    <s v="2025-02-15"/>
    <x v="2"/>
    <s v="Saturday"/>
    <x v="0"/>
    <x v="0"/>
    <s v="Corporate"/>
    <s v="Store"/>
    <x v="5"/>
    <x v="0"/>
    <n v="320000"/>
    <n v="4"/>
    <x v="0"/>
    <n v="256000"/>
    <n v="1280000"/>
    <x v="6"/>
    <n v="256000"/>
    <n v="630"/>
  </r>
  <r>
    <s v="2025-02-16"/>
    <x v="2"/>
    <s v="Sunday"/>
    <x v="2"/>
    <x v="1"/>
    <s v="Corporate"/>
    <s v="Online"/>
    <x v="3"/>
    <x v="2"/>
    <n v="300000"/>
    <n v="7"/>
    <x v="4"/>
    <n v="240000"/>
    <n v="2100000"/>
    <x v="13"/>
    <n v="420000"/>
    <n v="631"/>
  </r>
  <r>
    <s v="2025-02-20"/>
    <x v="2"/>
    <s v="Thursday"/>
    <x v="3"/>
    <x v="0"/>
    <s v="Corporate"/>
    <s v="Store"/>
    <x v="6"/>
    <x v="2"/>
    <n v="150000"/>
    <n v="10"/>
    <x v="0"/>
    <n v="120000"/>
    <n v="1500000"/>
    <x v="17"/>
    <n v="300000"/>
    <n v="632"/>
  </r>
  <r>
    <s v="2025-03-24"/>
    <x v="3"/>
    <s v="Monday"/>
    <x v="2"/>
    <x v="1"/>
    <s v="Corporate"/>
    <s v="Online"/>
    <x v="9"/>
    <x v="1"/>
    <n v="220000"/>
    <n v="9"/>
    <x v="0"/>
    <n v="176000"/>
    <n v="1980000"/>
    <x v="64"/>
    <n v="396000"/>
    <n v="633"/>
  </r>
  <r>
    <s v="2025-02-13"/>
    <x v="2"/>
    <s v="Thursday"/>
    <x v="0"/>
    <x v="3"/>
    <s v="Corporate"/>
    <s v="Store"/>
    <x v="0"/>
    <x v="0"/>
    <n v="85000"/>
    <n v="4"/>
    <x v="2"/>
    <n v="68000"/>
    <n v="340000"/>
    <x v="74"/>
    <n v="68000"/>
    <n v="634"/>
  </r>
  <r>
    <s v="2025-01-15"/>
    <x v="0"/>
    <s v="Wednesday"/>
    <x v="2"/>
    <x v="2"/>
    <s v="Corporate"/>
    <s v="Online"/>
    <x v="5"/>
    <x v="0"/>
    <n v="320000"/>
    <n v="1"/>
    <x v="5"/>
    <n v="256000"/>
    <n v="320000"/>
    <x v="7"/>
    <n v="64000"/>
    <n v="635"/>
  </r>
  <r>
    <s v="2025-01-20"/>
    <x v="0"/>
    <s v="Monday"/>
    <x v="1"/>
    <x v="3"/>
    <s v="Corporate"/>
    <s v="Store"/>
    <x v="7"/>
    <x v="2"/>
    <n v="420000"/>
    <n v="1"/>
    <x v="3"/>
    <n v="336000"/>
    <n v="420000"/>
    <x v="40"/>
    <n v="84000"/>
    <n v="636"/>
  </r>
  <r>
    <s v="2025-04-29"/>
    <x v="1"/>
    <s v="Tuesday"/>
    <x v="2"/>
    <x v="2"/>
    <s v="Corporate"/>
    <s v="Store"/>
    <x v="7"/>
    <x v="2"/>
    <n v="420000"/>
    <n v="6"/>
    <x v="1"/>
    <n v="336000"/>
    <n v="2520000"/>
    <x v="76"/>
    <n v="504000"/>
    <n v="637"/>
  </r>
  <r>
    <s v="2025-02-01"/>
    <x v="2"/>
    <s v="Saturday"/>
    <x v="3"/>
    <x v="1"/>
    <s v="Corporate"/>
    <s v="Online"/>
    <x v="2"/>
    <x v="1"/>
    <n v="60000"/>
    <n v="8"/>
    <x v="4"/>
    <n v="48000"/>
    <n v="480000"/>
    <x v="47"/>
    <n v="96000"/>
    <n v="638"/>
  </r>
  <r>
    <s v="2025-01-27"/>
    <x v="0"/>
    <s v="Monday"/>
    <x v="1"/>
    <x v="0"/>
    <s v="Corporate"/>
    <s v="Store"/>
    <x v="9"/>
    <x v="1"/>
    <n v="220000"/>
    <n v="7"/>
    <x v="0"/>
    <n v="176000"/>
    <n v="1540000"/>
    <x v="67"/>
    <n v="308000"/>
    <n v="639"/>
  </r>
  <r>
    <s v="2025-04-04"/>
    <x v="1"/>
    <s v="Friday"/>
    <x v="2"/>
    <x v="0"/>
    <s v="Corporate"/>
    <s v="Online"/>
    <x v="5"/>
    <x v="0"/>
    <n v="320000"/>
    <n v="9"/>
    <x v="3"/>
    <n v="256000"/>
    <n v="2880000"/>
    <x v="8"/>
    <n v="576000"/>
    <n v="640"/>
  </r>
  <r>
    <s v="2025-02-08"/>
    <x v="2"/>
    <s v="Saturday"/>
    <x v="0"/>
    <x v="3"/>
    <s v="Corporate"/>
    <s v="Store"/>
    <x v="3"/>
    <x v="2"/>
    <n v="300000"/>
    <n v="2"/>
    <x v="4"/>
    <n v="240000"/>
    <n v="600000"/>
    <x v="4"/>
    <n v="120000"/>
    <n v="641"/>
  </r>
  <r>
    <s v="2025-04-26"/>
    <x v="1"/>
    <s v="Saturday"/>
    <x v="2"/>
    <x v="0"/>
    <s v="Corporate"/>
    <s v="Online"/>
    <x v="8"/>
    <x v="2"/>
    <n v="250000"/>
    <n v="4"/>
    <x v="4"/>
    <n v="200000"/>
    <n v="1000000"/>
    <x v="14"/>
    <n v="200000"/>
    <n v="642"/>
  </r>
  <r>
    <s v="2025-02-13"/>
    <x v="2"/>
    <s v="Thursday"/>
    <x v="3"/>
    <x v="1"/>
    <s v="Retail"/>
    <s v="Online"/>
    <x v="1"/>
    <x v="1"/>
    <n v="30000"/>
    <n v="4"/>
    <x v="4"/>
    <n v="24000"/>
    <n v="120000"/>
    <x v="3"/>
    <n v="24000"/>
    <n v="643"/>
  </r>
  <r>
    <s v="2025-02-02"/>
    <x v="2"/>
    <s v="Sunday"/>
    <x v="0"/>
    <x v="1"/>
    <s v="Retail"/>
    <s v="Store"/>
    <x v="9"/>
    <x v="1"/>
    <n v="220000"/>
    <n v="4"/>
    <x v="0"/>
    <n v="176000"/>
    <n v="880000"/>
    <x v="22"/>
    <n v="176000"/>
    <n v="644"/>
  </r>
  <r>
    <s v="2025-03-08"/>
    <x v="3"/>
    <s v="Saturday"/>
    <x v="3"/>
    <x v="3"/>
    <s v="Retail"/>
    <s v="Store"/>
    <x v="3"/>
    <x v="2"/>
    <n v="300000"/>
    <n v="2"/>
    <x v="4"/>
    <n v="240000"/>
    <n v="600000"/>
    <x v="4"/>
    <n v="120000"/>
    <n v="645"/>
  </r>
  <r>
    <s v="2025-03-19"/>
    <x v="3"/>
    <s v="Wednesday"/>
    <x v="2"/>
    <x v="1"/>
    <s v="Retail"/>
    <s v="Online"/>
    <x v="5"/>
    <x v="0"/>
    <n v="320000"/>
    <n v="7"/>
    <x v="1"/>
    <n v="256000"/>
    <n v="2240000"/>
    <x v="10"/>
    <n v="448000"/>
    <n v="646"/>
  </r>
  <r>
    <s v="2025-03-29"/>
    <x v="3"/>
    <s v="Saturday"/>
    <x v="1"/>
    <x v="3"/>
    <s v="Corporate"/>
    <s v="Online"/>
    <x v="2"/>
    <x v="1"/>
    <n v="60000"/>
    <n v="5"/>
    <x v="2"/>
    <n v="48000"/>
    <n v="300000"/>
    <x v="11"/>
    <n v="60000"/>
    <n v="647"/>
  </r>
  <r>
    <s v="2025-02-09"/>
    <x v="2"/>
    <s v="Sunday"/>
    <x v="2"/>
    <x v="2"/>
    <s v="Retail"/>
    <s v="Online"/>
    <x v="0"/>
    <x v="0"/>
    <n v="85000"/>
    <n v="7"/>
    <x v="3"/>
    <n v="68000"/>
    <n v="595000"/>
    <x v="30"/>
    <n v="119000"/>
    <n v="648"/>
  </r>
  <r>
    <s v="2025-03-19"/>
    <x v="3"/>
    <s v="Wednesday"/>
    <x v="0"/>
    <x v="1"/>
    <s v="Retail"/>
    <s v="Store"/>
    <x v="3"/>
    <x v="2"/>
    <n v="300000"/>
    <n v="6"/>
    <x v="5"/>
    <n v="240000"/>
    <n v="1800000"/>
    <x v="5"/>
    <n v="360000"/>
    <n v="649"/>
  </r>
  <r>
    <s v="2025-03-28"/>
    <x v="3"/>
    <s v="Friday"/>
    <x v="1"/>
    <x v="2"/>
    <s v="Corporate"/>
    <s v="Online"/>
    <x v="4"/>
    <x v="1"/>
    <n v="180000"/>
    <n v="5"/>
    <x v="2"/>
    <n v="144000"/>
    <n v="900000"/>
    <x v="48"/>
    <n v="180000"/>
    <n v="650"/>
  </r>
  <r>
    <s v="2025-04-02"/>
    <x v="1"/>
    <s v="Wednesday"/>
    <x v="1"/>
    <x v="1"/>
    <s v="Corporate"/>
    <s v="Store"/>
    <x v="3"/>
    <x v="2"/>
    <n v="300000"/>
    <n v="1"/>
    <x v="4"/>
    <n v="240000"/>
    <n v="300000"/>
    <x v="11"/>
    <n v="60000"/>
    <n v="651"/>
  </r>
  <r>
    <s v="2025-03-26"/>
    <x v="3"/>
    <s v="Wednesday"/>
    <x v="0"/>
    <x v="0"/>
    <s v="Retail"/>
    <s v="Store"/>
    <x v="2"/>
    <x v="1"/>
    <n v="60000"/>
    <n v="7"/>
    <x v="1"/>
    <n v="48000"/>
    <n v="420000"/>
    <x v="40"/>
    <n v="84000"/>
    <n v="652"/>
  </r>
  <r>
    <s v="2025-01-05"/>
    <x v="0"/>
    <s v="Sunday"/>
    <x v="2"/>
    <x v="2"/>
    <s v="Retail"/>
    <s v="Online"/>
    <x v="1"/>
    <x v="1"/>
    <n v="30000"/>
    <n v="8"/>
    <x v="2"/>
    <n v="24000"/>
    <n v="240000"/>
    <x v="1"/>
    <n v="48000"/>
    <n v="653"/>
  </r>
  <r>
    <s v="2025-04-01"/>
    <x v="1"/>
    <s v="Tuesday"/>
    <x v="0"/>
    <x v="1"/>
    <s v="Corporate"/>
    <s v="Online"/>
    <x v="9"/>
    <x v="1"/>
    <n v="220000"/>
    <n v="3"/>
    <x v="3"/>
    <n v="176000"/>
    <n v="660000"/>
    <x v="49"/>
    <n v="132000"/>
    <n v="654"/>
  </r>
  <r>
    <s v="2025-04-06"/>
    <x v="1"/>
    <s v="Sunday"/>
    <x v="2"/>
    <x v="1"/>
    <s v="Corporate"/>
    <s v="Online"/>
    <x v="9"/>
    <x v="1"/>
    <n v="220000"/>
    <n v="7"/>
    <x v="3"/>
    <n v="176000"/>
    <n v="1540000"/>
    <x v="67"/>
    <n v="308000"/>
    <n v="655"/>
  </r>
  <r>
    <s v="2025-03-04"/>
    <x v="3"/>
    <s v="Tuesday"/>
    <x v="3"/>
    <x v="0"/>
    <s v="Retail"/>
    <s v="Store"/>
    <x v="4"/>
    <x v="1"/>
    <n v="180000"/>
    <n v="2"/>
    <x v="1"/>
    <n v="144000"/>
    <n v="360000"/>
    <x v="50"/>
    <n v="72000"/>
    <n v="656"/>
  </r>
  <r>
    <s v="2025-03-09"/>
    <x v="3"/>
    <s v="Sunday"/>
    <x v="0"/>
    <x v="2"/>
    <s v="Retail"/>
    <s v="Store"/>
    <x v="2"/>
    <x v="1"/>
    <n v="60000"/>
    <n v="8"/>
    <x v="4"/>
    <n v="48000"/>
    <n v="480000"/>
    <x v="47"/>
    <n v="96000"/>
    <n v="657"/>
  </r>
  <r>
    <s v="2025-01-01"/>
    <x v="0"/>
    <s v="Wednesday"/>
    <x v="3"/>
    <x v="1"/>
    <s v="Retail"/>
    <s v="Online"/>
    <x v="1"/>
    <x v="1"/>
    <n v="30000"/>
    <n v="2"/>
    <x v="3"/>
    <n v="24000"/>
    <n v="60000"/>
    <x v="41"/>
    <n v="12000"/>
    <n v="658"/>
  </r>
  <r>
    <s v="2025-01-26"/>
    <x v="0"/>
    <s v="Sunday"/>
    <x v="3"/>
    <x v="1"/>
    <s v="Corporate"/>
    <s v="Online"/>
    <x v="6"/>
    <x v="2"/>
    <n v="150000"/>
    <n v="5"/>
    <x v="3"/>
    <n v="120000"/>
    <n v="750000"/>
    <x v="56"/>
    <n v="150000"/>
    <n v="659"/>
  </r>
  <r>
    <s v="2025-03-20"/>
    <x v="3"/>
    <s v="Thursday"/>
    <x v="0"/>
    <x v="1"/>
    <s v="Corporate"/>
    <s v="Store"/>
    <x v="8"/>
    <x v="2"/>
    <n v="250000"/>
    <n v="5"/>
    <x v="3"/>
    <n v="200000"/>
    <n v="1250000"/>
    <x v="21"/>
    <n v="250000"/>
    <n v="660"/>
  </r>
  <r>
    <s v="2025-02-27"/>
    <x v="2"/>
    <s v="Thursday"/>
    <x v="2"/>
    <x v="0"/>
    <s v="Corporate"/>
    <s v="Online"/>
    <x v="0"/>
    <x v="0"/>
    <n v="85000"/>
    <n v="4"/>
    <x v="1"/>
    <n v="68000"/>
    <n v="340000"/>
    <x v="74"/>
    <n v="68000"/>
    <n v="661"/>
  </r>
  <r>
    <s v="2025-03-10"/>
    <x v="3"/>
    <s v="Monday"/>
    <x v="0"/>
    <x v="2"/>
    <s v="Retail"/>
    <s v="Store"/>
    <x v="3"/>
    <x v="2"/>
    <n v="300000"/>
    <n v="10"/>
    <x v="1"/>
    <n v="240000"/>
    <n v="3000000"/>
    <x v="68"/>
    <n v="600000"/>
    <n v="662"/>
  </r>
  <r>
    <s v="2025-03-11"/>
    <x v="3"/>
    <s v="Tuesday"/>
    <x v="2"/>
    <x v="0"/>
    <s v="Corporate"/>
    <s v="Online"/>
    <x v="8"/>
    <x v="2"/>
    <n v="250000"/>
    <n v="8"/>
    <x v="5"/>
    <n v="200000"/>
    <n v="2000000"/>
    <x v="52"/>
    <n v="400000"/>
    <n v="663"/>
  </r>
  <r>
    <s v="2025-04-22"/>
    <x v="1"/>
    <s v="Tuesday"/>
    <x v="0"/>
    <x v="1"/>
    <s v="Retail"/>
    <s v="Store"/>
    <x v="5"/>
    <x v="0"/>
    <n v="320000"/>
    <n v="4"/>
    <x v="5"/>
    <n v="256000"/>
    <n v="1280000"/>
    <x v="6"/>
    <n v="256000"/>
    <n v="664"/>
  </r>
  <r>
    <s v="2025-04-01"/>
    <x v="1"/>
    <s v="Tuesday"/>
    <x v="3"/>
    <x v="1"/>
    <s v="Corporate"/>
    <s v="Store"/>
    <x v="1"/>
    <x v="1"/>
    <n v="30000"/>
    <n v="10"/>
    <x v="2"/>
    <n v="24000"/>
    <n v="300000"/>
    <x v="11"/>
    <n v="60000"/>
    <n v="665"/>
  </r>
  <r>
    <s v="2025-04-16"/>
    <x v="1"/>
    <s v="Wednesday"/>
    <x v="3"/>
    <x v="0"/>
    <s v="Corporate"/>
    <s v="Online"/>
    <x v="8"/>
    <x v="2"/>
    <n v="250000"/>
    <n v="4"/>
    <x v="4"/>
    <n v="200000"/>
    <n v="1000000"/>
    <x v="14"/>
    <n v="200000"/>
    <n v="666"/>
  </r>
  <r>
    <s v="2025-01-23"/>
    <x v="0"/>
    <s v="Thursday"/>
    <x v="1"/>
    <x v="0"/>
    <s v="Corporate"/>
    <s v="Online"/>
    <x v="5"/>
    <x v="0"/>
    <n v="320000"/>
    <n v="5"/>
    <x v="2"/>
    <n v="256000"/>
    <n v="1600000"/>
    <x v="28"/>
    <n v="320000"/>
    <n v="667"/>
  </r>
  <r>
    <s v="2025-03-17"/>
    <x v="3"/>
    <s v="Monday"/>
    <x v="1"/>
    <x v="1"/>
    <s v="Retail"/>
    <s v="Store"/>
    <x v="5"/>
    <x v="0"/>
    <n v="320000"/>
    <n v="9"/>
    <x v="5"/>
    <n v="256000"/>
    <n v="2880000"/>
    <x v="8"/>
    <n v="576000"/>
    <n v="668"/>
  </r>
  <r>
    <s v="2025-03-07"/>
    <x v="3"/>
    <s v="Friday"/>
    <x v="1"/>
    <x v="1"/>
    <s v="Retail"/>
    <s v="Online"/>
    <x v="4"/>
    <x v="1"/>
    <n v="180000"/>
    <n v="1"/>
    <x v="4"/>
    <n v="144000"/>
    <n v="180000"/>
    <x v="32"/>
    <n v="36000"/>
    <n v="669"/>
  </r>
  <r>
    <s v="2025-04-18"/>
    <x v="1"/>
    <s v="Friday"/>
    <x v="2"/>
    <x v="0"/>
    <s v="Retail"/>
    <s v="Online"/>
    <x v="1"/>
    <x v="1"/>
    <n v="30000"/>
    <n v="7"/>
    <x v="2"/>
    <n v="24000"/>
    <n v="210000"/>
    <x v="54"/>
    <n v="42000"/>
    <n v="670"/>
  </r>
  <r>
    <s v="2025-04-29"/>
    <x v="1"/>
    <s v="Tuesday"/>
    <x v="3"/>
    <x v="3"/>
    <s v="Corporate"/>
    <s v="Store"/>
    <x v="9"/>
    <x v="1"/>
    <n v="220000"/>
    <n v="5"/>
    <x v="3"/>
    <n v="176000"/>
    <n v="1100000"/>
    <x v="51"/>
    <n v="220000"/>
    <n v="671"/>
  </r>
  <r>
    <s v="2025-02-26"/>
    <x v="2"/>
    <s v="Wednesday"/>
    <x v="3"/>
    <x v="3"/>
    <s v="Corporate"/>
    <s v="Online"/>
    <x v="4"/>
    <x v="1"/>
    <n v="180000"/>
    <n v="4"/>
    <x v="5"/>
    <n v="144000"/>
    <n v="720000"/>
    <x v="65"/>
    <n v="144000"/>
    <n v="672"/>
  </r>
  <r>
    <s v="2025-03-13"/>
    <x v="3"/>
    <s v="Thursday"/>
    <x v="2"/>
    <x v="0"/>
    <s v="Corporate"/>
    <s v="Online"/>
    <x v="4"/>
    <x v="1"/>
    <n v="180000"/>
    <n v="2"/>
    <x v="2"/>
    <n v="144000"/>
    <n v="360000"/>
    <x v="50"/>
    <n v="72000"/>
    <n v="673"/>
  </r>
  <r>
    <s v="2025-02-12"/>
    <x v="2"/>
    <s v="Wednesday"/>
    <x v="0"/>
    <x v="2"/>
    <s v="Corporate"/>
    <s v="Online"/>
    <x v="9"/>
    <x v="1"/>
    <n v="220000"/>
    <n v="2"/>
    <x v="4"/>
    <n v="176000"/>
    <n v="440000"/>
    <x v="15"/>
    <n v="88000"/>
    <n v="674"/>
  </r>
  <r>
    <s v="2025-04-03"/>
    <x v="1"/>
    <s v="Thursday"/>
    <x v="0"/>
    <x v="1"/>
    <s v="Corporate"/>
    <s v="Store"/>
    <x v="2"/>
    <x v="1"/>
    <n v="60000"/>
    <n v="10"/>
    <x v="4"/>
    <n v="48000"/>
    <n v="600000"/>
    <x v="4"/>
    <n v="120000"/>
    <n v="675"/>
  </r>
  <r>
    <s v="2025-02-19"/>
    <x v="2"/>
    <s v="Wednesday"/>
    <x v="3"/>
    <x v="0"/>
    <s v="Retail"/>
    <s v="Store"/>
    <x v="1"/>
    <x v="1"/>
    <n v="30000"/>
    <n v="2"/>
    <x v="5"/>
    <n v="24000"/>
    <n v="60000"/>
    <x v="41"/>
    <n v="12000"/>
    <n v="676"/>
  </r>
  <r>
    <s v="2025-01-11"/>
    <x v="0"/>
    <s v="Saturday"/>
    <x v="1"/>
    <x v="1"/>
    <s v="Corporate"/>
    <s v="Online"/>
    <x v="3"/>
    <x v="2"/>
    <n v="300000"/>
    <n v="3"/>
    <x v="1"/>
    <n v="240000"/>
    <n v="900000"/>
    <x v="48"/>
    <n v="180000"/>
    <n v="677"/>
  </r>
  <r>
    <s v="2025-03-13"/>
    <x v="3"/>
    <s v="Thursday"/>
    <x v="2"/>
    <x v="2"/>
    <s v="Retail"/>
    <s v="Store"/>
    <x v="1"/>
    <x v="1"/>
    <n v="30000"/>
    <n v="8"/>
    <x v="0"/>
    <n v="24000"/>
    <n v="240000"/>
    <x v="1"/>
    <n v="48000"/>
    <n v="678"/>
  </r>
  <r>
    <s v="2025-03-03"/>
    <x v="3"/>
    <s v="Monday"/>
    <x v="3"/>
    <x v="0"/>
    <s v="Retail"/>
    <s v="Online"/>
    <x v="3"/>
    <x v="2"/>
    <n v="300000"/>
    <n v="7"/>
    <x v="0"/>
    <n v="240000"/>
    <n v="2100000"/>
    <x v="13"/>
    <n v="420000"/>
    <n v="679"/>
  </r>
  <r>
    <s v="2025-04-05"/>
    <x v="1"/>
    <s v="Saturday"/>
    <x v="1"/>
    <x v="0"/>
    <s v="Retail"/>
    <s v="Online"/>
    <x v="1"/>
    <x v="1"/>
    <n v="30000"/>
    <n v="2"/>
    <x v="3"/>
    <n v="24000"/>
    <n v="60000"/>
    <x v="41"/>
    <n v="12000"/>
    <n v="680"/>
  </r>
  <r>
    <s v="2025-03-07"/>
    <x v="3"/>
    <s v="Friday"/>
    <x v="1"/>
    <x v="0"/>
    <s v="Corporate"/>
    <s v="Store"/>
    <x v="9"/>
    <x v="1"/>
    <n v="220000"/>
    <n v="8"/>
    <x v="2"/>
    <n v="176000"/>
    <n v="1760000"/>
    <x v="42"/>
    <n v="352000"/>
    <n v="681"/>
  </r>
  <r>
    <s v="2025-04-20"/>
    <x v="1"/>
    <s v="Sunday"/>
    <x v="0"/>
    <x v="2"/>
    <s v="Retail"/>
    <s v="Online"/>
    <x v="2"/>
    <x v="1"/>
    <n v="60000"/>
    <n v="1"/>
    <x v="0"/>
    <n v="48000"/>
    <n v="60000"/>
    <x v="41"/>
    <n v="12000"/>
    <n v="682"/>
  </r>
  <r>
    <s v="2025-03-01"/>
    <x v="3"/>
    <s v="Saturday"/>
    <x v="2"/>
    <x v="2"/>
    <s v="Corporate"/>
    <s v="Online"/>
    <x v="0"/>
    <x v="0"/>
    <n v="85000"/>
    <n v="9"/>
    <x v="4"/>
    <n v="68000"/>
    <n v="765000"/>
    <x v="18"/>
    <n v="153000"/>
    <n v="683"/>
  </r>
  <r>
    <s v="2025-02-26"/>
    <x v="2"/>
    <s v="Wednesday"/>
    <x v="1"/>
    <x v="1"/>
    <s v="Retail"/>
    <s v="Store"/>
    <x v="0"/>
    <x v="0"/>
    <n v="85000"/>
    <n v="4"/>
    <x v="3"/>
    <n v="68000"/>
    <n v="340000"/>
    <x v="74"/>
    <n v="68000"/>
    <n v="684"/>
  </r>
  <r>
    <s v="2025-01-31"/>
    <x v="0"/>
    <s v="Friday"/>
    <x v="1"/>
    <x v="3"/>
    <s v="Corporate"/>
    <s v="Store"/>
    <x v="4"/>
    <x v="1"/>
    <n v="180000"/>
    <n v="6"/>
    <x v="0"/>
    <n v="144000"/>
    <n v="1080000"/>
    <x v="53"/>
    <n v="216000"/>
    <n v="685"/>
  </r>
  <r>
    <s v="2025-03-30"/>
    <x v="3"/>
    <s v="Sunday"/>
    <x v="0"/>
    <x v="3"/>
    <s v="Retail"/>
    <s v="Online"/>
    <x v="4"/>
    <x v="1"/>
    <n v="180000"/>
    <n v="2"/>
    <x v="5"/>
    <n v="144000"/>
    <n v="360000"/>
    <x v="50"/>
    <n v="72000"/>
    <n v="686"/>
  </r>
  <r>
    <s v="2025-01-07"/>
    <x v="0"/>
    <s v="Tuesday"/>
    <x v="3"/>
    <x v="0"/>
    <s v="Retail"/>
    <s v="Online"/>
    <x v="2"/>
    <x v="1"/>
    <n v="60000"/>
    <n v="8"/>
    <x v="2"/>
    <n v="48000"/>
    <n v="480000"/>
    <x v="47"/>
    <n v="96000"/>
    <n v="687"/>
  </r>
  <r>
    <s v="2025-01-01"/>
    <x v="0"/>
    <s v="Wednesday"/>
    <x v="3"/>
    <x v="3"/>
    <s v="Retail"/>
    <s v="Online"/>
    <x v="5"/>
    <x v="0"/>
    <n v="320000"/>
    <n v="4"/>
    <x v="3"/>
    <n v="256000"/>
    <n v="1280000"/>
    <x v="6"/>
    <n v="256000"/>
    <n v="688"/>
  </r>
  <r>
    <s v="2025-04-02"/>
    <x v="1"/>
    <s v="Wednesday"/>
    <x v="1"/>
    <x v="1"/>
    <s v="Corporate"/>
    <s v="Online"/>
    <x v="4"/>
    <x v="1"/>
    <n v="180000"/>
    <n v="3"/>
    <x v="1"/>
    <n v="144000"/>
    <n v="540000"/>
    <x v="46"/>
    <n v="108000"/>
    <n v="689"/>
  </r>
  <r>
    <s v="2025-03-20"/>
    <x v="3"/>
    <s v="Thursday"/>
    <x v="1"/>
    <x v="0"/>
    <s v="Retail"/>
    <s v="Store"/>
    <x v="6"/>
    <x v="2"/>
    <n v="150000"/>
    <n v="9"/>
    <x v="2"/>
    <n v="120000"/>
    <n v="1350000"/>
    <x v="63"/>
    <n v="270000"/>
    <n v="690"/>
  </r>
  <r>
    <s v="2025-04-17"/>
    <x v="1"/>
    <s v="Thursday"/>
    <x v="1"/>
    <x v="1"/>
    <s v="Corporate"/>
    <s v="Store"/>
    <x v="0"/>
    <x v="0"/>
    <n v="85000"/>
    <n v="4"/>
    <x v="0"/>
    <n v="68000"/>
    <n v="340000"/>
    <x v="74"/>
    <n v="68000"/>
    <n v="691"/>
  </r>
  <r>
    <s v="2025-04-03"/>
    <x v="1"/>
    <s v="Thursday"/>
    <x v="2"/>
    <x v="2"/>
    <s v="Retail"/>
    <s v="Online"/>
    <x v="9"/>
    <x v="1"/>
    <n v="220000"/>
    <n v="4"/>
    <x v="0"/>
    <n v="176000"/>
    <n v="880000"/>
    <x v="22"/>
    <n v="176000"/>
    <n v="692"/>
  </r>
  <r>
    <s v="2025-02-18"/>
    <x v="2"/>
    <s v="Tuesday"/>
    <x v="3"/>
    <x v="0"/>
    <s v="Retail"/>
    <s v="Online"/>
    <x v="1"/>
    <x v="1"/>
    <n v="30000"/>
    <n v="8"/>
    <x v="4"/>
    <n v="24000"/>
    <n v="240000"/>
    <x v="1"/>
    <n v="48000"/>
    <n v="693"/>
  </r>
  <r>
    <s v="2025-01-11"/>
    <x v="0"/>
    <s v="Saturday"/>
    <x v="2"/>
    <x v="0"/>
    <s v="Retail"/>
    <s v="Online"/>
    <x v="0"/>
    <x v="0"/>
    <n v="85000"/>
    <n v="4"/>
    <x v="0"/>
    <n v="68000"/>
    <n v="340000"/>
    <x v="74"/>
    <n v="68000"/>
    <n v="694"/>
  </r>
  <r>
    <s v="2025-02-04"/>
    <x v="2"/>
    <s v="Tuesday"/>
    <x v="3"/>
    <x v="0"/>
    <s v="Retail"/>
    <s v="Online"/>
    <x v="3"/>
    <x v="2"/>
    <n v="300000"/>
    <n v="2"/>
    <x v="2"/>
    <n v="240000"/>
    <n v="600000"/>
    <x v="4"/>
    <n v="120000"/>
    <n v="695"/>
  </r>
  <r>
    <s v="2025-03-22"/>
    <x v="3"/>
    <s v="Saturday"/>
    <x v="0"/>
    <x v="2"/>
    <s v="Corporate"/>
    <s v="Store"/>
    <x v="0"/>
    <x v="0"/>
    <n v="85000"/>
    <n v="2"/>
    <x v="4"/>
    <n v="68000"/>
    <n v="170000"/>
    <x v="2"/>
    <n v="34000"/>
    <n v="696"/>
  </r>
  <r>
    <s v="2025-04-25"/>
    <x v="1"/>
    <s v="Friday"/>
    <x v="0"/>
    <x v="0"/>
    <s v="Corporate"/>
    <s v="Online"/>
    <x v="7"/>
    <x v="2"/>
    <n v="420000"/>
    <n v="5"/>
    <x v="0"/>
    <n v="336000"/>
    <n v="2100000"/>
    <x v="13"/>
    <n v="420000"/>
    <n v="697"/>
  </r>
  <r>
    <s v="2025-04-07"/>
    <x v="1"/>
    <s v="Monday"/>
    <x v="2"/>
    <x v="2"/>
    <s v="Corporate"/>
    <s v="Online"/>
    <x v="3"/>
    <x v="2"/>
    <n v="300000"/>
    <n v="8"/>
    <x v="1"/>
    <n v="240000"/>
    <n v="2400000"/>
    <x v="24"/>
    <n v="480000"/>
    <n v="698"/>
  </r>
  <r>
    <s v="2025-04-03"/>
    <x v="1"/>
    <s v="Thursday"/>
    <x v="0"/>
    <x v="1"/>
    <s v="Corporate"/>
    <s v="Store"/>
    <x v="2"/>
    <x v="1"/>
    <n v="60000"/>
    <n v="1"/>
    <x v="0"/>
    <n v="48000"/>
    <n v="60000"/>
    <x v="41"/>
    <n v="12000"/>
    <n v="699"/>
  </r>
  <r>
    <s v="2025-02-27"/>
    <x v="2"/>
    <s v="Thursday"/>
    <x v="0"/>
    <x v="2"/>
    <s v="Retail"/>
    <s v="Online"/>
    <x v="8"/>
    <x v="2"/>
    <n v="250000"/>
    <n v="8"/>
    <x v="0"/>
    <n v="200000"/>
    <n v="2000000"/>
    <x v="52"/>
    <n v="400000"/>
    <n v="700"/>
  </r>
  <r>
    <s v="2025-04-14"/>
    <x v="1"/>
    <s v="Monday"/>
    <x v="0"/>
    <x v="1"/>
    <s v="Corporate"/>
    <s v="Online"/>
    <x v="3"/>
    <x v="2"/>
    <n v="300000"/>
    <n v="4"/>
    <x v="0"/>
    <n v="240000"/>
    <n v="1200000"/>
    <x v="29"/>
    <n v="240000"/>
    <n v="701"/>
  </r>
  <r>
    <s v="2025-02-01"/>
    <x v="2"/>
    <s v="Saturday"/>
    <x v="1"/>
    <x v="2"/>
    <s v="Corporate"/>
    <s v="Online"/>
    <x v="3"/>
    <x v="2"/>
    <n v="300000"/>
    <n v="10"/>
    <x v="4"/>
    <n v="240000"/>
    <n v="3000000"/>
    <x v="68"/>
    <n v="600000"/>
    <n v="702"/>
  </r>
  <r>
    <s v="2025-01-07"/>
    <x v="0"/>
    <s v="Tuesday"/>
    <x v="2"/>
    <x v="1"/>
    <s v="Retail"/>
    <s v="Online"/>
    <x v="3"/>
    <x v="2"/>
    <n v="300000"/>
    <n v="2"/>
    <x v="5"/>
    <n v="240000"/>
    <n v="600000"/>
    <x v="4"/>
    <n v="120000"/>
    <n v="703"/>
  </r>
  <r>
    <s v="2025-02-28"/>
    <x v="2"/>
    <s v="Friday"/>
    <x v="0"/>
    <x v="3"/>
    <s v="Retail"/>
    <s v="Store"/>
    <x v="0"/>
    <x v="0"/>
    <n v="85000"/>
    <n v="2"/>
    <x v="3"/>
    <n v="68000"/>
    <n v="170000"/>
    <x v="2"/>
    <n v="34000"/>
    <n v="704"/>
  </r>
  <r>
    <s v="2025-04-06"/>
    <x v="1"/>
    <s v="Sunday"/>
    <x v="3"/>
    <x v="1"/>
    <s v="Retail"/>
    <s v="Online"/>
    <x v="5"/>
    <x v="0"/>
    <n v="320000"/>
    <n v="3"/>
    <x v="2"/>
    <n v="256000"/>
    <n v="960000"/>
    <x v="9"/>
    <n v="192000"/>
    <n v="705"/>
  </r>
  <r>
    <s v="2025-02-24"/>
    <x v="2"/>
    <s v="Monday"/>
    <x v="0"/>
    <x v="2"/>
    <s v="Retail"/>
    <s v="Store"/>
    <x v="6"/>
    <x v="2"/>
    <n v="150000"/>
    <n v="4"/>
    <x v="0"/>
    <n v="120000"/>
    <n v="600000"/>
    <x v="4"/>
    <n v="120000"/>
    <n v="706"/>
  </r>
  <r>
    <s v="2025-01-18"/>
    <x v="0"/>
    <s v="Saturday"/>
    <x v="0"/>
    <x v="2"/>
    <s v="Corporate"/>
    <s v="Store"/>
    <x v="2"/>
    <x v="1"/>
    <n v="60000"/>
    <n v="8"/>
    <x v="2"/>
    <n v="48000"/>
    <n v="480000"/>
    <x v="47"/>
    <n v="96000"/>
    <n v="707"/>
  </r>
  <r>
    <s v="2025-03-30"/>
    <x v="3"/>
    <s v="Sunday"/>
    <x v="3"/>
    <x v="0"/>
    <s v="Corporate"/>
    <s v="Store"/>
    <x v="0"/>
    <x v="0"/>
    <n v="85000"/>
    <n v="2"/>
    <x v="0"/>
    <n v="68000"/>
    <n v="170000"/>
    <x v="2"/>
    <n v="34000"/>
    <n v="708"/>
  </r>
  <r>
    <s v="2025-04-29"/>
    <x v="1"/>
    <s v="Tuesday"/>
    <x v="3"/>
    <x v="1"/>
    <s v="Corporate"/>
    <s v="Store"/>
    <x v="3"/>
    <x v="2"/>
    <n v="300000"/>
    <n v="8"/>
    <x v="1"/>
    <n v="240000"/>
    <n v="2400000"/>
    <x v="24"/>
    <n v="480000"/>
    <n v="709"/>
  </r>
  <r>
    <s v="2025-04-28"/>
    <x v="1"/>
    <s v="Monday"/>
    <x v="3"/>
    <x v="0"/>
    <s v="Retail"/>
    <s v="Online"/>
    <x v="5"/>
    <x v="0"/>
    <n v="320000"/>
    <n v="5"/>
    <x v="4"/>
    <n v="256000"/>
    <n v="1600000"/>
    <x v="28"/>
    <n v="320000"/>
    <n v="710"/>
  </r>
  <r>
    <s v="2025-01-07"/>
    <x v="0"/>
    <s v="Tuesday"/>
    <x v="0"/>
    <x v="1"/>
    <s v="Corporate"/>
    <s v="Store"/>
    <x v="1"/>
    <x v="1"/>
    <n v="30000"/>
    <n v="3"/>
    <x v="1"/>
    <n v="24000"/>
    <n v="90000"/>
    <x v="33"/>
    <n v="18000"/>
    <n v="711"/>
  </r>
  <r>
    <s v="2025-05-01"/>
    <x v="4"/>
    <s v="Thursday"/>
    <x v="2"/>
    <x v="0"/>
    <s v="Retail"/>
    <s v="Store"/>
    <x v="1"/>
    <x v="1"/>
    <n v="30000"/>
    <n v="1"/>
    <x v="1"/>
    <n v="24000"/>
    <n v="30000"/>
    <x v="75"/>
    <n v="6000"/>
    <n v="712"/>
  </r>
  <r>
    <s v="2025-03-13"/>
    <x v="3"/>
    <s v="Thursday"/>
    <x v="2"/>
    <x v="3"/>
    <s v="Corporate"/>
    <s v="Store"/>
    <x v="6"/>
    <x v="2"/>
    <n v="150000"/>
    <n v="3"/>
    <x v="1"/>
    <n v="120000"/>
    <n v="450000"/>
    <x v="34"/>
    <n v="90000"/>
    <n v="713"/>
  </r>
  <r>
    <s v="2025-04-04"/>
    <x v="1"/>
    <s v="Friday"/>
    <x v="2"/>
    <x v="2"/>
    <s v="Retail"/>
    <s v="Online"/>
    <x v="1"/>
    <x v="1"/>
    <n v="30000"/>
    <n v="5"/>
    <x v="3"/>
    <n v="24000"/>
    <n v="150000"/>
    <x v="26"/>
    <n v="30000"/>
    <n v="714"/>
  </r>
  <r>
    <s v="2025-02-06"/>
    <x v="2"/>
    <s v="Thursday"/>
    <x v="3"/>
    <x v="3"/>
    <s v="Corporate"/>
    <s v="Store"/>
    <x v="4"/>
    <x v="1"/>
    <n v="180000"/>
    <n v="4"/>
    <x v="1"/>
    <n v="144000"/>
    <n v="720000"/>
    <x v="65"/>
    <n v="144000"/>
    <n v="715"/>
  </r>
  <r>
    <s v="2025-01-04"/>
    <x v="0"/>
    <s v="Saturday"/>
    <x v="2"/>
    <x v="2"/>
    <s v="Corporate"/>
    <s v="Store"/>
    <x v="4"/>
    <x v="1"/>
    <n v="180000"/>
    <n v="3"/>
    <x v="5"/>
    <n v="144000"/>
    <n v="540000"/>
    <x v="46"/>
    <n v="108000"/>
    <n v="716"/>
  </r>
  <r>
    <s v="2025-02-11"/>
    <x v="2"/>
    <s v="Tuesday"/>
    <x v="1"/>
    <x v="1"/>
    <s v="Corporate"/>
    <s v="Store"/>
    <x v="3"/>
    <x v="2"/>
    <n v="300000"/>
    <n v="8"/>
    <x v="0"/>
    <n v="240000"/>
    <n v="2400000"/>
    <x v="24"/>
    <n v="480000"/>
    <n v="717"/>
  </r>
  <r>
    <s v="2025-02-26"/>
    <x v="2"/>
    <s v="Wednesday"/>
    <x v="1"/>
    <x v="3"/>
    <s v="Corporate"/>
    <s v="Online"/>
    <x v="0"/>
    <x v="0"/>
    <n v="85000"/>
    <n v="8"/>
    <x v="1"/>
    <n v="68000"/>
    <n v="680000"/>
    <x v="69"/>
    <n v="136000"/>
    <n v="718"/>
  </r>
  <r>
    <s v="2025-02-18"/>
    <x v="2"/>
    <s v="Tuesday"/>
    <x v="3"/>
    <x v="1"/>
    <s v="Retail"/>
    <s v="Store"/>
    <x v="4"/>
    <x v="1"/>
    <n v="180000"/>
    <n v="1"/>
    <x v="0"/>
    <n v="144000"/>
    <n v="180000"/>
    <x v="32"/>
    <n v="36000"/>
    <n v="719"/>
  </r>
  <r>
    <s v="2025-04-10"/>
    <x v="1"/>
    <s v="Thursday"/>
    <x v="2"/>
    <x v="0"/>
    <s v="Corporate"/>
    <s v="Online"/>
    <x v="7"/>
    <x v="2"/>
    <n v="420000"/>
    <n v="6"/>
    <x v="1"/>
    <n v="336000"/>
    <n v="2520000"/>
    <x v="76"/>
    <n v="504000"/>
    <n v="720"/>
  </r>
  <r>
    <s v="2025-04-17"/>
    <x v="1"/>
    <s v="Thursday"/>
    <x v="0"/>
    <x v="3"/>
    <s v="Retail"/>
    <s v="Store"/>
    <x v="7"/>
    <x v="2"/>
    <n v="420000"/>
    <n v="4"/>
    <x v="4"/>
    <n v="336000"/>
    <n v="1680000"/>
    <x v="45"/>
    <n v="336000"/>
    <n v="721"/>
  </r>
  <r>
    <s v="2025-03-19"/>
    <x v="3"/>
    <s v="Wednesday"/>
    <x v="1"/>
    <x v="3"/>
    <s v="Corporate"/>
    <s v="Store"/>
    <x v="4"/>
    <x v="1"/>
    <n v="180000"/>
    <n v="3"/>
    <x v="1"/>
    <n v="144000"/>
    <n v="540000"/>
    <x v="46"/>
    <n v="108000"/>
    <n v="722"/>
  </r>
  <r>
    <s v="2025-03-15"/>
    <x v="3"/>
    <s v="Saturday"/>
    <x v="2"/>
    <x v="1"/>
    <s v="Retail"/>
    <s v="Online"/>
    <x v="2"/>
    <x v="1"/>
    <n v="60000"/>
    <n v="3"/>
    <x v="1"/>
    <n v="48000"/>
    <n v="180000"/>
    <x v="32"/>
    <n v="36000"/>
    <n v="723"/>
  </r>
  <r>
    <s v="2025-01-17"/>
    <x v="0"/>
    <s v="Friday"/>
    <x v="1"/>
    <x v="3"/>
    <s v="Retail"/>
    <s v="Store"/>
    <x v="6"/>
    <x v="2"/>
    <n v="150000"/>
    <n v="1"/>
    <x v="2"/>
    <n v="120000"/>
    <n v="150000"/>
    <x v="26"/>
    <n v="30000"/>
    <n v="724"/>
  </r>
  <r>
    <s v="2025-01-29"/>
    <x v="0"/>
    <s v="Wednesday"/>
    <x v="2"/>
    <x v="0"/>
    <s v="Corporate"/>
    <s v="Online"/>
    <x v="7"/>
    <x v="2"/>
    <n v="420000"/>
    <n v="4"/>
    <x v="1"/>
    <n v="336000"/>
    <n v="1680000"/>
    <x v="45"/>
    <n v="336000"/>
    <n v="725"/>
  </r>
  <r>
    <s v="2025-04-13"/>
    <x v="1"/>
    <s v="Sunday"/>
    <x v="3"/>
    <x v="1"/>
    <s v="Corporate"/>
    <s v="Online"/>
    <x v="8"/>
    <x v="2"/>
    <n v="250000"/>
    <n v="6"/>
    <x v="2"/>
    <n v="200000"/>
    <n v="1500000"/>
    <x v="17"/>
    <n v="300000"/>
    <n v="726"/>
  </r>
  <r>
    <s v="2025-03-04"/>
    <x v="3"/>
    <s v="Tuesday"/>
    <x v="2"/>
    <x v="0"/>
    <s v="Corporate"/>
    <s v="Store"/>
    <x v="5"/>
    <x v="0"/>
    <n v="320000"/>
    <n v="1"/>
    <x v="3"/>
    <n v="256000"/>
    <n v="320000"/>
    <x v="7"/>
    <n v="64000"/>
    <n v="727"/>
  </r>
  <r>
    <s v="2025-01-23"/>
    <x v="0"/>
    <s v="Thursday"/>
    <x v="3"/>
    <x v="3"/>
    <s v="Corporate"/>
    <s v="Store"/>
    <x v="9"/>
    <x v="1"/>
    <n v="220000"/>
    <n v="10"/>
    <x v="5"/>
    <n v="176000"/>
    <n v="2200000"/>
    <x v="61"/>
    <n v="440000"/>
    <n v="728"/>
  </r>
  <r>
    <s v="2025-04-15"/>
    <x v="1"/>
    <s v="Tuesday"/>
    <x v="3"/>
    <x v="1"/>
    <s v="Retail"/>
    <s v="Online"/>
    <x v="9"/>
    <x v="1"/>
    <n v="220000"/>
    <n v="5"/>
    <x v="1"/>
    <n v="176000"/>
    <n v="1100000"/>
    <x v="51"/>
    <n v="220000"/>
    <n v="729"/>
  </r>
  <r>
    <s v="2025-01-09"/>
    <x v="0"/>
    <s v="Thursday"/>
    <x v="2"/>
    <x v="2"/>
    <s v="Corporate"/>
    <s v="Store"/>
    <x v="9"/>
    <x v="1"/>
    <n v="220000"/>
    <n v="8"/>
    <x v="5"/>
    <n v="176000"/>
    <n v="1760000"/>
    <x v="42"/>
    <n v="352000"/>
    <n v="730"/>
  </r>
  <r>
    <s v="2025-03-25"/>
    <x v="3"/>
    <s v="Tuesday"/>
    <x v="1"/>
    <x v="0"/>
    <s v="Retail"/>
    <s v="Online"/>
    <x v="9"/>
    <x v="1"/>
    <n v="220000"/>
    <n v="9"/>
    <x v="2"/>
    <n v="176000"/>
    <n v="1980000"/>
    <x v="64"/>
    <n v="396000"/>
    <n v="731"/>
  </r>
  <r>
    <s v="2025-03-06"/>
    <x v="3"/>
    <s v="Thursday"/>
    <x v="3"/>
    <x v="2"/>
    <s v="Corporate"/>
    <s v="Online"/>
    <x v="3"/>
    <x v="2"/>
    <n v="300000"/>
    <n v="7"/>
    <x v="5"/>
    <n v="240000"/>
    <n v="2100000"/>
    <x v="13"/>
    <n v="420000"/>
    <n v="732"/>
  </r>
  <r>
    <s v="2025-03-07"/>
    <x v="3"/>
    <s v="Friday"/>
    <x v="0"/>
    <x v="3"/>
    <s v="Retail"/>
    <s v="Online"/>
    <x v="7"/>
    <x v="2"/>
    <n v="420000"/>
    <n v="1"/>
    <x v="2"/>
    <n v="336000"/>
    <n v="420000"/>
    <x v="40"/>
    <n v="84000"/>
    <n v="733"/>
  </r>
  <r>
    <s v="2025-02-04"/>
    <x v="2"/>
    <s v="Tuesday"/>
    <x v="0"/>
    <x v="1"/>
    <s v="Corporate"/>
    <s v="Store"/>
    <x v="4"/>
    <x v="1"/>
    <n v="180000"/>
    <n v="6"/>
    <x v="2"/>
    <n v="144000"/>
    <n v="1080000"/>
    <x v="53"/>
    <n v="216000"/>
    <n v="734"/>
  </r>
  <r>
    <s v="2025-04-06"/>
    <x v="1"/>
    <s v="Sunday"/>
    <x v="3"/>
    <x v="0"/>
    <s v="Retail"/>
    <s v="Online"/>
    <x v="8"/>
    <x v="2"/>
    <n v="250000"/>
    <n v="3"/>
    <x v="2"/>
    <n v="200000"/>
    <n v="750000"/>
    <x v="56"/>
    <n v="150000"/>
    <n v="735"/>
  </r>
  <r>
    <s v="2025-04-14"/>
    <x v="1"/>
    <s v="Monday"/>
    <x v="3"/>
    <x v="3"/>
    <s v="Retail"/>
    <s v="Online"/>
    <x v="5"/>
    <x v="0"/>
    <n v="320000"/>
    <n v="2"/>
    <x v="0"/>
    <n v="256000"/>
    <n v="640000"/>
    <x v="38"/>
    <n v="128000"/>
    <n v="736"/>
  </r>
  <r>
    <s v="2025-04-26"/>
    <x v="1"/>
    <s v="Saturday"/>
    <x v="1"/>
    <x v="1"/>
    <s v="Corporate"/>
    <s v="Online"/>
    <x v="2"/>
    <x v="1"/>
    <n v="60000"/>
    <n v="3"/>
    <x v="1"/>
    <n v="48000"/>
    <n v="180000"/>
    <x v="32"/>
    <n v="36000"/>
    <n v="737"/>
  </r>
  <r>
    <s v="2025-04-03"/>
    <x v="1"/>
    <s v="Thursday"/>
    <x v="2"/>
    <x v="3"/>
    <s v="Corporate"/>
    <s v="Store"/>
    <x v="1"/>
    <x v="1"/>
    <n v="30000"/>
    <n v="9"/>
    <x v="1"/>
    <n v="24000"/>
    <n v="270000"/>
    <x v="57"/>
    <n v="54000"/>
    <n v="738"/>
  </r>
  <r>
    <s v="2025-02-06"/>
    <x v="2"/>
    <s v="Thursday"/>
    <x v="1"/>
    <x v="2"/>
    <s v="Corporate"/>
    <s v="Store"/>
    <x v="4"/>
    <x v="1"/>
    <n v="180000"/>
    <n v="6"/>
    <x v="1"/>
    <n v="144000"/>
    <n v="1080000"/>
    <x v="53"/>
    <n v="216000"/>
    <n v="739"/>
  </r>
  <r>
    <s v="2025-04-06"/>
    <x v="1"/>
    <s v="Sunday"/>
    <x v="2"/>
    <x v="2"/>
    <s v="Corporate"/>
    <s v="Online"/>
    <x v="2"/>
    <x v="1"/>
    <n v="60000"/>
    <n v="8"/>
    <x v="4"/>
    <n v="48000"/>
    <n v="480000"/>
    <x v="47"/>
    <n v="96000"/>
    <n v="740"/>
  </r>
  <r>
    <s v="2025-01-26"/>
    <x v="0"/>
    <s v="Sunday"/>
    <x v="2"/>
    <x v="2"/>
    <s v="Corporate"/>
    <s v="Online"/>
    <x v="2"/>
    <x v="1"/>
    <n v="60000"/>
    <n v="8"/>
    <x v="5"/>
    <n v="48000"/>
    <n v="480000"/>
    <x v="47"/>
    <n v="96000"/>
    <n v="741"/>
  </r>
  <r>
    <s v="2025-04-16"/>
    <x v="1"/>
    <s v="Wednesday"/>
    <x v="2"/>
    <x v="2"/>
    <s v="Corporate"/>
    <s v="Store"/>
    <x v="8"/>
    <x v="2"/>
    <n v="250000"/>
    <n v="3"/>
    <x v="3"/>
    <n v="200000"/>
    <n v="750000"/>
    <x v="56"/>
    <n v="150000"/>
    <n v="742"/>
  </r>
  <r>
    <s v="2025-01-29"/>
    <x v="0"/>
    <s v="Wednesday"/>
    <x v="3"/>
    <x v="2"/>
    <s v="Corporate"/>
    <s v="Store"/>
    <x v="0"/>
    <x v="0"/>
    <n v="85000"/>
    <n v="6"/>
    <x v="4"/>
    <n v="68000"/>
    <n v="510000"/>
    <x v="60"/>
    <n v="102000"/>
    <n v="743"/>
  </r>
  <r>
    <s v="2025-01-15"/>
    <x v="0"/>
    <s v="Wednesday"/>
    <x v="1"/>
    <x v="3"/>
    <s v="Corporate"/>
    <s v="Online"/>
    <x v="9"/>
    <x v="1"/>
    <n v="220000"/>
    <n v="9"/>
    <x v="2"/>
    <n v="176000"/>
    <n v="1980000"/>
    <x v="64"/>
    <n v="396000"/>
    <n v="744"/>
  </r>
  <r>
    <s v="2025-01-03"/>
    <x v="0"/>
    <s v="Friday"/>
    <x v="3"/>
    <x v="3"/>
    <s v="Corporate"/>
    <s v="Store"/>
    <x v="8"/>
    <x v="2"/>
    <n v="250000"/>
    <n v="4"/>
    <x v="2"/>
    <n v="200000"/>
    <n v="1000000"/>
    <x v="14"/>
    <n v="200000"/>
    <n v="745"/>
  </r>
  <r>
    <s v="2025-03-17"/>
    <x v="3"/>
    <s v="Monday"/>
    <x v="2"/>
    <x v="2"/>
    <s v="Corporate"/>
    <s v="Store"/>
    <x v="8"/>
    <x v="2"/>
    <n v="250000"/>
    <n v="3"/>
    <x v="0"/>
    <n v="200000"/>
    <n v="750000"/>
    <x v="56"/>
    <n v="150000"/>
    <n v="746"/>
  </r>
  <r>
    <s v="2025-01-24"/>
    <x v="0"/>
    <s v="Friday"/>
    <x v="2"/>
    <x v="3"/>
    <s v="Corporate"/>
    <s v="Store"/>
    <x v="1"/>
    <x v="1"/>
    <n v="30000"/>
    <n v="10"/>
    <x v="0"/>
    <n v="24000"/>
    <n v="300000"/>
    <x v="11"/>
    <n v="60000"/>
    <n v="747"/>
  </r>
  <r>
    <s v="2025-05-01"/>
    <x v="4"/>
    <s v="Thursday"/>
    <x v="3"/>
    <x v="2"/>
    <s v="Corporate"/>
    <s v="Store"/>
    <x v="3"/>
    <x v="2"/>
    <n v="300000"/>
    <n v="4"/>
    <x v="5"/>
    <n v="240000"/>
    <n v="1200000"/>
    <x v="29"/>
    <n v="240000"/>
    <n v="748"/>
  </r>
  <r>
    <s v="2025-04-16"/>
    <x v="1"/>
    <s v="Wednesday"/>
    <x v="2"/>
    <x v="0"/>
    <s v="Corporate"/>
    <s v="Store"/>
    <x v="5"/>
    <x v="0"/>
    <n v="320000"/>
    <n v="2"/>
    <x v="3"/>
    <n v="256000"/>
    <n v="640000"/>
    <x v="38"/>
    <n v="128000"/>
    <n v="749"/>
  </r>
  <r>
    <s v="2025-01-06"/>
    <x v="0"/>
    <s v="Monday"/>
    <x v="2"/>
    <x v="3"/>
    <s v="Corporate"/>
    <s v="Store"/>
    <x v="7"/>
    <x v="2"/>
    <n v="420000"/>
    <n v="8"/>
    <x v="5"/>
    <n v="336000"/>
    <n v="3360000"/>
    <x v="19"/>
    <n v="672000"/>
    <n v="750"/>
  </r>
  <r>
    <s v="2025-02-24"/>
    <x v="2"/>
    <s v="Monday"/>
    <x v="2"/>
    <x v="3"/>
    <s v="Corporate"/>
    <s v="Store"/>
    <x v="1"/>
    <x v="1"/>
    <n v="30000"/>
    <n v="2"/>
    <x v="1"/>
    <n v="24000"/>
    <n v="60000"/>
    <x v="41"/>
    <n v="12000"/>
    <n v="751"/>
  </r>
  <r>
    <s v="2025-02-03"/>
    <x v="2"/>
    <s v="Monday"/>
    <x v="3"/>
    <x v="3"/>
    <s v="Corporate"/>
    <s v="Store"/>
    <x v="6"/>
    <x v="2"/>
    <n v="150000"/>
    <n v="3"/>
    <x v="0"/>
    <n v="120000"/>
    <n v="450000"/>
    <x v="34"/>
    <n v="90000"/>
    <n v="752"/>
  </r>
  <r>
    <s v="2025-03-04"/>
    <x v="3"/>
    <s v="Tuesday"/>
    <x v="2"/>
    <x v="1"/>
    <s v="Corporate"/>
    <s v="Store"/>
    <x v="9"/>
    <x v="1"/>
    <n v="220000"/>
    <n v="6"/>
    <x v="1"/>
    <n v="176000"/>
    <n v="1320000"/>
    <x v="36"/>
    <n v="264000"/>
    <n v="753"/>
  </r>
  <r>
    <s v="2025-04-06"/>
    <x v="1"/>
    <s v="Sunday"/>
    <x v="0"/>
    <x v="0"/>
    <s v="Corporate"/>
    <s v="Online"/>
    <x v="2"/>
    <x v="1"/>
    <n v="60000"/>
    <n v="7"/>
    <x v="3"/>
    <n v="48000"/>
    <n v="420000"/>
    <x v="40"/>
    <n v="84000"/>
    <n v="754"/>
  </r>
  <r>
    <s v="2025-02-02"/>
    <x v="2"/>
    <s v="Sunday"/>
    <x v="2"/>
    <x v="0"/>
    <s v="Retail"/>
    <s v="Online"/>
    <x v="0"/>
    <x v="0"/>
    <n v="85000"/>
    <n v="7"/>
    <x v="3"/>
    <n v="68000"/>
    <n v="595000"/>
    <x v="30"/>
    <n v="119000"/>
    <n v="755"/>
  </r>
  <r>
    <s v="2025-01-14"/>
    <x v="0"/>
    <s v="Tuesday"/>
    <x v="0"/>
    <x v="1"/>
    <s v="Retail"/>
    <s v="Online"/>
    <x v="7"/>
    <x v="2"/>
    <n v="420000"/>
    <n v="6"/>
    <x v="0"/>
    <n v="336000"/>
    <n v="2520000"/>
    <x v="76"/>
    <n v="504000"/>
    <n v="756"/>
  </r>
  <r>
    <s v="2025-04-15"/>
    <x v="1"/>
    <s v="Tuesday"/>
    <x v="0"/>
    <x v="0"/>
    <s v="Retail"/>
    <s v="Store"/>
    <x v="3"/>
    <x v="2"/>
    <n v="300000"/>
    <n v="3"/>
    <x v="2"/>
    <n v="240000"/>
    <n v="900000"/>
    <x v="48"/>
    <n v="180000"/>
    <n v="757"/>
  </r>
  <r>
    <s v="2025-01-25"/>
    <x v="0"/>
    <s v="Saturday"/>
    <x v="3"/>
    <x v="3"/>
    <s v="Retail"/>
    <s v="Online"/>
    <x v="9"/>
    <x v="1"/>
    <n v="220000"/>
    <n v="10"/>
    <x v="0"/>
    <n v="176000"/>
    <n v="2200000"/>
    <x v="61"/>
    <n v="440000"/>
    <n v="758"/>
  </r>
  <r>
    <s v="2025-02-27"/>
    <x v="2"/>
    <s v="Thursday"/>
    <x v="3"/>
    <x v="0"/>
    <s v="Corporate"/>
    <s v="Store"/>
    <x v="0"/>
    <x v="0"/>
    <n v="85000"/>
    <n v="4"/>
    <x v="3"/>
    <n v="68000"/>
    <n v="340000"/>
    <x v="74"/>
    <n v="68000"/>
    <n v="759"/>
  </r>
  <r>
    <s v="2025-03-10"/>
    <x v="3"/>
    <s v="Monday"/>
    <x v="3"/>
    <x v="1"/>
    <s v="Retail"/>
    <s v="Store"/>
    <x v="5"/>
    <x v="0"/>
    <n v="320000"/>
    <n v="4"/>
    <x v="5"/>
    <n v="256000"/>
    <n v="1280000"/>
    <x v="6"/>
    <n v="256000"/>
    <n v="760"/>
  </r>
  <r>
    <s v="2025-01-27"/>
    <x v="0"/>
    <s v="Monday"/>
    <x v="2"/>
    <x v="3"/>
    <s v="Retail"/>
    <s v="Store"/>
    <x v="6"/>
    <x v="2"/>
    <n v="150000"/>
    <n v="6"/>
    <x v="5"/>
    <n v="120000"/>
    <n v="900000"/>
    <x v="48"/>
    <n v="180000"/>
    <n v="761"/>
  </r>
  <r>
    <s v="2025-01-27"/>
    <x v="0"/>
    <s v="Monday"/>
    <x v="0"/>
    <x v="1"/>
    <s v="Retail"/>
    <s v="Store"/>
    <x v="5"/>
    <x v="0"/>
    <n v="320000"/>
    <n v="2"/>
    <x v="5"/>
    <n v="256000"/>
    <n v="640000"/>
    <x v="38"/>
    <n v="128000"/>
    <n v="762"/>
  </r>
  <r>
    <s v="2025-02-23"/>
    <x v="2"/>
    <s v="Sunday"/>
    <x v="3"/>
    <x v="2"/>
    <s v="Retail"/>
    <s v="Online"/>
    <x v="5"/>
    <x v="0"/>
    <n v="320000"/>
    <n v="10"/>
    <x v="5"/>
    <n v="256000"/>
    <n v="3200000"/>
    <x v="35"/>
    <n v="640000"/>
    <n v="763"/>
  </r>
  <r>
    <s v="2025-02-14"/>
    <x v="2"/>
    <s v="Friday"/>
    <x v="2"/>
    <x v="1"/>
    <s v="Corporate"/>
    <s v="Online"/>
    <x v="7"/>
    <x v="2"/>
    <n v="420000"/>
    <n v="8"/>
    <x v="0"/>
    <n v="336000"/>
    <n v="3360000"/>
    <x v="19"/>
    <n v="672000"/>
    <n v="764"/>
  </r>
  <r>
    <s v="2025-03-01"/>
    <x v="3"/>
    <s v="Saturday"/>
    <x v="3"/>
    <x v="0"/>
    <s v="Corporate"/>
    <s v="Online"/>
    <x v="6"/>
    <x v="2"/>
    <n v="150000"/>
    <n v="5"/>
    <x v="4"/>
    <n v="120000"/>
    <n v="750000"/>
    <x v="56"/>
    <n v="150000"/>
    <n v="765"/>
  </r>
  <r>
    <s v="2025-04-13"/>
    <x v="1"/>
    <s v="Sunday"/>
    <x v="0"/>
    <x v="2"/>
    <s v="Corporate"/>
    <s v="Store"/>
    <x v="0"/>
    <x v="0"/>
    <n v="85000"/>
    <n v="1"/>
    <x v="4"/>
    <n v="68000"/>
    <n v="85000"/>
    <x v="0"/>
    <n v="17000"/>
    <n v="766"/>
  </r>
  <r>
    <s v="2025-04-21"/>
    <x v="1"/>
    <s v="Monday"/>
    <x v="1"/>
    <x v="3"/>
    <s v="Corporate"/>
    <s v="Store"/>
    <x v="7"/>
    <x v="2"/>
    <n v="420000"/>
    <n v="2"/>
    <x v="5"/>
    <n v="336000"/>
    <n v="840000"/>
    <x v="62"/>
    <n v="168000"/>
    <n v="767"/>
  </r>
  <r>
    <s v="2025-01-23"/>
    <x v="0"/>
    <s v="Thursday"/>
    <x v="1"/>
    <x v="3"/>
    <s v="Retail"/>
    <s v="Store"/>
    <x v="4"/>
    <x v="1"/>
    <n v="180000"/>
    <n v="6"/>
    <x v="5"/>
    <n v="144000"/>
    <n v="1080000"/>
    <x v="53"/>
    <n v="216000"/>
    <n v="768"/>
  </r>
  <r>
    <s v="2025-02-15"/>
    <x v="2"/>
    <s v="Saturday"/>
    <x v="1"/>
    <x v="0"/>
    <s v="Retail"/>
    <s v="Store"/>
    <x v="9"/>
    <x v="1"/>
    <n v="220000"/>
    <n v="7"/>
    <x v="0"/>
    <n v="176000"/>
    <n v="1540000"/>
    <x v="67"/>
    <n v="308000"/>
    <n v="769"/>
  </r>
  <r>
    <s v="2025-04-27"/>
    <x v="1"/>
    <s v="Sunday"/>
    <x v="1"/>
    <x v="0"/>
    <s v="Retail"/>
    <s v="Online"/>
    <x v="9"/>
    <x v="1"/>
    <n v="220000"/>
    <n v="5"/>
    <x v="1"/>
    <n v="176000"/>
    <n v="1100000"/>
    <x v="51"/>
    <n v="220000"/>
    <n v="770"/>
  </r>
  <r>
    <s v="2025-03-17"/>
    <x v="3"/>
    <s v="Monday"/>
    <x v="3"/>
    <x v="0"/>
    <s v="Retail"/>
    <s v="Store"/>
    <x v="3"/>
    <x v="2"/>
    <n v="300000"/>
    <n v="6"/>
    <x v="2"/>
    <n v="240000"/>
    <n v="1800000"/>
    <x v="5"/>
    <n v="360000"/>
    <n v="771"/>
  </r>
  <r>
    <s v="2025-04-24"/>
    <x v="1"/>
    <s v="Thursday"/>
    <x v="0"/>
    <x v="2"/>
    <s v="Retail"/>
    <s v="Store"/>
    <x v="8"/>
    <x v="2"/>
    <n v="250000"/>
    <n v="4"/>
    <x v="2"/>
    <n v="200000"/>
    <n v="1000000"/>
    <x v="14"/>
    <n v="200000"/>
    <n v="772"/>
  </r>
  <r>
    <s v="2025-04-06"/>
    <x v="1"/>
    <s v="Sunday"/>
    <x v="3"/>
    <x v="1"/>
    <s v="Corporate"/>
    <s v="Online"/>
    <x v="5"/>
    <x v="0"/>
    <n v="320000"/>
    <n v="5"/>
    <x v="1"/>
    <n v="256000"/>
    <n v="1600000"/>
    <x v="28"/>
    <n v="320000"/>
    <n v="773"/>
  </r>
  <r>
    <s v="2025-03-25"/>
    <x v="3"/>
    <s v="Tuesday"/>
    <x v="3"/>
    <x v="0"/>
    <s v="Retail"/>
    <s v="Store"/>
    <x v="3"/>
    <x v="2"/>
    <n v="300000"/>
    <n v="10"/>
    <x v="5"/>
    <n v="240000"/>
    <n v="3000000"/>
    <x v="68"/>
    <n v="600000"/>
    <n v="774"/>
  </r>
  <r>
    <s v="2025-03-13"/>
    <x v="3"/>
    <s v="Thursday"/>
    <x v="3"/>
    <x v="0"/>
    <s v="Retail"/>
    <s v="Store"/>
    <x v="2"/>
    <x v="1"/>
    <n v="60000"/>
    <n v="5"/>
    <x v="4"/>
    <n v="48000"/>
    <n v="300000"/>
    <x v="11"/>
    <n v="60000"/>
    <n v="775"/>
  </r>
  <r>
    <s v="2025-04-02"/>
    <x v="1"/>
    <s v="Wednesday"/>
    <x v="3"/>
    <x v="2"/>
    <s v="Retail"/>
    <s v="Online"/>
    <x v="7"/>
    <x v="2"/>
    <n v="420000"/>
    <n v="8"/>
    <x v="3"/>
    <n v="336000"/>
    <n v="3360000"/>
    <x v="19"/>
    <n v="672000"/>
    <n v="776"/>
  </r>
  <r>
    <s v="2025-01-23"/>
    <x v="0"/>
    <s v="Thursday"/>
    <x v="0"/>
    <x v="3"/>
    <s v="Corporate"/>
    <s v="Online"/>
    <x v="3"/>
    <x v="2"/>
    <n v="300000"/>
    <n v="1"/>
    <x v="1"/>
    <n v="240000"/>
    <n v="300000"/>
    <x v="11"/>
    <n v="60000"/>
    <n v="777"/>
  </r>
  <r>
    <s v="2025-03-13"/>
    <x v="3"/>
    <s v="Thursday"/>
    <x v="0"/>
    <x v="2"/>
    <s v="Corporate"/>
    <s v="Store"/>
    <x v="7"/>
    <x v="2"/>
    <n v="420000"/>
    <n v="2"/>
    <x v="4"/>
    <n v="336000"/>
    <n v="840000"/>
    <x v="62"/>
    <n v="168000"/>
    <n v="778"/>
  </r>
  <r>
    <s v="2025-01-25"/>
    <x v="0"/>
    <s v="Saturday"/>
    <x v="2"/>
    <x v="1"/>
    <s v="Corporate"/>
    <s v="Online"/>
    <x v="7"/>
    <x v="2"/>
    <n v="420000"/>
    <n v="7"/>
    <x v="3"/>
    <n v="336000"/>
    <n v="2940000"/>
    <x v="70"/>
    <n v="588000"/>
    <n v="779"/>
  </r>
  <r>
    <s v="2025-01-31"/>
    <x v="0"/>
    <s v="Friday"/>
    <x v="0"/>
    <x v="2"/>
    <s v="Corporate"/>
    <s v="Online"/>
    <x v="4"/>
    <x v="1"/>
    <n v="180000"/>
    <n v="8"/>
    <x v="2"/>
    <n v="144000"/>
    <n v="1440000"/>
    <x v="37"/>
    <n v="288000"/>
    <n v="780"/>
  </r>
  <r>
    <s v="2025-01-22"/>
    <x v="0"/>
    <s v="Wednesday"/>
    <x v="0"/>
    <x v="2"/>
    <s v="Retail"/>
    <s v="Online"/>
    <x v="2"/>
    <x v="1"/>
    <n v="60000"/>
    <n v="7"/>
    <x v="2"/>
    <n v="48000"/>
    <n v="420000"/>
    <x v="40"/>
    <n v="84000"/>
    <n v="781"/>
  </r>
  <r>
    <s v="2025-04-18"/>
    <x v="1"/>
    <s v="Friday"/>
    <x v="1"/>
    <x v="1"/>
    <s v="Corporate"/>
    <s v="Online"/>
    <x v="7"/>
    <x v="2"/>
    <n v="420000"/>
    <n v="7"/>
    <x v="2"/>
    <n v="336000"/>
    <n v="2940000"/>
    <x v="70"/>
    <n v="588000"/>
    <n v="782"/>
  </r>
  <r>
    <s v="2025-02-18"/>
    <x v="2"/>
    <s v="Tuesday"/>
    <x v="1"/>
    <x v="0"/>
    <s v="Retail"/>
    <s v="Online"/>
    <x v="4"/>
    <x v="1"/>
    <n v="180000"/>
    <n v="5"/>
    <x v="5"/>
    <n v="144000"/>
    <n v="900000"/>
    <x v="48"/>
    <n v="180000"/>
    <n v="783"/>
  </r>
  <r>
    <s v="2025-03-27"/>
    <x v="3"/>
    <s v="Thursday"/>
    <x v="1"/>
    <x v="2"/>
    <s v="Corporate"/>
    <s v="Store"/>
    <x v="7"/>
    <x v="2"/>
    <n v="420000"/>
    <n v="9"/>
    <x v="5"/>
    <n v="336000"/>
    <n v="3780000"/>
    <x v="12"/>
    <n v="756000"/>
    <n v="784"/>
  </r>
  <r>
    <s v="2025-02-10"/>
    <x v="2"/>
    <s v="Monday"/>
    <x v="1"/>
    <x v="2"/>
    <s v="Corporate"/>
    <s v="Store"/>
    <x v="3"/>
    <x v="2"/>
    <n v="300000"/>
    <n v="7"/>
    <x v="3"/>
    <n v="240000"/>
    <n v="2100000"/>
    <x v="13"/>
    <n v="420000"/>
    <n v="785"/>
  </r>
  <r>
    <s v="2025-04-15"/>
    <x v="1"/>
    <s v="Tuesday"/>
    <x v="0"/>
    <x v="3"/>
    <s v="Retail"/>
    <s v="Store"/>
    <x v="6"/>
    <x v="2"/>
    <n v="150000"/>
    <n v="3"/>
    <x v="1"/>
    <n v="120000"/>
    <n v="450000"/>
    <x v="34"/>
    <n v="90000"/>
    <n v="786"/>
  </r>
  <r>
    <s v="2025-01-21"/>
    <x v="0"/>
    <s v="Tuesday"/>
    <x v="0"/>
    <x v="1"/>
    <s v="Retail"/>
    <s v="Store"/>
    <x v="3"/>
    <x v="2"/>
    <n v="300000"/>
    <n v="10"/>
    <x v="5"/>
    <n v="240000"/>
    <n v="3000000"/>
    <x v="68"/>
    <n v="600000"/>
    <n v="787"/>
  </r>
  <r>
    <s v="2025-02-19"/>
    <x v="2"/>
    <s v="Wednesday"/>
    <x v="1"/>
    <x v="0"/>
    <s v="Retail"/>
    <s v="Online"/>
    <x v="7"/>
    <x v="2"/>
    <n v="420000"/>
    <n v="8"/>
    <x v="5"/>
    <n v="336000"/>
    <n v="3360000"/>
    <x v="19"/>
    <n v="672000"/>
    <n v="788"/>
  </r>
  <r>
    <s v="2025-03-10"/>
    <x v="3"/>
    <s v="Monday"/>
    <x v="0"/>
    <x v="2"/>
    <s v="Corporate"/>
    <s v="Store"/>
    <x v="9"/>
    <x v="1"/>
    <n v="220000"/>
    <n v="2"/>
    <x v="2"/>
    <n v="176000"/>
    <n v="440000"/>
    <x v="15"/>
    <n v="88000"/>
    <n v="789"/>
  </r>
  <r>
    <s v="2025-02-23"/>
    <x v="2"/>
    <s v="Sunday"/>
    <x v="0"/>
    <x v="3"/>
    <s v="Retail"/>
    <s v="Online"/>
    <x v="6"/>
    <x v="2"/>
    <n v="150000"/>
    <n v="4"/>
    <x v="0"/>
    <n v="120000"/>
    <n v="600000"/>
    <x v="4"/>
    <n v="120000"/>
    <n v="790"/>
  </r>
  <r>
    <s v="2025-01-29"/>
    <x v="0"/>
    <s v="Wednesday"/>
    <x v="0"/>
    <x v="1"/>
    <s v="Retail"/>
    <s v="Online"/>
    <x v="1"/>
    <x v="1"/>
    <n v="30000"/>
    <n v="8"/>
    <x v="3"/>
    <n v="24000"/>
    <n v="240000"/>
    <x v="1"/>
    <n v="48000"/>
    <n v="791"/>
  </r>
  <r>
    <s v="2025-02-08"/>
    <x v="2"/>
    <s v="Saturday"/>
    <x v="0"/>
    <x v="2"/>
    <s v="Corporate"/>
    <s v="Store"/>
    <x v="7"/>
    <x v="2"/>
    <n v="420000"/>
    <n v="3"/>
    <x v="4"/>
    <n v="336000"/>
    <n v="1260000"/>
    <x v="55"/>
    <n v="252000"/>
    <n v="792"/>
  </r>
  <r>
    <s v="2025-01-21"/>
    <x v="0"/>
    <s v="Tuesday"/>
    <x v="0"/>
    <x v="0"/>
    <s v="Corporate"/>
    <s v="Store"/>
    <x v="3"/>
    <x v="2"/>
    <n v="300000"/>
    <n v="4"/>
    <x v="5"/>
    <n v="240000"/>
    <n v="1200000"/>
    <x v="29"/>
    <n v="240000"/>
    <n v="793"/>
  </r>
  <r>
    <s v="2025-03-20"/>
    <x v="3"/>
    <s v="Thursday"/>
    <x v="0"/>
    <x v="1"/>
    <s v="Retail"/>
    <s v="Online"/>
    <x v="8"/>
    <x v="2"/>
    <n v="250000"/>
    <n v="6"/>
    <x v="1"/>
    <n v="200000"/>
    <n v="1500000"/>
    <x v="17"/>
    <n v="300000"/>
    <n v="794"/>
  </r>
  <r>
    <s v="2025-04-24"/>
    <x v="1"/>
    <s v="Thursday"/>
    <x v="0"/>
    <x v="2"/>
    <s v="Corporate"/>
    <s v="Store"/>
    <x v="5"/>
    <x v="0"/>
    <n v="320000"/>
    <n v="6"/>
    <x v="3"/>
    <n v="256000"/>
    <n v="1920000"/>
    <x v="31"/>
    <n v="384000"/>
    <n v="795"/>
  </r>
  <r>
    <s v="2025-01-11"/>
    <x v="0"/>
    <s v="Saturday"/>
    <x v="0"/>
    <x v="2"/>
    <s v="Retail"/>
    <s v="Online"/>
    <x v="4"/>
    <x v="1"/>
    <n v="180000"/>
    <n v="5"/>
    <x v="3"/>
    <n v="144000"/>
    <n v="900000"/>
    <x v="48"/>
    <n v="180000"/>
    <n v="796"/>
  </r>
  <r>
    <s v="2025-02-28"/>
    <x v="2"/>
    <s v="Friday"/>
    <x v="0"/>
    <x v="0"/>
    <s v="Retail"/>
    <s v="Online"/>
    <x v="6"/>
    <x v="2"/>
    <n v="150000"/>
    <n v="1"/>
    <x v="2"/>
    <n v="120000"/>
    <n v="150000"/>
    <x v="26"/>
    <n v="30000"/>
    <n v="797"/>
  </r>
  <r>
    <s v="2025-01-02"/>
    <x v="0"/>
    <s v="Thursday"/>
    <x v="0"/>
    <x v="0"/>
    <s v="Retail"/>
    <s v="Store"/>
    <x v="2"/>
    <x v="1"/>
    <n v="60000"/>
    <n v="3"/>
    <x v="5"/>
    <n v="48000"/>
    <n v="180000"/>
    <x v="32"/>
    <n v="36000"/>
    <n v="798"/>
  </r>
  <r>
    <s v="2025-03-05"/>
    <x v="3"/>
    <s v="Wednesday"/>
    <x v="1"/>
    <x v="3"/>
    <s v="Corporate"/>
    <s v="Online"/>
    <x v="0"/>
    <x v="0"/>
    <n v="85000"/>
    <n v="10"/>
    <x v="1"/>
    <n v="68000"/>
    <n v="850000"/>
    <x v="43"/>
    <n v="170000"/>
    <n v="799"/>
  </r>
  <r>
    <s v="2025-04-02"/>
    <x v="1"/>
    <s v="Wednesday"/>
    <x v="0"/>
    <x v="3"/>
    <s v="Corporate"/>
    <s v="Store"/>
    <x v="6"/>
    <x v="2"/>
    <n v="150000"/>
    <n v="3"/>
    <x v="4"/>
    <n v="120000"/>
    <n v="450000"/>
    <x v="34"/>
    <n v="90000"/>
    <n v="800"/>
  </r>
  <r>
    <s v="2025-02-06"/>
    <x v="2"/>
    <s v="Thursday"/>
    <x v="2"/>
    <x v="0"/>
    <s v="Corporate"/>
    <s v="Store"/>
    <x v="7"/>
    <x v="2"/>
    <n v="420000"/>
    <n v="9"/>
    <x v="4"/>
    <n v="336000"/>
    <n v="3780000"/>
    <x v="12"/>
    <n v="756000"/>
    <n v="801"/>
  </r>
  <r>
    <s v="2025-04-11"/>
    <x v="1"/>
    <s v="Friday"/>
    <x v="2"/>
    <x v="3"/>
    <s v="Retail"/>
    <s v="Store"/>
    <x v="9"/>
    <x v="1"/>
    <n v="220000"/>
    <n v="1"/>
    <x v="3"/>
    <n v="176000"/>
    <n v="220000"/>
    <x v="25"/>
    <n v="44000"/>
    <n v="802"/>
  </r>
  <r>
    <s v="2025-02-07"/>
    <x v="2"/>
    <s v="Friday"/>
    <x v="1"/>
    <x v="3"/>
    <s v="Corporate"/>
    <s v="Online"/>
    <x v="0"/>
    <x v="0"/>
    <n v="85000"/>
    <n v="4"/>
    <x v="1"/>
    <n v="68000"/>
    <n v="340000"/>
    <x v="74"/>
    <n v="68000"/>
    <n v="803"/>
  </r>
  <r>
    <s v="2025-04-03"/>
    <x v="1"/>
    <s v="Thursday"/>
    <x v="0"/>
    <x v="0"/>
    <s v="Retail"/>
    <s v="Online"/>
    <x v="7"/>
    <x v="2"/>
    <n v="420000"/>
    <n v="6"/>
    <x v="4"/>
    <n v="336000"/>
    <n v="2520000"/>
    <x v="76"/>
    <n v="504000"/>
    <n v="804"/>
  </r>
  <r>
    <s v="2025-04-05"/>
    <x v="1"/>
    <s v="Saturday"/>
    <x v="3"/>
    <x v="3"/>
    <s v="Corporate"/>
    <s v="Online"/>
    <x v="7"/>
    <x v="2"/>
    <n v="420000"/>
    <n v="6"/>
    <x v="2"/>
    <n v="336000"/>
    <n v="2520000"/>
    <x v="76"/>
    <n v="504000"/>
    <n v="805"/>
  </r>
  <r>
    <s v="2025-01-02"/>
    <x v="0"/>
    <s v="Thursday"/>
    <x v="1"/>
    <x v="0"/>
    <s v="Retail"/>
    <s v="Online"/>
    <x v="3"/>
    <x v="2"/>
    <n v="300000"/>
    <n v="10"/>
    <x v="3"/>
    <n v="240000"/>
    <n v="3000000"/>
    <x v="68"/>
    <n v="600000"/>
    <n v="806"/>
  </r>
  <r>
    <s v="2025-01-07"/>
    <x v="0"/>
    <s v="Tuesday"/>
    <x v="2"/>
    <x v="1"/>
    <s v="Retail"/>
    <s v="Store"/>
    <x v="9"/>
    <x v="1"/>
    <n v="220000"/>
    <n v="4"/>
    <x v="2"/>
    <n v="176000"/>
    <n v="880000"/>
    <x v="22"/>
    <n v="176000"/>
    <n v="807"/>
  </r>
  <r>
    <s v="2025-03-19"/>
    <x v="3"/>
    <s v="Wednesday"/>
    <x v="0"/>
    <x v="3"/>
    <s v="Retail"/>
    <s v="Store"/>
    <x v="4"/>
    <x v="1"/>
    <n v="180000"/>
    <n v="8"/>
    <x v="4"/>
    <n v="144000"/>
    <n v="1440000"/>
    <x v="37"/>
    <n v="288000"/>
    <n v="808"/>
  </r>
  <r>
    <s v="2025-04-10"/>
    <x v="1"/>
    <s v="Thursday"/>
    <x v="0"/>
    <x v="3"/>
    <s v="Retail"/>
    <s v="Online"/>
    <x v="8"/>
    <x v="2"/>
    <n v="250000"/>
    <n v="3"/>
    <x v="0"/>
    <n v="200000"/>
    <n v="750000"/>
    <x v="56"/>
    <n v="150000"/>
    <n v="809"/>
  </r>
  <r>
    <s v="2025-01-05"/>
    <x v="0"/>
    <s v="Sunday"/>
    <x v="3"/>
    <x v="2"/>
    <s v="Corporate"/>
    <s v="Online"/>
    <x v="3"/>
    <x v="2"/>
    <n v="300000"/>
    <n v="7"/>
    <x v="0"/>
    <n v="240000"/>
    <n v="2100000"/>
    <x v="13"/>
    <n v="420000"/>
    <n v="810"/>
  </r>
  <r>
    <s v="2025-01-05"/>
    <x v="0"/>
    <s v="Sunday"/>
    <x v="3"/>
    <x v="3"/>
    <s v="Retail"/>
    <s v="Store"/>
    <x v="3"/>
    <x v="2"/>
    <n v="300000"/>
    <n v="7"/>
    <x v="5"/>
    <n v="240000"/>
    <n v="2100000"/>
    <x v="13"/>
    <n v="420000"/>
    <n v="811"/>
  </r>
  <r>
    <s v="2025-04-12"/>
    <x v="1"/>
    <s v="Saturday"/>
    <x v="3"/>
    <x v="3"/>
    <s v="Corporate"/>
    <s v="Store"/>
    <x v="8"/>
    <x v="2"/>
    <n v="250000"/>
    <n v="1"/>
    <x v="4"/>
    <n v="200000"/>
    <n v="250000"/>
    <x v="44"/>
    <n v="50000"/>
    <n v="812"/>
  </r>
  <r>
    <s v="2025-02-23"/>
    <x v="2"/>
    <s v="Sunday"/>
    <x v="0"/>
    <x v="1"/>
    <s v="Corporate"/>
    <s v="Online"/>
    <x v="3"/>
    <x v="2"/>
    <n v="300000"/>
    <n v="3"/>
    <x v="3"/>
    <n v="240000"/>
    <n v="900000"/>
    <x v="48"/>
    <n v="180000"/>
    <n v="813"/>
  </r>
  <r>
    <s v="2025-04-01"/>
    <x v="1"/>
    <s v="Tuesday"/>
    <x v="2"/>
    <x v="0"/>
    <s v="Retail"/>
    <s v="Online"/>
    <x v="7"/>
    <x v="2"/>
    <n v="420000"/>
    <n v="10"/>
    <x v="2"/>
    <n v="336000"/>
    <n v="4200000"/>
    <x v="20"/>
    <n v="840000"/>
    <n v="814"/>
  </r>
  <r>
    <s v="2025-04-21"/>
    <x v="1"/>
    <s v="Monday"/>
    <x v="3"/>
    <x v="2"/>
    <s v="Corporate"/>
    <s v="Online"/>
    <x v="2"/>
    <x v="1"/>
    <n v="60000"/>
    <n v="9"/>
    <x v="3"/>
    <n v="48000"/>
    <n v="540000"/>
    <x v="46"/>
    <n v="108000"/>
    <n v="815"/>
  </r>
  <r>
    <s v="2025-04-30"/>
    <x v="1"/>
    <s v="Wednesday"/>
    <x v="0"/>
    <x v="0"/>
    <s v="Retail"/>
    <s v="Online"/>
    <x v="8"/>
    <x v="2"/>
    <n v="250000"/>
    <n v="4"/>
    <x v="2"/>
    <n v="200000"/>
    <n v="1000000"/>
    <x v="14"/>
    <n v="200000"/>
    <n v="816"/>
  </r>
  <r>
    <s v="2025-04-29"/>
    <x v="1"/>
    <s v="Tuesday"/>
    <x v="1"/>
    <x v="2"/>
    <s v="Retail"/>
    <s v="Online"/>
    <x v="8"/>
    <x v="2"/>
    <n v="250000"/>
    <n v="3"/>
    <x v="4"/>
    <n v="200000"/>
    <n v="750000"/>
    <x v="56"/>
    <n v="150000"/>
    <n v="817"/>
  </r>
  <r>
    <s v="2025-02-16"/>
    <x v="2"/>
    <s v="Sunday"/>
    <x v="0"/>
    <x v="3"/>
    <s v="Retail"/>
    <s v="Store"/>
    <x v="2"/>
    <x v="1"/>
    <n v="60000"/>
    <n v="3"/>
    <x v="0"/>
    <n v="48000"/>
    <n v="180000"/>
    <x v="32"/>
    <n v="36000"/>
    <n v="818"/>
  </r>
  <r>
    <s v="2025-02-03"/>
    <x v="2"/>
    <s v="Monday"/>
    <x v="0"/>
    <x v="1"/>
    <s v="Corporate"/>
    <s v="Online"/>
    <x v="5"/>
    <x v="0"/>
    <n v="320000"/>
    <n v="1"/>
    <x v="1"/>
    <n v="256000"/>
    <n v="320000"/>
    <x v="7"/>
    <n v="64000"/>
    <n v="819"/>
  </r>
  <r>
    <s v="2025-02-01"/>
    <x v="2"/>
    <s v="Saturday"/>
    <x v="3"/>
    <x v="3"/>
    <s v="Corporate"/>
    <s v="Store"/>
    <x v="2"/>
    <x v="1"/>
    <n v="60000"/>
    <n v="8"/>
    <x v="1"/>
    <n v="48000"/>
    <n v="480000"/>
    <x v="47"/>
    <n v="96000"/>
    <n v="820"/>
  </r>
  <r>
    <s v="2025-02-14"/>
    <x v="2"/>
    <s v="Friday"/>
    <x v="1"/>
    <x v="2"/>
    <s v="Corporate"/>
    <s v="Store"/>
    <x v="8"/>
    <x v="2"/>
    <n v="250000"/>
    <n v="5"/>
    <x v="3"/>
    <n v="200000"/>
    <n v="1250000"/>
    <x v="21"/>
    <n v="250000"/>
    <n v="821"/>
  </r>
  <r>
    <s v="2025-03-04"/>
    <x v="3"/>
    <s v="Tuesday"/>
    <x v="0"/>
    <x v="0"/>
    <s v="Corporate"/>
    <s v="Store"/>
    <x v="5"/>
    <x v="0"/>
    <n v="320000"/>
    <n v="2"/>
    <x v="5"/>
    <n v="256000"/>
    <n v="640000"/>
    <x v="38"/>
    <n v="128000"/>
    <n v="822"/>
  </r>
  <r>
    <s v="2025-02-24"/>
    <x v="2"/>
    <s v="Monday"/>
    <x v="2"/>
    <x v="2"/>
    <s v="Corporate"/>
    <s v="Online"/>
    <x v="9"/>
    <x v="1"/>
    <n v="220000"/>
    <n v="5"/>
    <x v="1"/>
    <n v="176000"/>
    <n v="1100000"/>
    <x v="51"/>
    <n v="220000"/>
    <n v="823"/>
  </r>
  <r>
    <s v="2025-03-16"/>
    <x v="3"/>
    <s v="Sunday"/>
    <x v="0"/>
    <x v="1"/>
    <s v="Corporate"/>
    <s v="Store"/>
    <x v="8"/>
    <x v="2"/>
    <n v="250000"/>
    <n v="3"/>
    <x v="0"/>
    <n v="200000"/>
    <n v="750000"/>
    <x v="56"/>
    <n v="150000"/>
    <n v="824"/>
  </r>
  <r>
    <s v="2025-03-23"/>
    <x v="3"/>
    <s v="Sunday"/>
    <x v="0"/>
    <x v="2"/>
    <s v="Retail"/>
    <s v="Store"/>
    <x v="0"/>
    <x v="0"/>
    <n v="85000"/>
    <n v="10"/>
    <x v="2"/>
    <n v="68000"/>
    <n v="850000"/>
    <x v="43"/>
    <n v="170000"/>
    <n v="825"/>
  </r>
  <r>
    <s v="2025-02-07"/>
    <x v="2"/>
    <s v="Friday"/>
    <x v="2"/>
    <x v="0"/>
    <s v="Retail"/>
    <s v="Store"/>
    <x v="7"/>
    <x v="2"/>
    <n v="420000"/>
    <n v="6"/>
    <x v="3"/>
    <n v="336000"/>
    <n v="2520000"/>
    <x v="76"/>
    <n v="504000"/>
    <n v="826"/>
  </r>
  <r>
    <s v="2025-04-10"/>
    <x v="1"/>
    <s v="Thursday"/>
    <x v="3"/>
    <x v="1"/>
    <s v="Retail"/>
    <s v="Store"/>
    <x v="6"/>
    <x v="2"/>
    <n v="150000"/>
    <n v="5"/>
    <x v="1"/>
    <n v="120000"/>
    <n v="750000"/>
    <x v="56"/>
    <n v="150000"/>
    <n v="827"/>
  </r>
  <r>
    <s v="2025-04-12"/>
    <x v="1"/>
    <s v="Saturday"/>
    <x v="3"/>
    <x v="0"/>
    <s v="Retail"/>
    <s v="Store"/>
    <x v="5"/>
    <x v="0"/>
    <n v="320000"/>
    <n v="3"/>
    <x v="4"/>
    <n v="256000"/>
    <n v="960000"/>
    <x v="9"/>
    <n v="192000"/>
    <n v="828"/>
  </r>
  <r>
    <s v="2025-04-12"/>
    <x v="1"/>
    <s v="Saturday"/>
    <x v="3"/>
    <x v="3"/>
    <s v="Corporate"/>
    <s v="Online"/>
    <x v="1"/>
    <x v="1"/>
    <n v="30000"/>
    <n v="1"/>
    <x v="3"/>
    <n v="24000"/>
    <n v="30000"/>
    <x v="75"/>
    <n v="6000"/>
    <n v="829"/>
  </r>
  <r>
    <s v="2025-02-03"/>
    <x v="2"/>
    <s v="Monday"/>
    <x v="0"/>
    <x v="2"/>
    <s v="Retail"/>
    <s v="Online"/>
    <x v="4"/>
    <x v="1"/>
    <n v="180000"/>
    <n v="10"/>
    <x v="3"/>
    <n v="144000"/>
    <n v="1800000"/>
    <x v="5"/>
    <n v="360000"/>
    <n v="830"/>
  </r>
  <r>
    <s v="2025-01-11"/>
    <x v="0"/>
    <s v="Saturday"/>
    <x v="2"/>
    <x v="0"/>
    <s v="Corporate"/>
    <s v="Store"/>
    <x v="4"/>
    <x v="1"/>
    <n v="180000"/>
    <n v="3"/>
    <x v="0"/>
    <n v="144000"/>
    <n v="540000"/>
    <x v="46"/>
    <n v="108000"/>
    <n v="831"/>
  </r>
  <r>
    <s v="2025-02-23"/>
    <x v="2"/>
    <s v="Sunday"/>
    <x v="1"/>
    <x v="0"/>
    <s v="Corporate"/>
    <s v="Online"/>
    <x v="7"/>
    <x v="2"/>
    <n v="420000"/>
    <n v="3"/>
    <x v="1"/>
    <n v="336000"/>
    <n v="1260000"/>
    <x v="55"/>
    <n v="252000"/>
    <n v="832"/>
  </r>
  <r>
    <s v="2025-04-09"/>
    <x v="1"/>
    <s v="Wednesday"/>
    <x v="1"/>
    <x v="1"/>
    <s v="Retail"/>
    <s v="Online"/>
    <x v="9"/>
    <x v="1"/>
    <n v="220000"/>
    <n v="6"/>
    <x v="4"/>
    <n v="176000"/>
    <n v="1320000"/>
    <x v="36"/>
    <n v="264000"/>
    <n v="833"/>
  </r>
  <r>
    <s v="2025-01-26"/>
    <x v="0"/>
    <s v="Sunday"/>
    <x v="2"/>
    <x v="2"/>
    <s v="Retail"/>
    <s v="Online"/>
    <x v="2"/>
    <x v="1"/>
    <n v="60000"/>
    <n v="10"/>
    <x v="3"/>
    <n v="48000"/>
    <n v="600000"/>
    <x v="4"/>
    <n v="120000"/>
    <n v="834"/>
  </r>
  <r>
    <s v="2025-03-01"/>
    <x v="3"/>
    <s v="Saturday"/>
    <x v="2"/>
    <x v="1"/>
    <s v="Retail"/>
    <s v="Store"/>
    <x v="4"/>
    <x v="1"/>
    <n v="180000"/>
    <n v="10"/>
    <x v="2"/>
    <n v="144000"/>
    <n v="1800000"/>
    <x v="5"/>
    <n v="360000"/>
    <n v="835"/>
  </r>
  <r>
    <s v="2025-04-30"/>
    <x v="1"/>
    <s v="Wednesday"/>
    <x v="1"/>
    <x v="0"/>
    <s v="Corporate"/>
    <s v="Store"/>
    <x v="9"/>
    <x v="1"/>
    <n v="220000"/>
    <n v="4"/>
    <x v="1"/>
    <n v="176000"/>
    <n v="880000"/>
    <x v="22"/>
    <n v="176000"/>
    <n v="836"/>
  </r>
  <r>
    <s v="2025-03-13"/>
    <x v="3"/>
    <s v="Thursday"/>
    <x v="2"/>
    <x v="3"/>
    <s v="Corporate"/>
    <s v="Store"/>
    <x v="8"/>
    <x v="2"/>
    <n v="250000"/>
    <n v="4"/>
    <x v="3"/>
    <n v="200000"/>
    <n v="1000000"/>
    <x v="14"/>
    <n v="200000"/>
    <n v="837"/>
  </r>
  <r>
    <s v="2025-03-28"/>
    <x v="3"/>
    <s v="Friday"/>
    <x v="2"/>
    <x v="1"/>
    <s v="Corporate"/>
    <s v="Store"/>
    <x v="1"/>
    <x v="1"/>
    <n v="30000"/>
    <n v="2"/>
    <x v="5"/>
    <n v="24000"/>
    <n v="60000"/>
    <x v="41"/>
    <n v="12000"/>
    <n v="838"/>
  </r>
  <r>
    <s v="2025-04-27"/>
    <x v="1"/>
    <s v="Sunday"/>
    <x v="0"/>
    <x v="2"/>
    <s v="Retail"/>
    <s v="Store"/>
    <x v="4"/>
    <x v="1"/>
    <n v="180000"/>
    <n v="6"/>
    <x v="2"/>
    <n v="144000"/>
    <n v="1080000"/>
    <x v="53"/>
    <n v="216000"/>
    <n v="839"/>
  </r>
  <r>
    <s v="2025-01-07"/>
    <x v="0"/>
    <s v="Tuesday"/>
    <x v="2"/>
    <x v="3"/>
    <s v="Corporate"/>
    <s v="Store"/>
    <x v="4"/>
    <x v="1"/>
    <n v="180000"/>
    <n v="8"/>
    <x v="5"/>
    <n v="144000"/>
    <n v="1440000"/>
    <x v="37"/>
    <n v="288000"/>
    <n v="840"/>
  </r>
  <r>
    <s v="2025-03-01"/>
    <x v="3"/>
    <s v="Saturday"/>
    <x v="0"/>
    <x v="1"/>
    <s v="Corporate"/>
    <s v="Store"/>
    <x v="7"/>
    <x v="2"/>
    <n v="420000"/>
    <n v="3"/>
    <x v="0"/>
    <n v="336000"/>
    <n v="1260000"/>
    <x v="55"/>
    <n v="252000"/>
    <n v="841"/>
  </r>
  <r>
    <s v="2025-04-10"/>
    <x v="1"/>
    <s v="Thursday"/>
    <x v="3"/>
    <x v="2"/>
    <s v="Corporate"/>
    <s v="Online"/>
    <x v="1"/>
    <x v="1"/>
    <n v="30000"/>
    <n v="10"/>
    <x v="2"/>
    <n v="24000"/>
    <n v="300000"/>
    <x v="11"/>
    <n v="60000"/>
    <n v="842"/>
  </r>
  <r>
    <s v="2025-02-02"/>
    <x v="2"/>
    <s v="Sunday"/>
    <x v="1"/>
    <x v="2"/>
    <s v="Corporate"/>
    <s v="Online"/>
    <x v="0"/>
    <x v="0"/>
    <n v="85000"/>
    <n v="7"/>
    <x v="5"/>
    <n v="68000"/>
    <n v="595000"/>
    <x v="30"/>
    <n v="119000"/>
    <n v="843"/>
  </r>
  <r>
    <s v="2025-04-17"/>
    <x v="1"/>
    <s v="Thursday"/>
    <x v="0"/>
    <x v="0"/>
    <s v="Retail"/>
    <s v="Store"/>
    <x v="1"/>
    <x v="1"/>
    <n v="30000"/>
    <n v="5"/>
    <x v="0"/>
    <n v="24000"/>
    <n v="150000"/>
    <x v="26"/>
    <n v="30000"/>
    <n v="844"/>
  </r>
  <r>
    <s v="2025-03-01"/>
    <x v="3"/>
    <s v="Saturday"/>
    <x v="3"/>
    <x v="0"/>
    <s v="Retail"/>
    <s v="Store"/>
    <x v="3"/>
    <x v="2"/>
    <n v="300000"/>
    <n v="5"/>
    <x v="5"/>
    <n v="240000"/>
    <n v="1500000"/>
    <x v="17"/>
    <n v="300000"/>
    <n v="845"/>
  </r>
  <r>
    <s v="2025-01-27"/>
    <x v="0"/>
    <s v="Monday"/>
    <x v="0"/>
    <x v="2"/>
    <s v="Corporate"/>
    <s v="Store"/>
    <x v="0"/>
    <x v="0"/>
    <n v="85000"/>
    <n v="8"/>
    <x v="2"/>
    <n v="68000"/>
    <n v="680000"/>
    <x v="69"/>
    <n v="136000"/>
    <n v="846"/>
  </r>
  <r>
    <s v="2025-04-11"/>
    <x v="1"/>
    <s v="Friday"/>
    <x v="2"/>
    <x v="3"/>
    <s v="Corporate"/>
    <s v="Store"/>
    <x v="9"/>
    <x v="1"/>
    <n v="220000"/>
    <n v="7"/>
    <x v="1"/>
    <n v="176000"/>
    <n v="1540000"/>
    <x v="67"/>
    <n v="308000"/>
    <n v="847"/>
  </r>
  <r>
    <s v="2025-02-08"/>
    <x v="2"/>
    <s v="Saturday"/>
    <x v="3"/>
    <x v="1"/>
    <s v="Retail"/>
    <s v="Online"/>
    <x v="0"/>
    <x v="0"/>
    <n v="85000"/>
    <n v="8"/>
    <x v="1"/>
    <n v="68000"/>
    <n v="680000"/>
    <x v="69"/>
    <n v="136000"/>
    <n v="848"/>
  </r>
  <r>
    <s v="2025-02-22"/>
    <x v="2"/>
    <s v="Saturday"/>
    <x v="1"/>
    <x v="3"/>
    <s v="Corporate"/>
    <s v="Online"/>
    <x v="6"/>
    <x v="2"/>
    <n v="150000"/>
    <n v="5"/>
    <x v="3"/>
    <n v="120000"/>
    <n v="750000"/>
    <x v="56"/>
    <n v="150000"/>
    <n v="849"/>
  </r>
  <r>
    <s v="2025-04-16"/>
    <x v="1"/>
    <s v="Wednesday"/>
    <x v="1"/>
    <x v="0"/>
    <s v="Retail"/>
    <s v="Store"/>
    <x v="2"/>
    <x v="1"/>
    <n v="60000"/>
    <n v="10"/>
    <x v="1"/>
    <n v="48000"/>
    <n v="600000"/>
    <x v="4"/>
    <n v="120000"/>
    <n v="850"/>
  </r>
  <r>
    <s v="2025-04-23"/>
    <x v="1"/>
    <s v="Wednesday"/>
    <x v="0"/>
    <x v="2"/>
    <s v="Corporate"/>
    <s v="Online"/>
    <x v="9"/>
    <x v="1"/>
    <n v="220000"/>
    <n v="1"/>
    <x v="0"/>
    <n v="176000"/>
    <n v="220000"/>
    <x v="25"/>
    <n v="44000"/>
    <n v="851"/>
  </r>
  <r>
    <s v="2025-02-08"/>
    <x v="2"/>
    <s v="Saturday"/>
    <x v="3"/>
    <x v="1"/>
    <s v="Corporate"/>
    <s v="Online"/>
    <x v="1"/>
    <x v="1"/>
    <n v="30000"/>
    <n v="3"/>
    <x v="2"/>
    <n v="24000"/>
    <n v="90000"/>
    <x v="33"/>
    <n v="18000"/>
    <n v="852"/>
  </r>
  <r>
    <s v="2025-03-17"/>
    <x v="3"/>
    <s v="Monday"/>
    <x v="2"/>
    <x v="1"/>
    <s v="Corporate"/>
    <s v="Online"/>
    <x v="7"/>
    <x v="2"/>
    <n v="420000"/>
    <n v="1"/>
    <x v="3"/>
    <n v="336000"/>
    <n v="420000"/>
    <x v="40"/>
    <n v="84000"/>
    <n v="853"/>
  </r>
  <r>
    <s v="2025-03-28"/>
    <x v="3"/>
    <s v="Friday"/>
    <x v="1"/>
    <x v="0"/>
    <s v="Retail"/>
    <s v="Store"/>
    <x v="1"/>
    <x v="1"/>
    <n v="30000"/>
    <n v="5"/>
    <x v="5"/>
    <n v="24000"/>
    <n v="150000"/>
    <x v="26"/>
    <n v="30000"/>
    <n v="854"/>
  </r>
  <r>
    <s v="2025-03-07"/>
    <x v="3"/>
    <s v="Friday"/>
    <x v="1"/>
    <x v="3"/>
    <s v="Corporate"/>
    <s v="Online"/>
    <x v="7"/>
    <x v="2"/>
    <n v="420000"/>
    <n v="7"/>
    <x v="0"/>
    <n v="336000"/>
    <n v="2940000"/>
    <x v="70"/>
    <n v="588000"/>
    <n v="855"/>
  </r>
  <r>
    <s v="2025-03-19"/>
    <x v="3"/>
    <s v="Wednesday"/>
    <x v="2"/>
    <x v="1"/>
    <s v="Retail"/>
    <s v="Store"/>
    <x v="4"/>
    <x v="1"/>
    <n v="180000"/>
    <n v="8"/>
    <x v="4"/>
    <n v="144000"/>
    <n v="1440000"/>
    <x v="37"/>
    <n v="288000"/>
    <n v="856"/>
  </r>
  <r>
    <s v="2025-04-14"/>
    <x v="1"/>
    <s v="Monday"/>
    <x v="0"/>
    <x v="3"/>
    <s v="Corporate"/>
    <s v="Store"/>
    <x v="9"/>
    <x v="1"/>
    <n v="220000"/>
    <n v="3"/>
    <x v="2"/>
    <n v="176000"/>
    <n v="660000"/>
    <x v="49"/>
    <n v="132000"/>
    <n v="857"/>
  </r>
  <r>
    <s v="2025-01-01"/>
    <x v="0"/>
    <s v="Wednesday"/>
    <x v="1"/>
    <x v="3"/>
    <s v="Retail"/>
    <s v="Online"/>
    <x v="7"/>
    <x v="2"/>
    <n v="420000"/>
    <n v="3"/>
    <x v="0"/>
    <n v="336000"/>
    <n v="1260000"/>
    <x v="55"/>
    <n v="252000"/>
    <n v="858"/>
  </r>
  <r>
    <s v="2025-01-10"/>
    <x v="0"/>
    <s v="Friday"/>
    <x v="1"/>
    <x v="2"/>
    <s v="Retail"/>
    <s v="Online"/>
    <x v="4"/>
    <x v="1"/>
    <n v="180000"/>
    <n v="5"/>
    <x v="5"/>
    <n v="144000"/>
    <n v="900000"/>
    <x v="48"/>
    <n v="180000"/>
    <n v="859"/>
  </r>
  <r>
    <s v="2025-01-31"/>
    <x v="0"/>
    <s v="Friday"/>
    <x v="0"/>
    <x v="2"/>
    <s v="Corporate"/>
    <s v="Online"/>
    <x v="9"/>
    <x v="1"/>
    <n v="220000"/>
    <n v="5"/>
    <x v="2"/>
    <n v="176000"/>
    <n v="1100000"/>
    <x v="51"/>
    <n v="220000"/>
    <n v="860"/>
  </r>
  <r>
    <s v="2025-02-03"/>
    <x v="2"/>
    <s v="Monday"/>
    <x v="3"/>
    <x v="3"/>
    <s v="Corporate"/>
    <s v="Online"/>
    <x v="8"/>
    <x v="2"/>
    <n v="250000"/>
    <n v="2"/>
    <x v="3"/>
    <n v="200000"/>
    <n v="500000"/>
    <x v="73"/>
    <n v="100000"/>
    <n v="861"/>
  </r>
  <r>
    <s v="2025-04-03"/>
    <x v="1"/>
    <s v="Thursday"/>
    <x v="1"/>
    <x v="2"/>
    <s v="Corporate"/>
    <s v="Online"/>
    <x v="7"/>
    <x v="2"/>
    <n v="420000"/>
    <n v="3"/>
    <x v="3"/>
    <n v="336000"/>
    <n v="1260000"/>
    <x v="55"/>
    <n v="252000"/>
    <n v="862"/>
  </r>
  <r>
    <s v="2025-01-07"/>
    <x v="0"/>
    <s v="Tuesday"/>
    <x v="1"/>
    <x v="1"/>
    <s v="Corporate"/>
    <s v="Online"/>
    <x v="7"/>
    <x v="2"/>
    <n v="420000"/>
    <n v="8"/>
    <x v="2"/>
    <n v="336000"/>
    <n v="3360000"/>
    <x v="19"/>
    <n v="672000"/>
    <n v="863"/>
  </r>
  <r>
    <s v="2025-04-16"/>
    <x v="1"/>
    <s v="Wednesday"/>
    <x v="1"/>
    <x v="0"/>
    <s v="Corporate"/>
    <s v="Online"/>
    <x v="7"/>
    <x v="2"/>
    <n v="420000"/>
    <n v="7"/>
    <x v="0"/>
    <n v="336000"/>
    <n v="2940000"/>
    <x v="70"/>
    <n v="588000"/>
    <n v="864"/>
  </r>
  <r>
    <s v="2025-04-25"/>
    <x v="1"/>
    <s v="Friday"/>
    <x v="0"/>
    <x v="2"/>
    <s v="Corporate"/>
    <s v="Online"/>
    <x v="5"/>
    <x v="0"/>
    <n v="320000"/>
    <n v="6"/>
    <x v="2"/>
    <n v="256000"/>
    <n v="1920000"/>
    <x v="31"/>
    <n v="384000"/>
    <n v="865"/>
  </r>
  <r>
    <s v="2025-02-26"/>
    <x v="2"/>
    <s v="Wednesday"/>
    <x v="3"/>
    <x v="2"/>
    <s v="Corporate"/>
    <s v="Online"/>
    <x v="2"/>
    <x v="1"/>
    <n v="60000"/>
    <n v="3"/>
    <x v="2"/>
    <n v="48000"/>
    <n v="180000"/>
    <x v="32"/>
    <n v="36000"/>
    <n v="866"/>
  </r>
  <r>
    <s v="2025-02-01"/>
    <x v="2"/>
    <s v="Saturday"/>
    <x v="0"/>
    <x v="0"/>
    <s v="Corporate"/>
    <s v="Store"/>
    <x v="0"/>
    <x v="0"/>
    <n v="85000"/>
    <n v="8"/>
    <x v="0"/>
    <n v="68000"/>
    <n v="680000"/>
    <x v="69"/>
    <n v="136000"/>
    <n v="867"/>
  </r>
  <r>
    <s v="2025-01-20"/>
    <x v="0"/>
    <s v="Monday"/>
    <x v="0"/>
    <x v="0"/>
    <s v="Corporate"/>
    <s v="Store"/>
    <x v="4"/>
    <x v="1"/>
    <n v="180000"/>
    <n v="9"/>
    <x v="3"/>
    <n v="144000"/>
    <n v="1620000"/>
    <x v="27"/>
    <n v="324000"/>
    <n v="868"/>
  </r>
  <r>
    <s v="2025-02-24"/>
    <x v="2"/>
    <s v="Monday"/>
    <x v="0"/>
    <x v="2"/>
    <s v="Corporate"/>
    <s v="Store"/>
    <x v="9"/>
    <x v="1"/>
    <n v="220000"/>
    <n v="5"/>
    <x v="3"/>
    <n v="176000"/>
    <n v="1100000"/>
    <x v="51"/>
    <n v="220000"/>
    <n v="869"/>
  </r>
  <r>
    <s v="2025-01-10"/>
    <x v="0"/>
    <s v="Friday"/>
    <x v="2"/>
    <x v="2"/>
    <s v="Corporate"/>
    <s v="Store"/>
    <x v="4"/>
    <x v="1"/>
    <n v="180000"/>
    <n v="5"/>
    <x v="3"/>
    <n v="144000"/>
    <n v="900000"/>
    <x v="48"/>
    <n v="180000"/>
    <n v="870"/>
  </r>
  <r>
    <s v="2025-03-04"/>
    <x v="3"/>
    <s v="Tuesday"/>
    <x v="0"/>
    <x v="1"/>
    <s v="Corporate"/>
    <s v="Online"/>
    <x v="2"/>
    <x v="1"/>
    <n v="60000"/>
    <n v="7"/>
    <x v="0"/>
    <n v="48000"/>
    <n v="420000"/>
    <x v="40"/>
    <n v="84000"/>
    <n v="871"/>
  </r>
  <r>
    <s v="2025-04-16"/>
    <x v="1"/>
    <s v="Wednesday"/>
    <x v="2"/>
    <x v="2"/>
    <s v="Corporate"/>
    <s v="Store"/>
    <x v="6"/>
    <x v="2"/>
    <n v="150000"/>
    <n v="7"/>
    <x v="3"/>
    <n v="120000"/>
    <n v="1050000"/>
    <x v="16"/>
    <n v="210000"/>
    <n v="872"/>
  </r>
  <r>
    <s v="2025-04-13"/>
    <x v="1"/>
    <s v="Sunday"/>
    <x v="1"/>
    <x v="0"/>
    <s v="Corporate"/>
    <s v="Store"/>
    <x v="1"/>
    <x v="1"/>
    <n v="30000"/>
    <n v="4"/>
    <x v="4"/>
    <n v="24000"/>
    <n v="120000"/>
    <x v="3"/>
    <n v="24000"/>
    <n v="873"/>
  </r>
  <r>
    <s v="2025-01-11"/>
    <x v="0"/>
    <s v="Saturday"/>
    <x v="0"/>
    <x v="3"/>
    <s v="Corporate"/>
    <s v="Store"/>
    <x v="7"/>
    <x v="2"/>
    <n v="420000"/>
    <n v="1"/>
    <x v="4"/>
    <n v="336000"/>
    <n v="420000"/>
    <x v="40"/>
    <n v="84000"/>
    <n v="874"/>
  </r>
  <r>
    <s v="2025-02-11"/>
    <x v="2"/>
    <s v="Tuesday"/>
    <x v="0"/>
    <x v="2"/>
    <s v="Corporate"/>
    <s v="Store"/>
    <x v="7"/>
    <x v="2"/>
    <n v="420000"/>
    <n v="4"/>
    <x v="3"/>
    <n v="336000"/>
    <n v="1680000"/>
    <x v="45"/>
    <n v="336000"/>
    <n v="875"/>
  </r>
  <r>
    <s v="2025-02-01"/>
    <x v="2"/>
    <s v="Saturday"/>
    <x v="3"/>
    <x v="2"/>
    <s v="Corporate"/>
    <s v="Online"/>
    <x v="0"/>
    <x v="0"/>
    <n v="85000"/>
    <n v="4"/>
    <x v="3"/>
    <n v="68000"/>
    <n v="340000"/>
    <x v="74"/>
    <n v="68000"/>
    <n v="876"/>
  </r>
  <r>
    <s v="2025-04-22"/>
    <x v="1"/>
    <s v="Tuesday"/>
    <x v="0"/>
    <x v="1"/>
    <s v="Corporate"/>
    <s v="Store"/>
    <x v="5"/>
    <x v="0"/>
    <n v="320000"/>
    <n v="5"/>
    <x v="2"/>
    <n v="256000"/>
    <n v="1600000"/>
    <x v="28"/>
    <n v="320000"/>
    <n v="877"/>
  </r>
  <r>
    <s v="2025-02-20"/>
    <x v="2"/>
    <s v="Thursday"/>
    <x v="1"/>
    <x v="0"/>
    <s v="Corporate"/>
    <s v="Store"/>
    <x v="0"/>
    <x v="0"/>
    <n v="85000"/>
    <n v="4"/>
    <x v="2"/>
    <n v="68000"/>
    <n v="340000"/>
    <x v="74"/>
    <n v="68000"/>
    <n v="878"/>
  </r>
  <r>
    <s v="2025-02-28"/>
    <x v="2"/>
    <s v="Friday"/>
    <x v="0"/>
    <x v="0"/>
    <s v="Corporate"/>
    <s v="Store"/>
    <x v="7"/>
    <x v="2"/>
    <n v="420000"/>
    <n v="7"/>
    <x v="5"/>
    <n v="336000"/>
    <n v="2940000"/>
    <x v="70"/>
    <n v="588000"/>
    <n v="879"/>
  </r>
  <r>
    <s v="2025-01-13"/>
    <x v="0"/>
    <s v="Monday"/>
    <x v="0"/>
    <x v="2"/>
    <s v="Corporate"/>
    <s v="Online"/>
    <x v="1"/>
    <x v="1"/>
    <n v="30000"/>
    <n v="10"/>
    <x v="2"/>
    <n v="24000"/>
    <n v="300000"/>
    <x v="11"/>
    <n v="60000"/>
    <n v="880"/>
  </r>
  <r>
    <s v="2025-03-24"/>
    <x v="3"/>
    <s v="Monday"/>
    <x v="0"/>
    <x v="2"/>
    <s v="Corporate"/>
    <s v="Online"/>
    <x v="6"/>
    <x v="2"/>
    <n v="150000"/>
    <n v="10"/>
    <x v="2"/>
    <n v="120000"/>
    <n v="1500000"/>
    <x v="17"/>
    <n v="300000"/>
    <n v="881"/>
  </r>
  <r>
    <s v="2025-01-31"/>
    <x v="0"/>
    <s v="Friday"/>
    <x v="2"/>
    <x v="0"/>
    <s v="Corporate"/>
    <s v="Store"/>
    <x v="8"/>
    <x v="2"/>
    <n v="250000"/>
    <n v="4"/>
    <x v="4"/>
    <n v="200000"/>
    <n v="1000000"/>
    <x v="14"/>
    <n v="200000"/>
    <n v="882"/>
  </r>
  <r>
    <s v="2025-04-05"/>
    <x v="1"/>
    <s v="Saturday"/>
    <x v="1"/>
    <x v="3"/>
    <s v="Retail"/>
    <s v="Online"/>
    <x v="9"/>
    <x v="1"/>
    <n v="220000"/>
    <n v="6"/>
    <x v="4"/>
    <n v="176000"/>
    <n v="1320000"/>
    <x v="36"/>
    <n v="264000"/>
    <n v="883"/>
  </r>
  <r>
    <s v="2025-01-16"/>
    <x v="0"/>
    <s v="Thursday"/>
    <x v="3"/>
    <x v="0"/>
    <s v="Retail"/>
    <s v="Store"/>
    <x v="6"/>
    <x v="2"/>
    <n v="150000"/>
    <n v="10"/>
    <x v="1"/>
    <n v="120000"/>
    <n v="1500000"/>
    <x v="17"/>
    <n v="300000"/>
    <n v="884"/>
  </r>
  <r>
    <s v="2025-02-12"/>
    <x v="2"/>
    <s v="Wednesday"/>
    <x v="1"/>
    <x v="2"/>
    <s v="Retail"/>
    <s v="Online"/>
    <x v="6"/>
    <x v="2"/>
    <n v="150000"/>
    <n v="2"/>
    <x v="2"/>
    <n v="120000"/>
    <n v="300000"/>
    <x v="11"/>
    <n v="60000"/>
    <n v="885"/>
  </r>
  <r>
    <s v="2025-01-03"/>
    <x v="0"/>
    <s v="Friday"/>
    <x v="0"/>
    <x v="0"/>
    <s v="Retail"/>
    <s v="Online"/>
    <x v="8"/>
    <x v="2"/>
    <n v="250000"/>
    <n v="4"/>
    <x v="3"/>
    <n v="200000"/>
    <n v="1000000"/>
    <x v="14"/>
    <n v="200000"/>
    <n v="886"/>
  </r>
  <r>
    <s v="2025-04-04"/>
    <x v="1"/>
    <s v="Friday"/>
    <x v="1"/>
    <x v="0"/>
    <s v="Retail"/>
    <s v="Store"/>
    <x v="6"/>
    <x v="2"/>
    <n v="150000"/>
    <n v="9"/>
    <x v="1"/>
    <n v="120000"/>
    <n v="1350000"/>
    <x v="63"/>
    <n v="270000"/>
    <n v="887"/>
  </r>
  <r>
    <s v="2025-04-20"/>
    <x v="1"/>
    <s v="Sunday"/>
    <x v="3"/>
    <x v="2"/>
    <s v="Retail"/>
    <s v="Store"/>
    <x v="7"/>
    <x v="2"/>
    <n v="420000"/>
    <n v="7"/>
    <x v="3"/>
    <n v="336000"/>
    <n v="2940000"/>
    <x v="70"/>
    <n v="588000"/>
    <n v="888"/>
  </r>
  <r>
    <s v="2025-04-22"/>
    <x v="1"/>
    <s v="Tuesday"/>
    <x v="1"/>
    <x v="1"/>
    <s v="Retail"/>
    <s v="Online"/>
    <x v="0"/>
    <x v="0"/>
    <n v="85000"/>
    <n v="2"/>
    <x v="0"/>
    <n v="68000"/>
    <n v="170000"/>
    <x v="2"/>
    <n v="34000"/>
    <n v="889"/>
  </r>
  <r>
    <s v="2025-03-22"/>
    <x v="3"/>
    <s v="Saturday"/>
    <x v="2"/>
    <x v="1"/>
    <s v="Corporate"/>
    <s v="Store"/>
    <x v="0"/>
    <x v="0"/>
    <n v="85000"/>
    <n v="1"/>
    <x v="3"/>
    <n v="68000"/>
    <n v="85000"/>
    <x v="0"/>
    <n v="17000"/>
    <n v="890"/>
  </r>
  <r>
    <s v="2025-02-25"/>
    <x v="2"/>
    <s v="Tuesday"/>
    <x v="2"/>
    <x v="2"/>
    <s v="Retail"/>
    <s v="Store"/>
    <x v="7"/>
    <x v="2"/>
    <n v="420000"/>
    <n v="9"/>
    <x v="0"/>
    <n v="336000"/>
    <n v="3780000"/>
    <x v="12"/>
    <n v="756000"/>
    <n v="891"/>
  </r>
  <r>
    <s v="2025-03-14"/>
    <x v="3"/>
    <s v="Friday"/>
    <x v="3"/>
    <x v="1"/>
    <s v="Retail"/>
    <s v="Store"/>
    <x v="9"/>
    <x v="1"/>
    <n v="220000"/>
    <n v="2"/>
    <x v="5"/>
    <n v="176000"/>
    <n v="440000"/>
    <x v="15"/>
    <n v="88000"/>
    <n v="892"/>
  </r>
  <r>
    <s v="2025-03-10"/>
    <x v="3"/>
    <s v="Monday"/>
    <x v="0"/>
    <x v="2"/>
    <s v="Corporate"/>
    <s v="Store"/>
    <x v="9"/>
    <x v="1"/>
    <n v="220000"/>
    <n v="8"/>
    <x v="4"/>
    <n v="176000"/>
    <n v="1760000"/>
    <x v="42"/>
    <n v="352000"/>
    <n v="893"/>
  </r>
  <r>
    <s v="2025-02-03"/>
    <x v="2"/>
    <s v="Monday"/>
    <x v="3"/>
    <x v="0"/>
    <s v="Corporate"/>
    <s v="Online"/>
    <x v="1"/>
    <x v="1"/>
    <n v="30000"/>
    <n v="9"/>
    <x v="0"/>
    <n v="24000"/>
    <n v="270000"/>
    <x v="57"/>
    <n v="54000"/>
    <n v="894"/>
  </r>
  <r>
    <s v="2025-02-18"/>
    <x v="2"/>
    <s v="Tuesday"/>
    <x v="3"/>
    <x v="3"/>
    <s v="Corporate"/>
    <s v="Online"/>
    <x v="5"/>
    <x v="0"/>
    <n v="320000"/>
    <n v="3"/>
    <x v="4"/>
    <n v="256000"/>
    <n v="960000"/>
    <x v="9"/>
    <n v="192000"/>
    <n v="895"/>
  </r>
  <r>
    <s v="2025-01-17"/>
    <x v="0"/>
    <s v="Friday"/>
    <x v="3"/>
    <x v="0"/>
    <s v="Retail"/>
    <s v="Online"/>
    <x v="1"/>
    <x v="1"/>
    <n v="30000"/>
    <n v="6"/>
    <x v="3"/>
    <n v="24000"/>
    <n v="180000"/>
    <x v="32"/>
    <n v="36000"/>
    <n v="896"/>
  </r>
  <r>
    <s v="2025-02-12"/>
    <x v="2"/>
    <s v="Wednesday"/>
    <x v="3"/>
    <x v="2"/>
    <s v="Corporate"/>
    <s v="Online"/>
    <x v="2"/>
    <x v="1"/>
    <n v="60000"/>
    <n v="7"/>
    <x v="2"/>
    <n v="48000"/>
    <n v="420000"/>
    <x v="40"/>
    <n v="84000"/>
    <n v="897"/>
  </r>
  <r>
    <s v="2025-01-26"/>
    <x v="0"/>
    <s v="Sunday"/>
    <x v="2"/>
    <x v="2"/>
    <s v="Retail"/>
    <s v="Online"/>
    <x v="4"/>
    <x v="1"/>
    <n v="180000"/>
    <n v="2"/>
    <x v="3"/>
    <n v="144000"/>
    <n v="360000"/>
    <x v="50"/>
    <n v="72000"/>
    <n v="898"/>
  </r>
  <r>
    <s v="2025-03-08"/>
    <x v="3"/>
    <s v="Saturday"/>
    <x v="1"/>
    <x v="3"/>
    <s v="Corporate"/>
    <s v="Store"/>
    <x v="1"/>
    <x v="1"/>
    <n v="30000"/>
    <n v="5"/>
    <x v="0"/>
    <n v="24000"/>
    <n v="150000"/>
    <x v="26"/>
    <n v="30000"/>
    <n v="899"/>
  </r>
  <r>
    <s v="2025-01-08"/>
    <x v="0"/>
    <s v="Wednesday"/>
    <x v="0"/>
    <x v="1"/>
    <s v="Corporate"/>
    <s v="Store"/>
    <x v="6"/>
    <x v="2"/>
    <n v="150000"/>
    <n v="2"/>
    <x v="4"/>
    <n v="120000"/>
    <n v="300000"/>
    <x v="11"/>
    <n v="60000"/>
    <n v="900"/>
  </r>
  <r>
    <s v="2025-04-28"/>
    <x v="1"/>
    <s v="Monday"/>
    <x v="2"/>
    <x v="0"/>
    <s v="Retail"/>
    <s v="Online"/>
    <x v="1"/>
    <x v="1"/>
    <n v="30000"/>
    <n v="9"/>
    <x v="5"/>
    <n v="24000"/>
    <n v="270000"/>
    <x v="57"/>
    <n v="54000"/>
    <n v="901"/>
  </r>
  <r>
    <s v="2025-02-13"/>
    <x v="2"/>
    <s v="Thursday"/>
    <x v="2"/>
    <x v="2"/>
    <s v="Corporate"/>
    <s v="Online"/>
    <x v="6"/>
    <x v="2"/>
    <n v="150000"/>
    <n v="5"/>
    <x v="3"/>
    <n v="120000"/>
    <n v="750000"/>
    <x v="56"/>
    <n v="150000"/>
    <n v="902"/>
  </r>
  <r>
    <s v="2025-01-25"/>
    <x v="0"/>
    <s v="Saturday"/>
    <x v="2"/>
    <x v="2"/>
    <s v="Retail"/>
    <s v="Store"/>
    <x v="2"/>
    <x v="1"/>
    <n v="60000"/>
    <n v="8"/>
    <x v="5"/>
    <n v="48000"/>
    <n v="480000"/>
    <x v="47"/>
    <n v="96000"/>
    <n v="903"/>
  </r>
  <r>
    <s v="2025-04-13"/>
    <x v="1"/>
    <s v="Sunday"/>
    <x v="1"/>
    <x v="1"/>
    <s v="Retail"/>
    <s v="Online"/>
    <x v="6"/>
    <x v="2"/>
    <n v="150000"/>
    <n v="8"/>
    <x v="4"/>
    <n v="120000"/>
    <n v="1200000"/>
    <x v="29"/>
    <n v="240000"/>
    <n v="904"/>
  </r>
  <r>
    <s v="2025-03-13"/>
    <x v="3"/>
    <s v="Thursday"/>
    <x v="1"/>
    <x v="2"/>
    <s v="Retail"/>
    <s v="Store"/>
    <x v="0"/>
    <x v="0"/>
    <n v="85000"/>
    <n v="3"/>
    <x v="5"/>
    <n v="68000"/>
    <n v="255000"/>
    <x v="23"/>
    <n v="51000"/>
    <n v="905"/>
  </r>
  <r>
    <s v="2025-03-18"/>
    <x v="3"/>
    <s v="Tuesday"/>
    <x v="2"/>
    <x v="0"/>
    <s v="Corporate"/>
    <s v="Online"/>
    <x v="4"/>
    <x v="1"/>
    <n v="180000"/>
    <n v="4"/>
    <x v="4"/>
    <n v="144000"/>
    <n v="720000"/>
    <x v="65"/>
    <n v="144000"/>
    <n v="906"/>
  </r>
  <r>
    <s v="2025-01-30"/>
    <x v="0"/>
    <s v="Thursday"/>
    <x v="3"/>
    <x v="0"/>
    <s v="Retail"/>
    <s v="Online"/>
    <x v="7"/>
    <x v="2"/>
    <n v="420000"/>
    <n v="7"/>
    <x v="1"/>
    <n v="336000"/>
    <n v="2940000"/>
    <x v="70"/>
    <n v="588000"/>
    <n v="907"/>
  </r>
  <r>
    <s v="2025-01-07"/>
    <x v="0"/>
    <s v="Tuesday"/>
    <x v="1"/>
    <x v="1"/>
    <s v="Retail"/>
    <s v="Store"/>
    <x v="2"/>
    <x v="1"/>
    <n v="60000"/>
    <n v="8"/>
    <x v="1"/>
    <n v="48000"/>
    <n v="480000"/>
    <x v="47"/>
    <n v="96000"/>
    <n v="908"/>
  </r>
  <r>
    <s v="2025-03-28"/>
    <x v="3"/>
    <s v="Friday"/>
    <x v="2"/>
    <x v="2"/>
    <s v="Retail"/>
    <s v="Store"/>
    <x v="3"/>
    <x v="2"/>
    <n v="300000"/>
    <n v="1"/>
    <x v="3"/>
    <n v="240000"/>
    <n v="300000"/>
    <x v="11"/>
    <n v="60000"/>
    <n v="909"/>
  </r>
  <r>
    <s v="2025-04-12"/>
    <x v="1"/>
    <s v="Saturday"/>
    <x v="1"/>
    <x v="2"/>
    <s v="Retail"/>
    <s v="Online"/>
    <x v="1"/>
    <x v="1"/>
    <n v="30000"/>
    <n v="6"/>
    <x v="3"/>
    <n v="24000"/>
    <n v="180000"/>
    <x v="32"/>
    <n v="36000"/>
    <n v="910"/>
  </r>
  <r>
    <s v="2025-01-12"/>
    <x v="0"/>
    <s v="Sunday"/>
    <x v="3"/>
    <x v="1"/>
    <s v="Corporate"/>
    <s v="Store"/>
    <x v="8"/>
    <x v="2"/>
    <n v="250000"/>
    <n v="9"/>
    <x v="4"/>
    <n v="200000"/>
    <n v="2250000"/>
    <x v="71"/>
    <n v="450000"/>
    <n v="911"/>
  </r>
  <r>
    <s v="2025-02-06"/>
    <x v="2"/>
    <s v="Thursday"/>
    <x v="1"/>
    <x v="2"/>
    <s v="Corporate"/>
    <s v="Store"/>
    <x v="7"/>
    <x v="2"/>
    <n v="420000"/>
    <n v="9"/>
    <x v="3"/>
    <n v="336000"/>
    <n v="3780000"/>
    <x v="12"/>
    <n v="756000"/>
    <n v="912"/>
  </r>
  <r>
    <s v="2025-03-23"/>
    <x v="3"/>
    <s v="Sunday"/>
    <x v="1"/>
    <x v="2"/>
    <s v="Corporate"/>
    <s v="Store"/>
    <x v="6"/>
    <x v="2"/>
    <n v="150000"/>
    <n v="9"/>
    <x v="3"/>
    <n v="120000"/>
    <n v="1350000"/>
    <x v="63"/>
    <n v="270000"/>
    <n v="913"/>
  </r>
  <r>
    <s v="2025-02-15"/>
    <x v="2"/>
    <s v="Saturday"/>
    <x v="1"/>
    <x v="1"/>
    <s v="Corporate"/>
    <s v="Online"/>
    <x v="3"/>
    <x v="2"/>
    <n v="300000"/>
    <n v="5"/>
    <x v="5"/>
    <n v="240000"/>
    <n v="1500000"/>
    <x v="17"/>
    <n v="300000"/>
    <n v="914"/>
  </r>
  <r>
    <s v="2025-03-26"/>
    <x v="3"/>
    <s v="Wednesday"/>
    <x v="3"/>
    <x v="3"/>
    <s v="Retail"/>
    <s v="Online"/>
    <x v="1"/>
    <x v="1"/>
    <n v="30000"/>
    <n v="4"/>
    <x v="3"/>
    <n v="24000"/>
    <n v="120000"/>
    <x v="3"/>
    <n v="24000"/>
    <n v="915"/>
  </r>
  <r>
    <s v="2025-03-09"/>
    <x v="3"/>
    <s v="Sunday"/>
    <x v="0"/>
    <x v="3"/>
    <s v="Retail"/>
    <s v="Store"/>
    <x v="7"/>
    <x v="2"/>
    <n v="420000"/>
    <n v="7"/>
    <x v="5"/>
    <n v="336000"/>
    <n v="2940000"/>
    <x v="70"/>
    <n v="588000"/>
    <n v="916"/>
  </r>
  <r>
    <s v="2025-02-15"/>
    <x v="2"/>
    <s v="Saturday"/>
    <x v="1"/>
    <x v="1"/>
    <s v="Corporate"/>
    <s v="Store"/>
    <x v="5"/>
    <x v="0"/>
    <n v="320000"/>
    <n v="6"/>
    <x v="3"/>
    <n v="256000"/>
    <n v="1920000"/>
    <x v="31"/>
    <n v="384000"/>
    <n v="917"/>
  </r>
  <r>
    <s v="2025-04-10"/>
    <x v="1"/>
    <s v="Thursday"/>
    <x v="2"/>
    <x v="3"/>
    <s v="Retail"/>
    <s v="Online"/>
    <x v="0"/>
    <x v="0"/>
    <n v="85000"/>
    <n v="2"/>
    <x v="5"/>
    <n v="68000"/>
    <n v="170000"/>
    <x v="2"/>
    <n v="34000"/>
    <n v="918"/>
  </r>
  <r>
    <s v="2025-01-06"/>
    <x v="0"/>
    <s v="Monday"/>
    <x v="0"/>
    <x v="1"/>
    <s v="Retail"/>
    <s v="Online"/>
    <x v="6"/>
    <x v="2"/>
    <n v="150000"/>
    <n v="1"/>
    <x v="5"/>
    <n v="120000"/>
    <n v="150000"/>
    <x v="26"/>
    <n v="30000"/>
    <n v="919"/>
  </r>
  <r>
    <s v="2025-02-11"/>
    <x v="2"/>
    <s v="Tuesday"/>
    <x v="0"/>
    <x v="0"/>
    <s v="Corporate"/>
    <s v="Store"/>
    <x v="0"/>
    <x v="0"/>
    <n v="85000"/>
    <n v="2"/>
    <x v="4"/>
    <n v="68000"/>
    <n v="170000"/>
    <x v="2"/>
    <n v="34000"/>
    <n v="920"/>
  </r>
  <r>
    <s v="2025-04-25"/>
    <x v="1"/>
    <s v="Friday"/>
    <x v="0"/>
    <x v="3"/>
    <s v="Corporate"/>
    <s v="Online"/>
    <x v="0"/>
    <x v="0"/>
    <n v="85000"/>
    <n v="1"/>
    <x v="2"/>
    <n v="68000"/>
    <n v="85000"/>
    <x v="0"/>
    <n v="17000"/>
    <n v="921"/>
  </r>
  <r>
    <s v="2025-01-17"/>
    <x v="0"/>
    <s v="Friday"/>
    <x v="3"/>
    <x v="2"/>
    <s v="Retail"/>
    <s v="Online"/>
    <x v="4"/>
    <x v="1"/>
    <n v="180000"/>
    <n v="4"/>
    <x v="5"/>
    <n v="144000"/>
    <n v="720000"/>
    <x v="65"/>
    <n v="144000"/>
    <n v="922"/>
  </r>
  <r>
    <s v="2025-04-15"/>
    <x v="1"/>
    <s v="Tuesday"/>
    <x v="1"/>
    <x v="0"/>
    <s v="Corporate"/>
    <s v="Online"/>
    <x v="7"/>
    <x v="2"/>
    <n v="420000"/>
    <n v="8"/>
    <x v="1"/>
    <n v="336000"/>
    <n v="3360000"/>
    <x v="19"/>
    <n v="672000"/>
    <n v="923"/>
  </r>
  <r>
    <s v="2025-03-06"/>
    <x v="3"/>
    <s v="Thursday"/>
    <x v="0"/>
    <x v="2"/>
    <s v="Corporate"/>
    <s v="Store"/>
    <x v="4"/>
    <x v="1"/>
    <n v="180000"/>
    <n v="9"/>
    <x v="1"/>
    <n v="144000"/>
    <n v="1620000"/>
    <x v="27"/>
    <n v="324000"/>
    <n v="924"/>
  </r>
  <r>
    <s v="2025-01-11"/>
    <x v="0"/>
    <s v="Saturday"/>
    <x v="3"/>
    <x v="1"/>
    <s v="Corporate"/>
    <s v="Store"/>
    <x v="3"/>
    <x v="2"/>
    <n v="300000"/>
    <n v="5"/>
    <x v="5"/>
    <n v="240000"/>
    <n v="1500000"/>
    <x v="17"/>
    <n v="300000"/>
    <n v="925"/>
  </r>
  <r>
    <s v="2025-01-05"/>
    <x v="0"/>
    <s v="Sunday"/>
    <x v="0"/>
    <x v="2"/>
    <s v="Corporate"/>
    <s v="Store"/>
    <x v="2"/>
    <x v="1"/>
    <n v="60000"/>
    <n v="4"/>
    <x v="4"/>
    <n v="48000"/>
    <n v="240000"/>
    <x v="1"/>
    <n v="48000"/>
    <n v="926"/>
  </r>
  <r>
    <s v="2025-01-10"/>
    <x v="0"/>
    <s v="Friday"/>
    <x v="1"/>
    <x v="1"/>
    <s v="Corporate"/>
    <s v="Online"/>
    <x v="8"/>
    <x v="2"/>
    <n v="250000"/>
    <n v="4"/>
    <x v="4"/>
    <n v="200000"/>
    <n v="1000000"/>
    <x v="14"/>
    <n v="200000"/>
    <n v="927"/>
  </r>
  <r>
    <s v="2025-03-14"/>
    <x v="3"/>
    <s v="Friday"/>
    <x v="3"/>
    <x v="0"/>
    <s v="Retail"/>
    <s v="Store"/>
    <x v="9"/>
    <x v="1"/>
    <n v="220000"/>
    <n v="6"/>
    <x v="5"/>
    <n v="176000"/>
    <n v="1320000"/>
    <x v="36"/>
    <n v="264000"/>
    <n v="928"/>
  </r>
  <r>
    <s v="2025-04-15"/>
    <x v="1"/>
    <s v="Tuesday"/>
    <x v="1"/>
    <x v="1"/>
    <s v="Corporate"/>
    <s v="Online"/>
    <x v="3"/>
    <x v="2"/>
    <n v="300000"/>
    <n v="7"/>
    <x v="2"/>
    <n v="240000"/>
    <n v="2100000"/>
    <x v="13"/>
    <n v="420000"/>
    <n v="929"/>
  </r>
  <r>
    <s v="2025-03-30"/>
    <x v="3"/>
    <s v="Sunday"/>
    <x v="2"/>
    <x v="1"/>
    <s v="Retail"/>
    <s v="Online"/>
    <x v="7"/>
    <x v="2"/>
    <n v="420000"/>
    <n v="10"/>
    <x v="2"/>
    <n v="336000"/>
    <n v="4200000"/>
    <x v="20"/>
    <n v="840000"/>
    <n v="930"/>
  </r>
  <r>
    <s v="2025-02-21"/>
    <x v="2"/>
    <s v="Friday"/>
    <x v="0"/>
    <x v="1"/>
    <s v="Corporate"/>
    <s v="Store"/>
    <x v="1"/>
    <x v="1"/>
    <n v="30000"/>
    <n v="7"/>
    <x v="2"/>
    <n v="24000"/>
    <n v="210000"/>
    <x v="54"/>
    <n v="42000"/>
    <n v="931"/>
  </r>
  <r>
    <s v="2025-04-11"/>
    <x v="1"/>
    <s v="Friday"/>
    <x v="3"/>
    <x v="1"/>
    <s v="Corporate"/>
    <s v="Online"/>
    <x v="9"/>
    <x v="1"/>
    <n v="220000"/>
    <n v="8"/>
    <x v="4"/>
    <n v="176000"/>
    <n v="1760000"/>
    <x v="42"/>
    <n v="352000"/>
    <n v="932"/>
  </r>
  <r>
    <s v="2025-01-20"/>
    <x v="0"/>
    <s v="Monday"/>
    <x v="2"/>
    <x v="3"/>
    <s v="Retail"/>
    <s v="Store"/>
    <x v="5"/>
    <x v="0"/>
    <n v="320000"/>
    <n v="9"/>
    <x v="1"/>
    <n v="256000"/>
    <n v="2880000"/>
    <x v="8"/>
    <n v="576000"/>
    <n v="933"/>
  </r>
  <r>
    <s v="2025-01-22"/>
    <x v="0"/>
    <s v="Wednesday"/>
    <x v="1"/>
    <x v="2"/>
    <s v="Corporate"/>
    <s v="Store"/>
    <x v="4"/>
    <x v="1"/>
    <n v="180000"/>
    <n v="8"/>
    <x v="2"/>
    <n v="144000"/>
    <n v="1440000"/>
    <x v="37"/>
    <n v="288000"/>
    <n v="934"/>
  </r>
  <r>
    <s v="2025-04-26"/>
    <x v="1"/>
    <s v="Saturday"/>
    <x v="3"/>
    <x v="0"/>
    <s v="Retail"/>
    <s v="Online"/>
    <x v="1"/>
    <x v="1"/>
    <n v="30000"/>
    <n v="5"/>
    <x v="3"/>
    <n v="24000"/>
    <n v="150000"/>
    <x v="26"/>
    <n v="30000"/>
    <n v="935"/>
  </r>
  <r>
    <s v="2025-02-20"/>
    <x v="2"/>
    <s v="Thursday"/>
    <x v="2"/>
    <x v="2"/>
    <s v="Retail"/>
    <s v="Store"/>
    <x v="5"/>
    <x v="0"/>
    <n v="320000"/>
    <n v="8"/>
    <x v="2"/>
    <n v="256000"/>
    <n v="2560000"/>
    <x v="72"/>
    <n v="512000"/>
    <n v="936"/>
  </r>
  <r>
    <s v="2025-03-31"/>
    <x v="3"/>
    <s v="Monday"/>
    <x v="3"/>
    <x v="1"/>
    <s v="Retail"/>
    <s v="Store"/>
    <x v="5"/>
    <x v="0"/>
    <n v="320000"/>
    <n v="8"/>
    <x v="1"/>
    <n v="256000"/>
    <n v="2560000"/>
    <x v="72"/>
    <n v="512000"/>
    <n v="937"/>
  </r>
  <r>
    <s v="2025-01-15"/>
    <x v="0"/>
    <s v="Wednesday"/>
    <x v="1"/>
    <x v="2"/>
    <s v="Corporate"/>
    <s v="Store"/>
    <x v="1"/>
    <x v="1"/>
    <n v="30000"/>
    <n v="4"/>
    <x v="2"/>
    <n v="24000"/>
    <n v="120000"/>
    <x v="3"/>
    <n v="24000"/>
    <n v="938"/>
  </r>
  <r>
    <s v="2025-04-29"/>
    <x v="1"/>
    <s v="Tuesday"/>
    <x v="0"/>
    <x v="3"/>
    <s v="Retail"/>
    <s v="Store"/>
    <x v="4"/>
    <x v="1"/>
    <n v="180000"/>
    <n v="3"/>
    <x v="3"/>
    <n v="144000"/>
    <n v="540000"/>
    <x v="46"/>
    <n v="108000"/>
    <n v="939"/>
  </r>
  <r>
    <s v="2025-05-01"/>
    <x v="4"/>
    <s v="Thursday"/>
    <x v="3"/>
    <x v="2"/>
    <s v="Retail"/>
    <s v="Online"/>
    <x v="4"/>
    <x v="1"/>
    <n v="180000"/>
    <n v="9"/>
    <x v="3"/>
    <n v="144000"/>
    <n v="1620000"/>
    <x v="27"/>
    <n v="324000"/>
    <n v="940"/>
  </r>
  <r>
    <s v="2025-02-15"/>
    <x v="2"/>
    <s v="Saturday"/>
    <x v="3"/>
    <x v="1"/>
    <s v="Corporate"/>
    <s v="Store"/>
    <x v="4"/>
    <x v="1"/>
    <n v="180000"/>
    <n v="1"/>
    <x v="2"/>
    <n v="144000"/>
    <n v="180000"/>
    <x v="32"/>
    <n v="36000"/>
    <n v="941"/>
  </r>
  <r>
    <s v="2025-02-16"/>
    <x v="2"/>
    <s v="Sunday"/>
    <x v="0"/>
    <x v="3"/>
    <s v="Corporate"/>
    <s v="Online"/>
    <x v="9"/>
    <x v="1"/>
    <n v="220000"/>
    <n v="6"/>
    <x v="1"/>
    <n v="176000"/>
    <n v="1320000"/>
    <x v="36"/>
    <n v="264000"/>
    <n v="942"/>
  </r>
  <r>
    <s v="2025-04-02"/>
    <x v="1"/>
    <s v="Wednesday"/>
    <x v="1"/>
    <x v="1"/>
    <s v="Retail"/>
    <s v="Online"/>
    <x v="3"/>
    <x v="2"/>
    <n v="300000"/>
    <n v="3"/>
    <x v="1"/>
    <n v="240000"/>
    <n v="900000"/>
    <x v="48"/>
    <n v="180000"/>
    <n v="943"/>
  </r>
  <r>
    <s v="2025-02-17"/>
    <x v="2"/>
    <s v="Monday"/>
    <x v="2"/>
    <x v="1"/>
    <s v="Corporate"/>
    <s v="Store"/>
    <x v="5"/>
    <x v="0"/>
    <n v="320000"/>
    <n v="1"/>
    <x v="3"/>
    <n v="256000"/>
    <n v="320000"/>
    <x v="7"/>
    <n v="64000"/>
    <n v="944"/>
  </r>
  <r>
    <s v="2025-03-21"/>
    <x v="3"/>
    <s v="Friday"/>
    <x v="2"/>
    <x v="0"/>
    <s v="Corporate"/>
    <s v="Store"/>
    <x v="6"/>
    <x v="2"/>
    <n v="150000"/>
    <n v="6"/>
    <x v="3"/>
    <n v="120000"/>
    <n v="900000"/>
    <x v="48"/>
    <n v="180000"/>
    <n v="945"/>
  </r>
  <r>
    <s v="2025-02-08"/>
    <x v="2"/>
    <s v="Saturday"/>
    <x v="1"/>
    <x v="1"/>
    <s v="Corporate"/>
    <s v="Store"/>
    <x v="9"/>
    <x v="1"/>
    <n v="220000"/>
    <n v="7"/>
    <x v="1"/>
    <n v="176000"/>
    <n v="1540000"/>
    <x v="67"/>
    <n v="308000"/>
    <n v="946"/>
  </r>
  <r>
    <s v="2025-02-04"/>
    <x v="2"/>
    <s v="Tuesday"/>
    <x v="0"/>
    <x v="1"/>
    <s v="Retail"/>
    <s v="Online"/>
    <x v="9"/>
    <x v="1"/>
    <n v="220000"/>
    <n v="1"/>
    <x v="2"/>
    <n v="176000"/>
    <n v="220000"/>
    <x v="25"/>
    <n v="44000"/>
    <n v="947"/>
  </r>
  <r>
    <s v="2025-02-05"/>
    <x v="2"/>
    <s v="Wednesday"/>
    <x v="1"/>
    <x v="0"/>
    <s v="Retail"/>
    <s v="Online"/>
    <x v="0"/>
    <x v="0"/>
    <n v="85000"/>
    <n v="4"/>
    <x v="3"/>
    <n v="68000"/>
    <n v="340000"/>
    <x v="74"/>
    <n v="68000"/>
    <n v="948"/>
  </r>
  <r>
    <s v="2025-03-08"/>
    <x v="3"/>
    <s v="Saturday"/>
    <x v="0"/>
    <x v="3"/>
    <s v="Corporate"/>
    <s v="Online"/>
    <x v="8"/>
    <x v="2"/>
    <n v="250000"/>
    <n v="10"/>
    <x v="3"/>
    <n v="200000"/>
    <n v="2500000"/>
    <x v="66"/>
    <n v="500000"/>
    <n v="949"/>
  </r>
  <r>
    <s v="2025-02-25"/>
    <x v="2"/>
    <s v="Tuesday"/>
    <x v="3"/>
    <x v="3"/>
    <s v="Retail"/>
    <s v="Store"/>
    <x v="5"/>
    <x v="0"/>
    <n v="320000"/>
    <n v="1"/>
    <x v="4"/>
    <n v="256000"/>
    <n v="320000"/>
    <x v="7"/>
    <n v="64000"/>
    <n v="950"/>
  </r>
  <r>
    <s v="2025-02-11"/>
    <x v="2"/>
    <s v="Tuesday"/>
    <x v="0"/>
    <x v="0"/>
    <s v="Corporate"/>
    <s v="Store"/>
    <x v="2"/>
    <x v="1"/>
    <n v="60000"/>
    <n v="8"/>
    <x v="1"/>
    <n v="48000"/>
    <n v="480000"/>
    <x v="47"/>
    <n v="96000"/>
    <n v="951"/>
  </r>
  <r>
    <s v="2025-04-07"/>
    <x v="1"/>
    <s v="Monday"/>
    <x v="3"/>
    <x v="3"/>
    <s v="Retail"/>
    <s v="Store"/>
    <x v="7"/>
    <x v="2"/>
    <n v="420000"/>
    <n v="2"/>
    <x v="4"/>
    <n v="336000"/>
    <n v="840000"/>
    <x v="62"/>
    <n v="168000"/>
    <n v="952"/>
  </r>
  <r>
    <s v="2025-03-27"/>
    <x v="3"/>
    <s v="Thursday"/>
    <x v="3"/>
    <x v="2"/>
    <s v="Corporate"/>
    <s v="Online"/>
    <x v="8"/>
    <x v="2"/>
    <n v="250000"/>
    <n v="2"/>
    <x v="0"/>
    <n v="200000"/>
    <n v="500000"/>
    <x v="73"/>
    <n v="100000"/>
    <n v="953"/>
  </r>
  <r>
    <s v="2025-03-30"/>
    <x v="3"/>
    <s v="Sunday"/>
    <x v="0"/>
    <x v="1"/>
    <s v="Retail"/>
    <s v="Store"/>
    <x v="9"/>
    <x v="1"/>
    <n v="220000"/>
    <n v="6"/>
    <x v="5"/>
    <n v="176000"/>
    <n v="1320000"/>
    <x v="36"/>
    <n v="264000"/>
    <n v="954"/>
  </r>
  <r>
    <s v="2025-04-29"/>
    <x v="1"/>
    <s v="Tuesday"/>
    <x v="3"/>
    <x v="1"/>
    <s v="Corporate"/>
    <s v="Store"/>
    <x v="2"/>
    <x v="1"/>
    <n v="60000"/>
    <n v="1"/>
    <x v="3"/>
    <n v="48000"/>
    <n v="60000"/>
    <x v="41"/>
    <n v="12000"/>
    <n v="955"/>
  </r>
  <r>
    <s v="2025-02-01"/>
    <x v="2"/>
    <s v="Saturday"/>
    <x v="0"/>
    <x v="0"/>
    <s v="Retail"/>
    <s v="Store"/>
    <x v="0"/>
    <x v="0"/>
    <n v="85000"/>
    <n v="9"/>
    <x v="5"/>
    <n v="68000"/>
    <n v="765000"/>
    <x v="18"/>
    <n v="153000"/>
    <n v="956"/>
  </r>
  <r>
    <s v="2025-01-25"/>
    <x v="0"/>
    <s v="Saturday"/>
    <x v="2"/>
    <x v="1"/>
    <s v="Retail"/>
    <s v="Store"/>
    <x v="2"/>
    <x v="1"/>
    <n v="60000"/>
    <n v="9"/>
    <x v="4"/>
    <n v="48000"/>
    <n v="540000"/>
    <x v="46"/>
    <n v="108000"/>
    <n v="957"/>
  </r>
  <r>
    <s v="2025-04-13"/>
    <x v="1"/>
    <s v="Sunday"/>
    <x v="1"/>
    <x v="2"/>
    <s v="Corporate"/>
    <s v="Store"/>
    <x v="0"/>
    <x v="0"/>
    <n v="85000"/>
    <n v="7"/>
    <x v="1"/>
    <n v="68000"/>
    <n v="595000"/>
    <x v="30"/>
    <n v="119000"/>
    <n v="958"/>
  </r>
  <r>
    <s v="2025-02-08"/>
    <x v="2"/>
    <s v="Saturday"/>
    <x v="2"/>
    <x v="3"/>
    <s v="Retail"/>
    <s v="Online"/>
    <x v="5"/>
    <x v="0"/>
    <n v="320000"/>
    <n v="4"/>
    <x v="2"/>
    <n v="256000"/>
    <n v="1280000"/>
    <x v="6"/>
    <n v="256000"/>
    <n v="959"/>
  </r>
  <r>
    <s v="2025-04-15"/>
    <x v="1"/>
    <s v="Tuesday"/>
    <x v="2"/>
    <x v="3"/>
    <s v="Corporate"/>
    <s v="Online"/>
    <x v="8"/>
    <x v="2"/>
    <n v="250000"/>
    <n v="4"/>
    <x v="3"/>
    <n v="200000"/>
    <n v="1000000"/>
    <x v="14"/>
    <n v="200000"/>
    <n v="960"/>
  </r>
  <r>
    <s v="2025-03-10"/>
    <x v="3"/>
    <s v="Monday"/>
    <x v="1"/>
    <x v="2"/>
    <s v="Corporate"/>
    <s v="Online"/>
    <x v="2"/>
    <x v="1"/>
    <n v="60000"/>
    <n v="8"/>
    <x v="1"/>
    <n v="48000"/>
    <n v="480000"/>
    <x v="47"/>
    <n v="96000"/>
    <n v="961"/>
  </r>
  <r>
    <s v="2025-04-30"/>
    <x v="1"/>
    <s v="Wednesday"/>
    <x v="0"/>
    <x v="2"/>
    <s v="Corporate"/>
    <s v="Online"/>
    <x v="7"/>
    <x v="2"/>
    <n v="420000"/>
    <n v="2"/>
    <x v="5"/>
    <n v="336000"/>
    <n v="840000"/>
    <x v="62"/>
    <n v="168000"/>
    <n v="962"/>
  </r>
  <r>
    <s v="2025-01-04"/>
    <x v="0"/>
    <s v="Saturday"/>
    <x v="1"/>
    <x v="3"/>
    <s v="Corporate"/>
    <s v="Store"/>
    <x v="6"/>
    <x v="2"/>
    <n v="150000"/>
    <n v="1"/>
    <x v="3"/>
    <n v="120000"/>
    <n v="150000"/>
    <x v="26"/>
    <n v="30000"/>
    <n v="963"/>
  </r>
  <r>
    <s v="2025-04-27"/>
    <x v="1"/>
    <s v="Sunday"/>
    <x v="2"/>
    <x v="1"/>
    <s v="Retail"/>
    <s v="Online"/>
    <x v="8"/>
    <x v="2"/>
    <n v="250000"/>
    <n v="8"/>
    <x v="4"/>
    <n v="200000"/>
    <n v="2000000"/>
    <x v="52"/>
    <n v="400000"/>
    <n v="964"/>
  </r>
  <r>
    <s v="2025-04-24"/>
    <x v="1"/>
    <s v="Thursday"/>
    <x v="0"/>
    <x v="3"/>
    <s v="Retail"/>
    <s v="Online"/>
    <x v="3"/>
    <x v="2"/>
    <n v="300000"/>
    <n v="10"/>
    <x v="5"/>
    <n v="240000"/>
    <n v="3000000"/>
    <x v="68"/>
    <n v="600000"/>
    <n v="965"/>
  </r>
  <r>
    <s v="2025-03-11"/>
    <x v="3"/>
    <s v="Tuesday"/>
    <x v="1"/>
    <x v="1"/>
    <s v="Corporate"/>
    <s v="Store"/>
    <x v="2"/>
    <x v="1"/>
    <n v="60000"/>
    <n v="3"/>
    <x v="1"/>
    <n v="48000"/>
    <n v="180000"/>
    <x v="32"/>
    <n v="36000"/>
    <n v="966"/>
  </r>
  <r>
    <s v="2025-01-31"/>
    <x v="0"/>
    <s v="Friday"/>
    <x v="0"/>
    <x v="3"/>
    <s v="Corporate"/>
    <s v="Online"/>
    <x v="0"/>
    <x v="0"/>
    <n v="85000"/>
    <n v="1"/>
    <x v="1"/>
    <n v="68000"/>
    <n v="85000"/>
    <x v="0"/>
    <n v="17000"/>
    <n v="967"/>
  </r>
  <r>
    <s v="2025-02-16"/>
    <x v="2"/>
    <s v="Sunday"/>
    <x v="1"/>
    <x v="1"/>
    <s v="Corporate"/>
    <s v="Online"/>
    <x v="4"/>
    <x v="1"/>
    <n v="180000"/>
    <n v="7"/>
    <x v="0"/>
    <n v="144000"/>
    <n v="1260000"/>
    <x v="55"/>
    <n v="252000"/>
    <n v="968"/>
  </r>
  <r>
    <s v="2025-03-10"/>
    <x v="3"/>
    <s v="Monday"/>
    <x v="1"/>
    <x v="2"/>
    <s v="Corporate"/>
    <s v="Online"/>
    <x v="8"/>
    <x v="2"/>
    <n v="250000"/>
    <n v="6"/>
    <x v="2"/>
    <n v="200000"/>
    <n v="1500000"/>
    <x v="17"/>
    <n v="300000"/>
    <n v="969"/>
  </r>
  <r>
    <s v="2025-01-06"/>
    <x v="0"/>
    <s v="Monday"/>
    <x v="0"/>
    <x v="0"/>
    <s v="Corporate"/>
    <s v="Online"/>
    <x v="7"/>
    <x v="2"/>
    <n v="420000"/>
    <n v="3"/>
    <x v="0"/>
    <n v="336000"/>
    <n v="1260000"/>
    <x v="55"/>
    <n v="252000"/>
    <n v="970"/>
  </r>
  <r>
    <s v="2025-04-01"/>
    <x v="1"/>
    <s v="Tuesday"/>
    <x v="0"/>
    <x v="0"/>
    <s v="Retail"/>
    <s v="Online"/>
    <x v="1"/>
    <x v="1"/>
    <n v="30000"/>
    <n v="1"/>
    <x v="2"/>
    <n v="24000"/>
    <n v="30000"/>
    <x v="75"/>
    <n v="6000"/>
    <n v="971"/>
  </r>
  <r>
    <s v="2025-01-07"/>
    <x v="0"/>
    <s v="Tuesday"/>
    <x v="3"/>
    <x v="0"/>
    <s v="Corporate"/>
    <s v="Store"/>
    <x v="8"/>
    <x v="2"/>
    <n v="250000"/>
    <n v="3"/>
    <x v="0"/>
    <n v="200000"/>
    <n v="750000"/>
    <x v="56"/>
    <n v="150000"/>
    <n v="972"/>
  </r>
  <r>
    <s v="2025-03-26"/>
    <x v="3"/>
    <s v="Wednesday"/>
    <x v="1"/>
    <x v="2"/>
    <s v="Retail"/>
    <s v="Online"/>
    <x v="5"/>
    <x v="0"/>
    <n v="320000"/>
    <n v="10"/>
    <x v="0"/>
    <n v="256000"/>
    <n v="3200000"/>
    <x v="35"/>
    <n v="640000"/>
    <n v="973"/>
  </r>
  <r>
    <s v="2025-04-07"/>
    <x v="1"/>
    <s v="Monday"/>
    <x v="0"/>
    <x v="0"/>
    <s v="Retail"/>
    <s v="Store"/>
    <x v="8"/>
    <x v="2"/>
    <n v="250000"/>
    <n v="7"/>
    <x v="1"/>
    <n v="200000"/>
    <n v="1750000"/>
    <x v="59"/>
    <n v="350000"/>
    <n v="974"/>
  </r>
  <r>
    <s v="2025-02-18"/>
    <x v="2"/>
    <s v="Tuesday"/>
    <x v="3"/>
    <x v="1"/>
    <s v="Corporate"/>
    <s v="Online"/>
    <x v="5"/>
    <x v="0"/>
    <n v="320000"/>
    <n v="2"/>
    <x v="2"/>
    <n v="256000"/>
    <n v="640000"/>
    <x v="38"/>
    <n v="128000"/>
    <n v="975"/>
  </r>
  <r>
    <s v="2025-04-30"/>
    <x v="1"/>
    <s v="Wednesday"/>
    <x v="3"/>
    <x v="0"/>
    <s v="Corporate"/>
    <s v="Store"/>
    <x v="9"/>
    <x v="1"/>
    <n v="220000"/>
    <n v="5"/>
    <x v="3"/>
    <n v="176000"/>
    <n v="1100000"/>
    <x v="51"/>
    <n v="220000"/>
    <n v="976"/>
  </r>
  <r>
    <s v="2025-02-23"/>
    <x v="2"/>
    <s v="Sunday"/>
    <x v="3"/>
    <x v="3"/>
    <s v="Corporate"/>
    <s v="Store"/>
    <x v="7"/>
    <x v="2"/>
    <n v="420000"/>
    <n v="3"/>
    <x v="3"/>
    <n v="336000"/>
    <n v="1260000"/>
    <x v="55"/>
    <n v="252000"/>
    <n v="977"/>
  </r>
  <r>
    <s v="2025-02-09"/>
    <x v="2"/>
    <s v="Sunday"/>
    <x v="3"/>
    <x v="1"/>
    <s v="Corporate"/>
    <s v="Online"/>
    <x v="9"/>
    <x v="1"/>
    <n v="220000"/>
    <n v="3"/>
    <x v="2"/>
    <n v="176000"/>
    <n v="660000"/>
    <x v="49"/>
    <n v="132000"/>
    <n v="978"/>
  </r>
  <r>
    <s v="2025-04-13"/>
    <x v="1"/>
    <s v="Sunday"/>
    <x v="2"/>
    <x v="0"/>
    <s v="Corporate"/>
    <s v="Online"/>
    <x v="5"/>
    <x v="0"/>
    <n v="320000"/>
    <n v="5"/>
    <x v="1"/>
    <n v="256000"/>
    <n v="1600000"/>
    <x v="28"/>
    <n v="320000"/>
    <n v="979"/>
  </r>
  <r>
    <s v="2025-02-13"/>
    <x v="2"/>
    <s v="Thursday"/>
    <x v="1"/>
    <x v="2"/>
    <s v="Retail"/>
    <s v="Store"/>
    <x v="0"/>
    <x v="0"/>
    <n v="85000"/>
    <n v="8"/>
    <x v="0"/>
    <n v="68000"/>
    <n v="680000"/>
    <x v="69"/>
    <n v="136000"/>
    <n v="980"/>
  </r>
  <r>
    <s v="2025-02-13"/>
    <x v="2"/>
    <s v="Thursday"/>
    <x v="1"/>
    <x v="3"/>
    <s v="Corporate"/>
    <s v="Store"/>
    <x v="6"/>
    <x v="2"/>
    <n v="150000"/>
    <n v="9"/>
    <x v="5"/>
    <n v="120000"/>
    <n v="1350000"/>
    <x v="63"/>
    <n v="270000"/>
    <n v="981"/>
  </r>
  <r>
    <s v="2025-02-12"/>
    <x v="2"/>
    <s v="Wednesday"/>
    <x v="0"/>
    <x v="0"/>
    <s v="Corporate"/>
    <s v="Online"/>
    <x v="8"/>
    <x v="2"/>
    <n v="250000"/>
    <n v="4"/>
    <x v="3"/>
    <n v="200000"/>
    <n v="1000000"/>
    <x v="14"/>
    <n v="200000"/>
    <n v="982"/>
  </r>
  <r>
    <s v="2025-02-08"/>
    <x v="2"/>
    <s v="Saturday"/>
    <x v="3"/>
    <x v="1"/>
    <s v="Retail"/>
    <s v="Store"/>
    <x v="9"/>
    <x v="1"/>
    <n v="220000"/>
    <n v="4"/>
    <x v="3"/>
    <n v="176000"/>
    <n v="880000"/>
    <x v="22"/>
    <n v="176000"/>
    <n v="983"/>
  </r>
  <r>
    <s v="2025-04-02"/>
    <x v="1"/>
    <s v="Wednesday"/>
    <x v="3"/>
    <x v="0"/>
    <s v="Corporate"/>
    <s v="Store"/>
    <x v="0"/>
    <x v="0"/>
    <n v="85000"/>
    <n v="2"/>
    <x v="0"/>
    <n v="68000"/>
    <n v="170000"/>
    <x v="2"/>
    <n v="34000"/>
    <n v="984"/>
  </r>
  <r>
    <s v="2025-02-02"/>
    <x v="2"/>
    <s v="Sunday"/>
    <x v="1"/>
    <x v="0"/>
    <s v="Retail"/>
    <s v="Online"/>
    <x v="8"/>
    <x v="2"/>
    <n v="250000"/>
    <n v="3"/>
    <x v="3"/>
    <n v="200000"/>
    <n v="750000"/>
    <x v="56"/>
    <n v="150000"/>
    <n v="985"/>
  </r>
  <r>
    <s v="2025-01-12"/>
    <x v="0"/>
    <s v="Sunday"/>
    <x v="3"/>
    <x v="2"/>
    <s v="Corporate"/>
    <s v="Online"/>
    <x v="6"/>
    <x v="2"/>
    <n v="150000"/>
    <n v="4"/>
    <x v="3"/>
    <n v="120000"/>
    <n v="600000"/>
    <x v="4"/>
    <n v="120000"/>
    <n v="986"/>
  </r>
  <r>
    <s v="2025-02-15"/>
    <x v="2"/>
    <s v="Saturday"/>
    <x v="3"/>
    <x v="0"/>
    <s v="Retail"/>
    <s v="Online"/>
    <x v="0"/>
    <x v="0"/>
    <n v="85000"/>
    <n v="2"/>
    <x v="0"/>
    <n v="68000"/>
    <n v="170000"/>
    <x v="2"/>
    <n v="34000"/>
    <n v="987"/>
  </r>
  <r>
    <s v="2025-01-17"/>
    <x v="0"/>
    <s v="Friday"/>
    <x v="0"/>
    <x v="2"/>
    <s v="Corporate"/>
    <s v="Store"/>
    <x v="6"/>
    <x v="2"/>
    <n v="150000"/>
    <n v="4"/>
    <x v="2"/>
    <n v="120000"/>
    <n v="600000"/>
    <x v="4"/>
    <n v="120000"/>
    <n v="988"/>
  </r>
  <r>
    <s v="2025-02-13"/>
    <x v="2"/>
    <s v="Thursday"/>
    <x v="3"/>
    <x v="0"/>
    <s v="Retail"/>
    <s v="Online"/>
    <x v="6"/>
    <x v="2"/>
    <n v="150000"/>
    <n v="3"/>
    <x v="1"/>
    <n v="120000"/>
    <n v="450000"/>
    <x v="34"/>
    <n v="90000"/>
    <n v="989"/>
  </r>
  <r>
    <s v="2025-01-29"/>
    <x v="0"/>
    <s v="Wednesday"/>
    <x v="3"/>
    <x v="0"/>
    <s v="Corporate"/>
    <s v="Online"/>
    <x v="1"/>
    <x v="1"/>
    <n v="30000"/>
    <n v="3"/>
    <x v="1"/>
    <n v="24000"/>
    <n v="90000"/>
    <x v="33"/>
    <n v="18000"/>
    <n v="990"/>
  </r>
  <r>
    <s v="2025-04-25"/>
    <x v="1"/>
    <s v="Friday"/>
    <x v="3"/>
    <x v="1"/>
    <s v="Corporate"/>
    <s v="Store"/>
    <x v="5"/>
    <x v="0"/>
    <n v="320000"/>
    <n v="5"/>
    <x v="5"/>
    <n v="256000"/>
    <n v="1600000"/>
    <x v="28"/>
    <n v="320000"/>
    <n v="991"/>
  </r>
  <r>
    <s v="2025-04-25"/>
    <x v="1"/>
    <s v="Friday"/>
    <x v="1"/>
    <x v="3"/>
    <s v="Corporate"/>
    <s v="Online"/>
    <x v="8"/>
    <x v="2"/>
    <n v="250000"/>
    <n v="3"/>
    <x v="0"/>
    <n v="200000"/>
    <n v="750000"/>
    <x v="56"/>
    <n v="150000"/>
    <n v="992"/>
  </r>
  <r>
    <s v="2025-02-26"/>
    <x v="2"/>
    <s v="Wednesday"/>
    <x v="1"/>
    <x v="2"/>
    <s v="Corporate"/>
    <s v="Store"/>
    <x v="2"/>
    <x v="1"/>
    <n v="60000"/>
    <n v="10"/>
    <x v="5"/>
    <n v="48000"/>
    <n v="600000"/>
    <x v="4"/>
    <n v="120000"/>
    <n v="993"/>
  </r>
  <r>
    <s v="2025-02-26"/>
    <x v="2"/>
    <s v="Wednesday"/>
    <x v="3"/>
    <x v="0"/>
    <s v="Retail"/>
    <s v="Store"/>
    <x v="2"/>
    <x v="1"/>
    <n v="60000"/>
    <n v="3"/>
    <x v="4"/>
    <n v="48000"/>
    <n v="180000"/>
    <x v="32"/>
    <n v="36000"/>
    <n v="994"/>
  </r>
  <r>
    <s v="2025-02-20"/>
    <x v="2"/>
    <s v="Thursday"/>
    <x v="1"/>
    <x v="1"/>
    <s v="Corporate"/>
    <s v="Store"/>
    <x v="0"/>
    <x v="0"/>
    <n v="85000"/>
    <n v="9"/>
    <x v="3"/>
    <n v="68000"/>
    <n v="765000"/>
    <x v="18"/>
    <n v="153000"/>
    <n v="995"/>
  </r>
  <r>
    <s v="2025-03-21"/>
    <x v="3"/>
    <s v="Friday"/>
    <x v="1"/>
    <x v="3"/>
    <s v="Corporate"/>
    <s v="Store"/>
    <x v="7"/>
    <x v="2"/>
    <n v="420000"/>
    <n v="4"/>
    <x v="3"/>
    <n v="336000"/>
    <n v="1680000"/>
    <x v="45"/>
    <n v="336000"/>
    <n v="996"/>
  </r>
  <r>
    <s v="2025-01-01"/>
    <x v="0"/>
    <s v="Wednesday"/>
    <x v="3"/>
    <x v="2"/>
    <s v="Corporate"/>
    <s v="Online"/>
    <x v="6"/>
    <x v="2"/>
    <n v="150000"/>
    <n v="6"/>
    <x v="4"/>
    <n v="120000"/>
    <n v="900000"/>
    <x v="48"/>
    <n v="180000"/>
    <n v="997"/>
  </r>
  <r>
    <s v="2025-04-22"/>
    <x v="1"/>
    <s v="Tuesday"/>
    <x v="3"/>
    <x v="2"/>
    <s v="Corporate"/>
    <s v="Online"/>
    <x v="5"/>
    <x v="0"/>
    <n v="320000"/>
    <n v="3"/>
    <x v="3"/>
    <n v="256000"/>
    <n v="960000"/>
    <x v="9"/>
    <n v="192000"/>
    <n v="998"/>
  </r>
  <r>
    <s v="2025-03-31"/>
    <x v="3"/>
    <s v="Monday"/>
    <x v="2"/>
    <x v="3"/>
    <s v="Retail"/>
    <s v="Store"/>
    <x v="3"/>
    <x v="2"/>
    <n v="300000"/>
    <n v="2"/>
    <x v="0"/>
    <n v="240000"/>
    <n v="600000"/>
    <x v="4"/>
    <n v="120000"/>
    <n v="999"/>
  </r>
  <r>
    <s v="2025-01-26"/>
    <x v="0"/>
    <s v="Sunday"/>
    <x v="1"/>
    <x v="2"/>
    <s v="Corporate"/>
    <s v="Online"/>
    <x v="6"/>
    <x v="2"/>
    <n v="150000"/>
    <n v="10"/>
    <x v="4"/>
    <n v="120000"/>
    <n v="1500000"/>
    <x v="17"/>
    <n v="300000"/>
    <n v="1000"/>
  </r>
  <r>
    <s v="2025-02-17"/>
    <x v="2"/>
    <s v="Monday"/>
    <x v="1"/>
    <x v="3"/>
    <s v="Retail"/>
    <s v="Store"/>
    <x v="7"/>
    <x v="2"/>
    <n v="420000"/>
    <n v="10"/>
    <x v="2"/>
    <n v="336000"/>
    <n v="4200000"/>
    <x v="20"/>
    <n v="840000"/>
    <n v="1001"/>
  </r>
  <r>
    <s v="2025-03-08"/>
    <x v="3"/>
    <s v="Saturday"/>
    <x v="3"/>
    <x v="3"/>
    <s v="Corporate"/>
    <s v="Store"/>
    <x v="4"/>
    <x v="1"/>
    <n v="180000"/>
    <n v="5"/>
    <x v="4"/>
    <n v="144000"/>
    <n v="900000"/>
    <x v="48"/>
    <n v="180000"/>
    <n v="1002"/>
  </r>
  <r>
    <s v="2025-01-29"/>
    <x v="0"/>
    <s v="Wednesday"/>
    <x v="1"/>
    <x v="3"/>
    <s v="Corporate"/>
    <s v="Store"/>
    <x v="8"/>
    <x v="2"/>
    <n v="250000"/>
    <n v="7"/>
    <x v="2"/>
    <n v="200000"/>
    <n v="1750000"/>
    <x v="59"/>
    <n v="350000"/>
    <n v="1003"/>
  </r>
  <r>
    <s v="2025-04-17"/>
    <x v="1"/>
    <s v="Thursday"/>
    <x v="0"/>
    <x v="1"/>
    <s v="Retail"/>
    <s v="Store"/>
    <x v="5"/>
    <x v="0"/>
    <n v="320000"/>
    <n v="4"/>
    <x v="1"/>
    <n v="256000"/>
    <n v="1280000"/>
    <x v="6"/>
    <n v="256000"/>
    <n v="1004"/>
  </r>
  <r>
    <s v="2025-01-08"/>
    <x v="0"/>
    <s v="Wednesday"/>
    <x v="1"/>
    <x v="1"/>
    <s v="Retail"/>
    <s v="Online"/>
    <x v="1"/>
    <x v="1"/>
    <n v="30000"/>
    <n v="2"/>
    <x v="0"/>
    <n v="24000"/>
    <n v="60000"/>
    <x v="41"/>
    <n v="12000"/>
    <n v="1005"/>
  </r>
  <r>
    <s v="2025-01-20"/>
    <x v="0"/>
    <s v="Monday"/>
    <x v="3"/>
    <x v="3"/>
    <s v="Retail"/>
    <s v="Online"/>
    <x v="6"/>
    <x v="2"/>
    <n v="150000"/>
    <n v="4"/>
    <x v="0"/>
    <n v="120000"/>
    <n v="600000"/>
    <x v="4"/>
    <n v="120000"/>
    <n v="1006"/>
  </r>
  <r>
    <s v="2025-04-14"/>
    <x v="1"/>
    <s v="Monday"/>
    <x v="3"/>
    <x v="2"/>
    <s v="Corporate"/>
    <s v="Store"/>
    <x v="2"/>
    <x v="1"/>
    <n v="60000"/>
    <n v="4"/>
    <x v="2"/>
    <n v="48000"/>
    <n v="240000"/>
    <x v="1"/>
    <n v="48000"/>
    <n v="1007"/>
  </r>
  <r>
    <s v="2025-01-04"/>
    <x v="0"/>
    <s v="Saturday"/>
    <x v="1"/>
    <x v="3"/>
    <s v="Retail"/>
    <s v="Store"/>
    <x v="5"/>
    <x v="0"/>
    <n v="320000"/>
    <n v="4"/>
    <x v="4"/>
    <n v="256000"/>
    <n v="1280000"/>
    <x v="6"/>
    <n v="256000"/>
    <n v="1008"/>
  </r>
  <r>
    <s v="2025-04-17"/>
    <x v="1"/>
    <s v="Thursday"/>
    <x v="3"/>
    <x v="1"/>
    <s v="Retail"/>
    <s v="Online"/>
    <x v="2"/>
    <x v="1"/>
    <n v="60000"/>
    <n v="2"/>
    <x v="1"/>
    <n v="48000"/>
    <n v="120000"/>
    <x v="3"/>
    <n v="24000"/>
    <n v="1009"/>
  </r>
  <r>
    <s v="2025-04-25"/>
    <x v="1"/>
    <s v="Friday"/>
    <x v="0"/>
    <x v="0"/>
    <s v="Corporate"/>
    <s v="Online"/>
    <x v="1"/>
    <x v="1"/>
    <n v="30000"/>
    <n v="7"/>
    <x v="3"/>
    <n v="24000"/>
    <n v="210000"/>
    <x v="54"/>
    <n v="42000"/>
    <n v="1010"/>
  </r>
  <r>
    <s v="2025-01-22"/>
    <x v="0"/>
    <s v="Wednesday"/>
    <x v="1"/>
    <x v="0"/>
    <s v="Retail"/>
    <s v="Store"/>
    <x v="8"/>
    <x v="2"/>
    <n v="250000"/>
    <n v="6"/>
    <x v="3"/>
    <n v="200000"/>
    <n v="1500000"/>
    <x v="17"/>
    <n v="300000"/>
    <n v="1011"/>
  </r>
  <r>
    <s v="2025-03-01"/>
    <x v="3"/>
    <s v="Saturday"/>
    <x v="3"/>
    <x v="2"/>
    <s v="Retail"/>
    <s v="Online"/>
    <x v="9"/>
    <x v="1"/>
    <n v="220000"/>
    <n v="9"/>
    <x v="0"/>
    <n v="176000"/>
    <n v="1980000"/>
    <x v="64"/>
    <n v="396000"/>
    <n v="1012"/>
  </r>
  <r>
    <s v="2025-01-31"/>
    <x v="0"/>
    <s v="Friday"/>
    <x v="1"/>
    <x v="2"/>
    <s v="Corporate"/>
    <s v="Online"/>
    <x v="3"/>
    <x v="2"/>
    <n v="300000"/>
    <n v="2"/>
    <x v="1"/>
    <n v="240000"/>
    <n v="600000"/>
    <x v="4"/>
    <n v="120000"/>
    <n v="1013"/>
  </r>
  <r>
    <s v="2025-03-14"/>
    <x v="3"/>
    <s v="Friday"/>
    <x v="0"/>
    <x v="2"/>
    <s v="Retail"/>
    <s v="Store"/>
    <x v="7"/>
    <x v="2"/>
    <n v="420000"/>
    <n v="2"/>
    <x v="1"/>
    <n v="336000"/>
    <n v="840000"/>
    <x v="62"/>
    <n v="168000"/>
    <n v="1014"/>
  </r>
  <r>
    <s v="2025-03-03"/>
    <x v="3"/>
    <s v="Monday"/>
    <x v="2"/>
    <x v="1"/>
    <s v="Retail"/>
    <s v="Store"/>
    <x v="9"/>
    <x v="1"/>
    <n v="220000"/>
    <n v="3"/>
    <x v="3"/>
    <n v="176000"/>
    <n v="660000"/>
    <x v="49"/>
    <n v="132000"/>
    <n v="1015"/>
  </r>
  <r>
    <s v="2025-03-26"/>
    <x v="3"/>
    <s v="Wednesday"/>
    <x v="2"/>
    <x v="0"/>
    <s v="Corporate"/>
    <s v="Online"/>
    <x v="9"/>
    <x v="1"/>
    <n v="220000"/>
    <n v="10"/>
    <x v="3"/>
    <n v="176000"/>
    <n v="2200000"/>
    <x v="61"/>
    <n v="440000"/>
    <n v="1016"/>
  </r>
  <r>
    <s v="2025-02-03"/>
    <x v="2"/>
    <s v="Monday"/>
    <x v="2"/>
    <x v="3"/>
    <s v="Corporate"/>
    <s v="Store"/>
    <x v="8"/>
    <x v="2"/>
    <n v="250000"/>
    <n v="8"/>
    <x v="0"/>
    <n v="200000"/>
    <n v="2000000"/>
    <x v="52"/>
    <n v="400000"/>
    <n v="1017"/>
  </r>
  <r>
    <s v="2025-02-20"/>
    <x v="2"/>
    <s v="Thursday"/>
    <x v="1"/>
    <x v="3"/>
    <s v="Retail"/>
    <s v="Online"/>
    <x v="2"/>
    <x v="1"/>
    <n v="60000"/>
    <n v="6"/>
    <x v="2"/>
    <n v="48000"/>
    <n v="360000"/>
    <x v="50"/>
    <n v="72000"/>
    <n v="1018"/>
  </r>
  <r>
    <s v="2025-02-24"/>
    <x v="2"/>
    <s v="Monday"/>
    <x v="1"/>
    <x v="1"/>
    <s v="Retail"/>
    <s v="Online"/>
    <x v="5"/>
    <x v="0"/>
    <n v="320000"/>
    <n v="4"/>
    <x v="5"/>
    <n v="256000"/>
    <n v="1280000"/>
    <x v="6"/>
    <n v="256000"/>
    <n v="1019"/>
  </r>
  <r>
    <s v="2025-01-20"/>
    <x v="0"/>
    <s v="Monday"/>
    <x v="1"/>
    <x v="0"/>
    <s v="Retail"/>
    <s v="Store"/>
    <x v="4"/>
    <x v="1"/>
    <n v="180000"/>
    <n v="7"/>
    <x v="5"/>
    <n v="144000"/>
    <n v="1260000"/>
    <x v="55"/>
    <n v="252000"/>
    <n v="1020"/>
  </r>
  <r>
    <s v="2025-01-25"/>
    <x v="0"/>
    <s v="Saturday"/>
    <x v="1"/>
    <x v="0"/>
    <s v="Retail"/>
    <s v="Online"/>
    <x v="2"/>
    <x v="1"/>
    <n v="60000"/>
    <n v="7"/>
    <x v="0"/>
    <n v="48000"/>
    <n v="420000"/>
    <x v="40"/>
    <n v="84000"/>
    <n v="1021"/>
  </r>
  <r>
    <s v="2025-01-25"/>
    <x v="0"/>
    <s v="Saturday"/>
    <x v="2"/>
    <x v="3"/>
    <s v="Retail"/>
    <s v="Online"/>
    <x v="4"/>
    <x v="1"/>
    <n v="180000"/>
    <n v="9"/>
    <x v="1"/>
    <n v="144000"/>
    <n v="1620000"/>
    <x v="27"/>
    <n v="324000"/>
    <n v="1022"/>
  </r>
  <r>
    <s v="2025-01-28"/>
    <x v="0"/>
    <s v="Tuesday"/>
    <x v="3"/>
    <x v="0"/>
    <s v="Corporate"/>
    <s v="Online"/>
    <x v="1"/>
    <x v="1"/>
    <n v="30000"/>
    <n v="6"/>
    <x v="1"/>
    <n v="24000"/>
    <n v="180000"/>
    <x v="32"/>
    <n v="36000"/>
    <n v="1023"/>
  </r>
  <r>
    <s v="2025-01-13"/>
    <x v="0"/>
    <s v="Monday"/>
    <x v="2"/>
    <x v="1"/>
    <s v="Retail"/>
    <s v="Online"/>
    <x v="3"/>
    <x v="2"/>
    <n v="300000"/>
    <n v="10"/>
    <x v="4"/>
    <n v="240000"/>
    <n v="3000000"/>
    <x v="68"/>
    <n v="600000"/>
    <n v="1024"/>
  </r>
  <r>
    <s v="2025-01-13"/>
    <x v="0"/>
    <s v="Monday"/>
    <x v="2"/>
    <x v="3"/>
    <s v="Corporate"/>
    <s v="Online"/>
    <x v="1"/>
    <x v="1"/>
    <n v="30000"/>
    <n v="2"/>
    <x v="2"/>
    <n v="24000"/>
    <n v="60000"/>
    <x v="41"/>
    <n v="12000"/>
    <n v="1025"/>
  </r>
  <r>
    <s v="2025-03-07"/>
    <x v="3"/>
    <s v="Friday"/>
    <x v="1"/>
    <x v="2"/>
    <s v="Corporate"/>
    <s v="Online"/>
    <x v="1"/>
    <x v="1"/>
    <n v="30000"/>
    <n v="8"/>
    <x v="5"/>
    <n v="24000"/>
    <n v="240000"/>
    <x v="1"/>
    <n v="48000"/>
    <n v="1026"/>
  </r>
  <r>
    <s v="2025-01-02"/>
    <x v="0"/>
    <s v="Thursday"/>
    <x v="2"/>
    <x v="2"/>
    <s v="Corporate"/>
    <s v="Store"/>
    <x v="1"/>
    <x v="1"/>
    <n v="30000"/>
    <n v="9"/>
    <x v="2"/>
    <n v="24000"/>
    <n v="270000"/>
    <x v="57"/>
    <n v="54000"/>
    <n v="1027"/>
  </r>
  <r>
    <s v="2025-03-28"/>
    <x v="3"/>
    <s v="Friday"/>
    <x v="3"/>
    <x v="0"/>
    <s v="Retail"/>
    <s v="Store"/>
    <x v="9"/>
    <x v="1"/>
    <n v="220000"/>
    <n v="2"/>
    <x v="5"/>
    <n v="176000"/>
    <n v="440000"/>
    <x v="15"/>
    <n v="88000"/>
    <n v="1028"/>
  </r>
  <r>
    <s v="2025-02-01"/>
    <x v="2"/>
    <s v="Saturday"/>
    <x v="2"/>
    <x v="2"/>
    <s v="Retail"/>
    <s v="Store"/>
    <x v="9"/>
    <x v="1"/>
    <n v="220000"/>
    <n v="3"/>
    <x v="5"/>
    <n v="176000"/>
    <n v="660000"/>
    <x v="49"/>
    <n v="132000"/>
    <n v="1029"/>
  </r>
  <r>
    <s v="2025-04-25"/>
    <x v="1"/>
    <s v="Friday"/>
    <x v="2"/>
    <x v="3"/>
    <s v="Retail"/>
    <s v="Store"/>
    <x v="0"/>
    <x v="0"/>
    <n v="85000"/>
    <n v="3"/>
    <x v="1"/>
    <n v="68000"/>
    <n v="255000"/>
    <x v="23"/>
    <n v="51000"/>
    <n v="1030"/>
  </r>
  <r>
    <s v="2025-02-05"/>
    <x v="2"/>
    <s v="Wednesday"/>
    <x v="0"/>
    <x v="1"/>
    <s v="Corporate"/>
    <s v="Online"/>
    <x v="2"/>
    <x v="1"/>
    <n v="60000"/>
    <n v="3"/>
    <x v="3"/>
    <n v="48000"/>
    <n v="180000"/>
    <x v="32"/>
    <n v="36000"/>
    <n v="1031"/>
  </r>
  <r>
    <s v="2025-04-25"/>
    <x v="1"/>
    <s v="Friday"/>
    <x v="0"/>
    <x v="2"/>
    <s v="Corporate"/>
    <s v="Store"/>
    <x v="9"/>
    <x v="1"/>
    <n v="220000"/>
    <n v="3"/>
    <x v="5"/>
    <n v="176000"/>
    <n v="660000"/>
    <x v="49"/>
    <n v="132000"/>
    <n v="1032"/>
  </r>
  <r>
    <s v="2025-03-12"/>
    <x v="3"/>
    <s v="Wednesday"/>
    <x v="0"/>
    <x v="0"/>
    <s v="Retail"/>
    <s v="Store"/>
    <x v="1"/>
    <x v="1"/>
    <n v="30000"/>
    <n v="1"/>
    <x v="0"/>
    <n v="24000"/>
    <n v="30000"/>
    <x v="75"/>
    <n v="6000"/>
    <n v="1033"/>
  </r>
  <r>
    <s v="2025-02-04"/>
    <x v="2"/>
    <s v="Tuesday"/>
    <x v="1"/>
    <x v="3"/>
    <s v="Corporate"/>
    <s v="Store"/>
    <x v="7"/>
    <x v="2"/>
    <n v="420000"/>
    <n v="1"/>
    <x v="5"/>
    <n v="336000"/>
    <n v="420000"/>
    <x v="40"/>
    <n v="84000"/>
    <n v="1034"/>
  </r>
  <r>
    <s v="2025-02-22"/>
    <x v="2"/>
    <s v="Saturday"/>
    <x v="0"/>
    <x v="1"/>
    <s v="Retail"/>
    <s v="Store"/>
    <x v="9"/>
    <x v="1"/>
    <n v="220000"/>
    <n v="10"/>
    <x v="1"/>
    <n v="176000"/>
    <n v="2200000"/>
    <x v="61"/>
    <n v="440000"/>
    <n v="1035"/>
  </r>
  <r>
    <s v="2025-04-10"/>
    <x v="1"/>
    <s v="Thursday"/>
    <x v="2"/>
    <x v="2"/>
    <s v="Corporate"/>
    <s v="Store"/>
    <x v="4"/>
    <x v="1"/>
    <n v="180000"/>
    <n v="10"/>
    <x v="5"/>
    <n v="144000"/>
    <n v="1800000"/>
    <x v="5"/>
    <n v="360000"/>
    <n v="1036"/>
  </r>
  <r>
    <s v="2025-04-15"/>
    <x v="1"/>
    <s v="Tuesday"/>
    <x v="2"/>
    <x v="0"/>
    <s v="Retail"/>
    <s v="Online"/>
    <x v="7"/>
    <x v="2"/>
    <n v="420000"/>
    <n v="3"/>
    <x v="4"/>
    <n v="336000"/>
    <n v="1260000"/>
    <x v="55"/>
    <n v="252000"/>
    <n v="1037"/>
  </r>
  <r>
    <s v="2025-01-03"/>
    <x v="0"/>
    <s v="Friday"/>
    <x v="0"/>
    <x v="3"/>
    <s v="Corporate"/>
    <s v="Online"/>
    <x v="0"/>
    <x v="0"/>
    <n v="85000"/>
    <n v="4"/>
    <x v="2"/>
    <n v="68000"/>
    <n v="340000"/>
    <x v="74"/>
    <n v="68000"/>
    <n v="1038"/>
  </r>
  <r>
    <s v="2025-04-09"/>
    <x v="1"/>
    <s v="Wednesday"/>
    <x v="2"/>
    <x v="2"/>
    <s v="Corporate"/>
    <s v="Online"/>
    <x v="5"/>
    <x v="0"/>
    <n v="320000"/>
    <n v="4"/>
    <x v="3"/>
    <n v="256000"/>
    <n v="1280000"/>
    <x v="6"/>
    <n v="256000"/>
    <n v="1039"/>
  </r>
  <r>
    <s v="2025-01-08"/>
    <x v="0"/>
    <s v="Wednesday"/>
    <x v="0"/>
    <x v="3"/>
    <s v="Retail"/>
    <s v="Store"/>
    <x v="9"/>
    <x v="1"/>
    <n v="220000"/>
    <n v="1"/>
    <x v="4"/>
    <n v="176000"/>
    <n v="220000"/>
    <x v="25"/>
    <n v="44000"/>
    <n v="1040"/>
  </r>
  <r>
    <s v="2025-04-01"/>
    <x v="1"/>
    <s v="Tuesday"/>
    <x v="2"/>
    <x v="1"/>
    <s v="Corporate"/>
    <s v="Store"/>
    <x v="0"/>
    <x v="0"/>
    <n v="85000"/>
    <n v="1"/>
    <x v="1"/>
    <n v="68000"/>
    <n v="85000"/>
    <x v="0"/>
    <n v="17000"/>
    <n v="1041"/>
  </r>
  <r>
    <s v="2025-01-10"/>
    <x v="0"/>
    <s v="Friday"/>
    <x v="0"/>
    <x v="3"/>
    <s v="Retail"/>
    <s v="Online"/>
    <x v="6"/>
    <x v="2"/>
    <n v="150000"/>
    <n v="8"/>
    <x v="5"/>
    <n v="120000"/>
    <n v="1200000"/>
    <x v="29"/>
    <n v="240000"/>
    <n v="1042"/>
  </r>
  <r>
    <s v="2025-01-11"/>
    <x v="0"/>
    <s v="Saturday"/>
    <x v="3"/>
    <x v="1"/>
    <s v="Corporate"/>
    <s v="Online"/>
    <x v="6"/>
    <x v="2"/>
    <n v="150000"/>
    <n v="9"/>
    <x v="0"/>
    <n v="120000"/>
    <n v="1350000"/>
    <x v="63"/>
    <n v="270000"/>
    <n v="1043"/>
  </r>
  <r>
    <s v="2025-04-26"/>
    <x v="1"/>
    <s v="Saturday"/>
    <x v="0"/>
    <x v="1"/>
    <s v="Corporate"/>
    <s v="Online"/>
    <x v="3"/>
    <x v="2"/>
    <n v="300000"/>
    <n v="3"/>
    <x v="0"/>
    <n v="240000"/>
    <n v="900000"/>
    <x v="48"/>
    <n v="180000"/>
    <n v="1044"/>
  </r>
  <r>
    <s v="2025-04-03"/>
    <x v="1"/>
    <s v="Thursday"/>
    <x v="3"/>
    <x v="3"/>
    <s v="Corporate"/>
    <s v="Online"/>
    <x v="6"/>
    <x v="2"/>
    <n v="150000"/>
    <n v="10"/>
    <x v="3"/>
    <n v="120000"/>
    <n v="1500000"/>
    <x v="17"/>
    <n v="300000"/>
    <n v="1045"/>
  </r>
  <r>
    <s v="2025-04-25"/>
    <x v="1"/>
    <s v="Friday"/>
    <x v="0"/>
    <x v="3"/>
    <s v="Retail"/>
    <s v="Store"/>
    <x v="0"/>
    <x v="0"/>
    <n v="85000"/>
    <n v="2"/>
    <x v="3"/>
    <n v="68000"/>
    <n v="170000"/>
    <x v="2"/>
    <n v="34000"/>
    <n v="1046"/>
  </r>
  <r>
    <s v="2025-01-09"/>
    <x v="0"/>
    <s v="Thursday"/>
    <x v="1"/>
    <x v="0"/>
    <s v="Corporate"/>
    <s v="Store"/>
    <x v="7"/>
    <x v="2"/>
    <n v="420000"/>
    <n v="9"/>
    <x v="1"/>
    <n v="336000"/>
    <n v="3780000"/>
    <x v="12"/>
    <n v="756000"/>
    <n v="1047"/>
  </r>
  <r>
    <s v="2025-01-09"/>
    <x v="0"/>
    <s v="Thursday"/>
    <x v="0"/>
    <x v="1"/>
    <s v="Corporate"/>
    <s v="Online"/>
    <x v="3"/>
    <x v="2"/>
    <n v="300000"/>
    <n v="2"/>
    <x v="5"/>
    <n v="240000"/>
    <n v="600000"/>
    <x v="4"/>
    <n v="120000"/>
    <n v="1048"/>
  </r>
  <r>
    <s v="2025-04-05"/>
    <x v="1"/>
    <s v="Saturday"/>
    <x v="1"/>
    <x v="2"/>
    <s v="Corporate"/>
    <s v="Online"/>
    <x v="6"/>
    <x v="2"/>
    <n v="150000"/>
    <n v="4"/>
    <x v="4"/>
    <n v="120000"/>
    <n v="600000"/>
    <x v="4"/>
    <n v="120000"/>
    <n v="1049"/>
  </r>
  <r>
    <s v="2025-04-11"/>
    <x v="1"/>
    <s v="Friday"/>
    <x v="1"/>
    <x v="1"/>
    <s v="Retail"/>
    <s v="Online"/>
    <x v="7"/>
    <x v="2"/>
    <n v="420000"/>
    <n v="9"/>
    <x v="1"/>
    <n v="336000"/>
    <n v="3780000"/>
    <x v="12"/>
    <n v="756000"/>
    <n v="1050"/>
  </r>
  <r>
    <s v="2025-01-30"/>
    <x v="0"/>
    <s v="Thursday"/>
    <x v="3"/>
    <x v="2"/>
    <s v="Retail"/>
    <s v="Store"/>
    <x v="8"/>
    <x v="2"/>
    <n v="250000"/>
    <n v="5"/>
    <x v="1"/>
    <n v="200000"/>
    <n v="1250000"/>
    <x v="21"/>
    <n v="250000"/>
    <n v="1051"/>
  </r>
  <r>
    <s v="2025-01-02"/>
    <x v="0"/>
    <s v="Thursday"/>
    <x v="3"/>
    <x v="3"/>
    <s v="Corporate"/>
    <s v="Online"/>
    <x v="1"/>
    <x v="1"/>
    <n v="30000"/>
    <n v="10"/>
    <x v="4"/>
    <n v="24000"/>
    <n v="300000"/>
    <x v="11"/>
    <n v="60000"/>
    <n v="1052"/>
  </r>
  <r>
    <s v="2025-05-01"/>
    <x v="4"/>
    <s v="Thursday"/>
    <x v="2"/>
    <x v="2"/>
    <s v="Retail"/>
    <s v="Store"/>
    <x v="7"/>
    <x v="2"/>
    <n v="420000"/>
    <n v="3"/>
    <x v="0"/>
    <n v="336000"/>
    <n v="1260000"/>
    <x v="55"/>
    <n v="252000"/>
    <n v="1053"/>
  </r>
  <r>
    <s v="2025-02-27"/>
    <x v="2"/>
    <s v="Thursday"/>
    <x v="2"/>
    <x v="3"/>
    <s v="Retail"/>
    <s v="Online"/>
    <x v="5"/>
    <x v="0"/>
    <n v="320000"/>
    <n v="8"/>
    <x v="4"/>
    <n v="256000"/>
    <n v="2560000"/>
    <x v="72"/>
    <n v="512000"/>
    <n v="1054"/>
  </r>
  <r>
    <s v="2025-02-10"/>
    <x v="2"/>
    <s v="Monday"/>
    <x v="3"/>
    <x v="1"/>
    <s v="Corporate"/>
    <s v="Online"/>
    <x v="7"/>
    <x v="2"/>
    <n v="420000"/>
    <n v="8"/>
    <x v="4"/>
    <n v="336000"/>
    <n v="3360000"/>
    <x v="19"/>
    <n v="672000"/>
    <n v="1055"/>
  </r>
  <r>
    <s v="2025-01-26"/>
    <x v="0"/>
    <s v="Sunday"/>
    <x v="2"/>
    <x v="2"/>
    <s v="Corporate"/>
    <s v="Online"/>
    <x v="6"/>
    <x v="2"/>
    <n v="150000"/>
    <n v="1"/>
    <x v="4"/>
    <n v="120000"/>
    <n v="150000"/>
    <x v="26"/>
    <n v="30000"/>
    <n v="1056"/>
  </r>
  <r>
    <s v="2025-03-12"/>
    <x v="3"/>
    <s v="Wednesday"/>
    <x v="2"/>
    <x v="1"/>
    <s v="Retail"/>
    <s v="Online"/>
    <x v="2"/>
    <x v="1"/>
    <n v="60000"/>
    <n v="7"/>
    <x v="3"/>
    <n v="48000"/>
    <n v="420000"/>
    <x v="40"/>
    <n v="84000"/>
    <n v="1057"/>
  </r>
  <r>
    <s v="2025-02-01"/>
    <x v="2"/>
    <s v="Saturday"/>
    <x v="2"/>
    <x v="1"/>
    <s v="Retail"/>
    <s v="Store"/>
    <x v="7"/>
    <x v="2"/>
    <n v="420000"/>
    <n v="9"/>
    <x v="4"/>
    <n v="336000"/>
    <n v="3780000"/>
    <x v="12"/>
    <n v="756000"/>
    <n v="1058"/>
  </r>
  <r>
    <s v="2025-03-29"/>
    <x v="3"/>
    <s v="Saturday"/>
    <x v="1"/>
    <x v="2"/>
    <s v="Corporate"/>
    <s v="Store"/>
    <x v="7"/>
    <x v="2"/>
    <n v="420000"/>
    <n v="6"/>
    <x v="1"/>
    <n v="336000"/>
    <n v="2520000"/>
    <x v="76"/>
    <n v="504000"/>
    <n v="1059"/>
  </r>
  <r>
    <s v="2025-01-02"/>
    <x v="0"/>
    <s v="Thursday"/>
    <x v="1"/>
    <x v="0"/>
    <s v="Retail"/>
    <s v="Online"/>
    <x v="3"/>
    <x v="2"/>
    <n v="300000"/>
    <n v="9"/>
    <x v="4"/>
    <n v="240000"/>
    <n v="2700000"/>
    <x v="39"/>
    <n v="540000"/>
    <n v="1060"/>
  </r>
  <r>
    <s v="2025-02-12"/>
    <x v="2"/>
    <s v="Wednesday"/>
    <x v="3"/>
    <x v="0"/>
    <s v="Corporate"/>
    <s v="Online"/>
    <x v="4"/>
    <x v="1"/>
    <n v="180000"/>
    <n v="5"/>
    <x v="5"/>
    <n v="144000"/>
    <n v="900000"/>
    <x v="48"/>
    <n v="180000"/>
    <n v="1061"/>
  </r>
  <r>
    <s v="2025-01-20"/>
    <x v="0"/>
    <s v="Monday"/>
    <x v="2"/>
    <x v="2"/>
    <s v="Retail"/>
    <s v="Store"/>
    <x v="6"/>
    <x v="2"/>
    <n v="150000"/>
    <n v="5"/>
    <x v="2"/>
    <n v="120000"/>
    <n v="750000"/>
    <x v="56"/>
    <n v="150000"/>
    <n v="1062"/>
  </r>
  <r>
    <s v="2025-01-30"/>
    <x v="0"/>
    <s v="Thursday"/>
    <x v="1"/>
    <x v="0"/>
    <s v="Retail"/>
    <s v="Online"/>
    <x v="0"/>
    <x v="0"/>
    <n v="85000"/>
    <n v="9"/>
    <x v="2"/>
    <n v="68000"/>
    <n v="765000"/>
    <x v="18"/>
    <n v="153000"/>
    <n v="1063"/>
  </r>
  <r>
    <s v="2025-02-01"/>
    <x v="2"/>
    <s v="Saturday"/>
    <x v="0"/>
    <x v="3"/>
    <s v="Corporate"/>
    <s v="Online"/>
    <x v="7"/>
    <x v="2"/>
    <n v="420000"/>
    <n v="5"/>
    <x v="5"/>
    <n v="336000"/>
    <n v="2100000"/>
    <x v="13"/>
    <n v="420000"/>
    <n v="1064"/>
  </r>
  <r>
    <s v="2025-03-20"/>
    <x v="3"/>
    <s v="Thursday"/>
    <x v="1"/>
    <x v="1"/>
    <s v="Retail"/>
    <s v="Store"/>
    <x v="5"/>
    <x v="0"/>
    <n v="320000"/>
    <n v="4"/>
    <x v="2"/>
    <n v="256000"/>
    <n v="1280000"/>
    <x v="6"/>
    <n v="256000"/>
    <n v="1065"/>
  </r>
  <r>
    <s v="2025-03-25"/>
    <x v="3"/>
    <s v="Tuesday"/>
    <x v="1"/>
    <x v="1"/>
    <s v="Corporate"/>
    <s v="Online"/>
    <x v="1"/>
    <x v="1"/>
    <n v="30000"/>
    <n v="4"/>
    <x v="2"/>
    <n v="24000"/>
    <n v="120000"/>
    <x v="3"/>
    <n v="24000"/>
    <n v="1066"/>
  </r>
  <r>
    <s v="2025-01-18"/>
    <x v="0"/>
    <s v="Saturday"/>
    <x v="2"/>
    <x v="3"/>
    <s v="Corporate"/>
    <s v="Store"/>
    <x v="6"/>
    <x v="2"/>
    <n v="150000"/>
    <n v="3"/>
    <x v="4"/>
    <n v="120000"/>
    <n v="450000"/>
    <x v="34"/>
    <n v="90000"/>
    <n v="1067"/>
  </r>
  <r>
    <s v="2025-02-13"/>
    <x v="2"/>
    <s v="Thursday"/>
    <x v="0"/>
    <x v="1"/>
    <s v="Retail"/>
    <s v="Online"/>
    <x v="9"/>
    <x v="1"/>
    <n v="220000"/>
    <n v="7"/>
    <x v="0"/>
    <n v="176000"/>
    <n v="1540000"/>
    <x v="67"/>
    <n v="308000"/>
    <n v="1068"/>
  </r>
  <r>
    <s v="2025-01-14"/>
    <x v="0"/>
    <s v="Tuesday"/>
    <x v="1"/>
    <x v="0"/>
    <s v="Retail"/>
    <s v="Store"/>
    <x v="4"/>
    <x v="1"/>
    <n v="180000"/>
    <n v="10"/>
    <x v="3"/>
    <n v="144000"/>
    <n v="1800000"/>
    <x v="5"/>
    <n v="360000"/>
    <n v="1069"/>
  </r>
  <r>
    <s v="2025-03-11"/>
    <x v="3"/>
    <s v="Tuesday"/>
    <x v="0"/>
    <x v="3"/>
    <s v="Corporate"/>
    <s v="Online"/>
    <x v="0"/>
    <x v="0"/>
    <n v="85000"/>
    <n v="7"/>
    <x v="1"/>
    <n v="68000"/>
    <n v="595000"/>
    <x v="30"/>
    <n v="119000"/>
    <n v="1070"/>
  </r>
  <r>
    <s v="2025-02-16"/>
    <x v="2"/>
    <s v="Sunday"/>
    <x v="1"/>
    <x v="1"/>
    <s v="Retail"/>
    <s v="Online"/>
    <x v="1"/>
    <x v="1"/>
    <n v="30000"/>
    <n v="3"/>
    <x v="1"/>
    <n v="24000"/>
    <n v="90000"/>
    <x v="33"/>
    <n v="18000"/>
    <n v="1071"/>
  </r>
  <r>
    <s v="2025-01-12"/>
    <x v="0"/>
    <s v="Sunday"/>
    <x v="3"/>
    <x v="0"/>
    <s v="Corporate"/>
    <s v="Online"/>
    <x v="5"/>
    <x v="0"/>
    <n v="320000"/>
    <n v="9"/>
    <x v="4"/>
    <n v="256000"/>
    <n v="2880000"/>
    <x v="8"/>
    <n v="576000"/>
    <n v="1072"/>
  </r>
  <r>
    <s v="2025-02-11"/>
    <x v="2"/>
    <s v="Tuesday"/>
    <x v="0"/>
    <x v="1"/>
    <s v="Retail"/>
    <s v="Store"/>
    <x v="6"/>
    <x v="2"/>
    <n v="150000"/>
    <n v="2"/>
    <x v="1"/>
    <n v="120000"/>
    <n v="300000"/>
    <x v="11"/>
    <n v="60000"/>
    <n v="1073"/>
  </r>
  <r>
    <s v="2025-02-15"/>
    <x v="2"/>
    <s v="Saturday"/>
    <x v="1"/>
    <x v="1"/>
    <s v="Corporate"/>
    <s v="Store"/>
    <x v="4"/>
    <x v="1"/>
    <n v="180000"/>
    <n v="8"/>
    <x v="4"/>
    <n v="144000"/>
    <n v="1440000"/>
    <x v="37"/>
    <n v="288000"/>
    <n v="1074"/>
  </r>
  <r>
    <s v="2025-02-08"/>
    <x v="2"/>
    <s v="Saturday"/>
    <x v="1"/>
    <x v="1"/>
    <s v="Corporate"/>
    <s v="Store"/>
    <x v="0"/>
    <x v="0"/>
    <n v="85000"/>
    <n v="7"/>
    <x v="0"/>
    <n v="68000"/>
    <n v="595000"/>
    <x v="30"/>
    <n v="119000"/>
    <n v="1075"/>
  </r>
  <r>
    <s v="2025-04-27"/>
    <x v="1"/>
    <s v="Sunday"/>
    <x v="0"/>
    <x v="3"/>
    <s v="Corporate"/>
    <s v="Online"/>
    <x v="4"/>
    <x v="1"/>
    <n v="180000"/>
    <n v="8"/>
    <x v="5"/>
    <n v="144000"/>
    <n v="1440000"/>
    <x v="37"/>
    <n v="288000"/>
    <n v="1076"/>
  </r>
  <r>
    <s v="2025-02-26"/>
    <x v="2"/>
    <s v="Wednesday"/>
    <x v="3"/>
    <x v="0"/>
    <s v="Corporate"/>
    <s v="Online"/>
    <x v="9"/>
    <x v="1"/>
    <n v="220000"/>
    <n v="5"/>
    <x v="5"/>
    <n v="176000"/>
    <n v="1100000"/>
    <x v="51"/>
    <n v="220000"/>
    <n v="1077"/>
  </r>
  <r>
    <s v="2025-02-13"/>
    <x v="2"/>
    <s v="Thursday"/>
    <x v="3"/>
    <x v="2"/>
    <s v="Retail"/>
    <s v="Online"/>
    <x v="3"/>
    <x v="2"/>
    <n v="300000"/>
    <n v="5"/>
    <x v="4"/>
    <n v="240000"/>
    <n v="1500000"/>
    <x v="17"/>
    <n v="300000"/>
    <n v="1078"/>
  </r>
  <r>
    <s v="2025-04-07"/>
    <x v="1"/>
    <s v="Monday"/>
    <x v="3"/>
    <x v="3"/>
    <s v="Retail"/>
    <s v="Store"/>
    <x v="8"/>
    <x v="2"/>
    <n v="250000"/>
    <n v="7"/>
    <x v="0"/>
    <n v="200000"/>
    <n v="1750000"/>
    <x v="59"/>
    <n v="350000"/>
    <n v="1079"/>
  </r>
  <r>
    <s v="2025-01-06"/>
    <x v="0"/>
    <s v="Monday"/>
    <x v="0"/>
    <x v="3"/>
    <s v="Corporate"/>
    <s v="Store"/>
    <x v="2"/>
    <x v="1"/>
    <n v="60000"/>
    <n v="7"/>
    <x v="4"/>
    <n v="48000"/>
    <n v="420000"/>
    <x v="40"/>
    <n v="84000"/>
    <n v="1080"/>
  </r>
  <r>
    <s v="2025-03-27"/>
    <x v="3"/>
    <s v="Thursday"/>
    <x v="1"/>
    <x v="0"/>
    <s v="Corporate"/>
    <s v="Online"/>
    <x v="0"/>
    <x v="0"/>
    <n v="85000"/>
    <n v="2"/>
    <x v="3"/>
    <n v="68000"/>
    <n v="170000"/>
    <x v="2"/>
    <n v="34000"/>
    <n v="1081"/>
  </r>
  <r>
    <s v="2025-01-07"/>
    <x v="0"/>
    <s v="Tuesday"/>
    <x v="0"/>
    <x v="0"/>
    <s v="Retail"/>
    <s v="Store"/>
    <x v="2"/>
    <x v="1"/>
    <n v="60000"/>
    <n v="2"/>
    <x v="5"/>
    <n v="48000"/>
    <n v="120000"/>
    <x v="3"/>
    <n v="24000"/>
    <n v="1082"/>
  </r>
  <r>
    <s v="2025-01-10"/>
    <x v="0"/>
    <s v="Friday"/>
    <x v="1"/>
    <x v="3"/>
    <s v="Corporate"/>
    <s v="Online"/>
    <x v="1"/>
    <x v="1"/>
    <n v="30000"/>
    <n v="10"/>
    <x v="5"/>
    <n v="24000"/>
    <n v="300000"/>
    <x v="11"/>
    <n v="60000"/>
    <n v="1083"/>
  </r>
  <r>
    <s v="2025-03-23"/>
    <x v="3"/>
    <s v="Sunday"/>
    <x v="3"/>
    <x v="1"/>
    <s v="Corporate"/>
    <s v="Store"/>
    <x v="7"/>
    <x v="2"/>
    <n v="420000"/>
    <n v="8"/>
    <x v="1"/>
    <n v="336000"/>
    <n v="3360000"/>
    <x v="19"/>
    <n v="672000"/>
    <n v="1084"/>
  </r>
  <r>
    <s v="2025-04-03"/>
    <x v="1"/>
    <s v="Thursday"/>
    <x v="0"/>
    <x v="1"/>
    <s v="Corporate"/>
    <s v="Online"/>
    <x v="2"/>
    <x v="1"/>
    <n v="60000"/>
    <n v="2"/>
    <x v="4"/>
    <n v="48000"/>
    <n v="120000"/>
    <x v="3"/>
    <n v="24000"/>
    <n v="1085"/>
  </r>
  <r>
    <s v="2025-03-14"/>
    <x v="3"/>
    <s v="Friday"/>
    <x v="2"/>
    <x v="2"/>
    <s v="Corporate"/>
    <s v="Store"/>
    <x v="0"/>
    <x v="0"/>
    <n v="85000"/>
    <n v="8"/>
    <x v="5"/>
    <n v="68000"/>
    <n v="680000"/>
    <x v="69"/>
    <n v="136000"/>
    <n v="1086"/>
  </r>
  <r>
    <s v="2025-02-13"/>
    <x v="2"/>
    <s v="Thursday"/>
    <x v="0"/>
    <x v="0"/>
    <s v="Retail"/>
    <s v="Store"/>
    <x v="7"/>
    <x v="2"/>
    <n v="420000"/>
    <n v="7"/>
    <x v="3"/>
    <n v="336000"/>
    <n v="2940000"/>
    <x v="70"/>
    <n v="588000"/>
    <n v="1087"/>
  </r>
  <r>
    <s v="2025-02-23"/>
    <x v="2"/>
    <s v="Sunday"/>
    <x v="1"/>
    <x v="3"/>
    <s v="Retail"/>
    <s v="Store"/>
    <x v="3"/>
    <x v="2"/>
    <n v="300000"/>
    <n v="6"/>
    <x v="5"/>
    <n v="240000"/>
    <n v="1800000"/>
    <x v="5"/>
    <n v="360000"/>
    <n v="1088"/>
  </r>
  <r>
    <s v="2025-03-20"/>
    <x v="3"/>
    <s v="Thursday"/>
    <x v="3"/>
    <x v="0"/>
    <s v="Retail"/>
    <s v="Online"/>
    <x v="7"/>
    <x v="2"/>
    <n v="420000"/>
    <n v="2"/>
    <x v="4"/>
    <n v="336000"/>
    <n v="840000"/>
    <x v="62"/>
    <n v="168000"/>
    <n v="1089"/>
  </r>
  <r>
    <s v="2025-04-06"/>
    <x v="1"/>
    <s v="Sunday"/>
    <x v="3"/>
    <x v="0"/>
    <s v="Corporate"/>
    <s v="Online"/>
    <x v="3"/>
    <x v="2"/>
    <n v="300000"/>
    <n v="8"/>
    <x v="3"/>
    <n v="240000"/>
    <n v="2400000"/>
    <x v="24"/>
    <n v="480000"/>
    <n v="1090"/>
  </r>
  <r>
    <s v="2025-03-15"/>
    <x v="3"/>
    <s v="Saturday"/>
    <x v="3"/>
    <x v="2"/>
    <s v="Retail"/>
    <s v="Online"/>
    <x v="8"/>
    <x v="2"/>
    <n v="250000"/>
    <n v="5"/>
    <x v="3"/>
    <n v="200000"/>
    <n v="1250000"/>
    <x v="21"/>
    <n v="250000"/>
    <n v="1091"/>
  </r>
  <r>
    <s v="2025-02-21"/>
    <x v="2"/>
    <s v="Friday"/>
    <x v="1"/>
    <x v="3"/>
    <s v="Corporate"/>
    <s v="Store"/>
    <x v="7"/>
    <x v="2"/>
    <n v="420000"/>
    <n v="5"/>
    <x v="3"/>
    <n v="336000"/>
    <n v="2100000"/>
    <x v="13"/>
    <n v="420000"/>
    <n v="1092"/>
  </r>
  <r>
    <s v="2025-02-08"/>
    <x v="2"/>
    <s v="Saturday"/>
    <x v="1"/>
    <x v="2"/>
    <s v="Corporate"/>
    <s v="Online"/>
    <x v="7"/>
    <x v="2"/>
    <n v="420000"/>
    <n v="10"/>
    <x v="1"/>
    <n v="336000"/>
    <n v="4200000"/>
    <x v="20"/>
    <n v="840000"/>
    <n v="1093"/>
  </r>
  <r>
    <s v="2025-04-20"/>
    <x v="1"/>
    <s v="Sunday"/>
    <x v="3"/>
    <x v="2"/>
    <s v="Retail"/>
    <s v="Online"/>
    <x v="5"/>
    <x v="0"/>
    <n v="320000"/>
    <n v="1"/>
    <x v="2"/>
    <n v="256000"/>
    <n v="320000"/>
    <x v="7"/>
    <n v="64000"/>
    <n v="1094"/>
  </r>
  <r>
    <s v="2025-02-26"/>
    <x v="2"/>
    <s v="Wednesday"/>
    <x v="2"/>
    <x v="3"/>
    <s v="Retail"/>
    <s v="Online"/>
    <x v="5"/>
    <x v="0"/>
    <n v="320000"/>
    <n v="1"/>
    <x v="3"/>
    <n v="256000"/>
    <n v="320000"/>
    <x v="7"/>
    <n v="64000"/>
    <n v="1095"/>
  </r>
  <r>
    <s v="2025-04-30"/>
    <x v="1"/>
    <s v="Wednesday"/>
    <x v="3"/>
    <x v="2"/>
    <s v="Corporate"/>
    <s v="Store"/>
    <x v="6"/>
    <x v="2"/>
    <n v="150000"/>
    <n v="1"/>
    <x v="5"/>
    <n v="120000"/>
    <n v="150000"/>
    <x v="26"/>
    <n v="30000"/>
    <n v="1096"/>
  </r>
  <r>
    <s v="2025-01-06"/>
    <x v="0"/>
    <s v="Monday"/>
    <x v="1"/>
    <x v="0"/>
    <s v="Corporate"/>
    <s v="Online"/>
    <x v="4"/>
    <x v="1"/>
    <n v="180000"/>
    <n v="10"/>
    <x v="2"/>
    <n v="144000"/>
    <n v="1800000"/>
    <x v="5"/>
    <n v="360000"/>
    <n v="1097"/>
  </r>
  <r>
    <s v="2025-04-29"/>
    <x v="1"/>
    <s v="Tuesday"/>
    <x v="3"/>
    <x v="2"/>
    <s v="Retail"/>
    <s v="Store"/>
    <x v="7"/>
    <x v="2"/>
    <n v="420000"/>
    <n v="3"/>
    <x v="1"/>
    <n v="336000"/>
    <n v="1260000"/>
    <x v="55"/>
    <n v="252000"/>
    <n v="1098"/>
  </r>
  <r>
    <s v="2025-03-01"/>
    <x v="3"/>
    <s v="Saturday"/>
    <x v="3"/>
    <x v="3"/>
    <s v="Retail"/>
    <s v="Online"/>
    <x v="9"/>
    <x v="1"/>
    <n v="220000"/>
    <n v="10"/>
    <x v="5"/>
    <n v="176000"/>
    <n v="2200000"/>
    <x v="61"/>
    <n v="440000"/>
    <n v="1099"/>
  </r>
  <r>
    <s v="2025-03-27"/>
    <x v="3"/>
    <s v="Thursday"/>
    <x v="1"/>
    <x v="3"/>
    <s v="Corporate"/>
    <s v="Store"/>
    <x v="7"/>
    <x v="2"/>
    <n v="420000"/>
    <n v="9"/>
    <x v="3"/>
    <n v="336000"/>
    <n v="3780000"/>
    <x v="12"/>
    <n v="756000"/>
    <n v="1100"/>
  </r>
  <r>
    <s v="2025-02-21"/>
    <x v="2"/>
    <s v="Friday"/>
    <x v="0"/>
    <x v="3"/>
    <s v="Retail"/>
    <s v="Store"/>
    <x v="1"/>
    <x v="1"/>
    <n v="30000"/>
    <n v="6"/>
    <x v="5"/>
    <n v="24000"/>
    <n v="180000"/>
    <x v="32"/>
    <n v="36000"/>
    <n v="1101"/>
  </r>
  <r>
    <s v="2025-04-30"/>
    <x v="1"/>
    <s v="Wednesday"/>
    <x v="3"/>
    <x v="0"/>
    <s v="Retail"/>
    <s v="Store"/>
    <x v="8"/>
    <x v="2"/>
    <n v="250000"/>
    <n v="10"/>
    <x v="1"/>
    <n v="200000"/>
    <n v="2500000"/>
    <x v="66"/>
    <n v="500000"/>
    <n v="1102"/>
  </r>
  <r>
    <s v="2025-01-08"/>
    <x v="0"/>
    <s v="Wednesday"/>
    <x v="1"/>
    <x v="2"/>
    <s v="Retail"/>
    <s v="Store"/>
    <x v="0"/>
    <x v="0"/>
    <n v="85000"/>
    <n v="6"/>
    <x v="5"/>
    <n v="68000"/>
    <n v="510000"/>
    <x v="60"/>
    <n v="102000"/>
    <n v="1103"/>
  </r>
  <r>
    <s v="2025-03-03"/>
    <x v="3"/>
    <s v="Monday"/>
    <x v="3"/>
    <x v="1"/>
    <s v="Corporate"/>
    <s v="Store"/>
    <x v="7"/>
    <x v="2"/>
    <n v="420000"/>
    <n v="3"/>
    <x v="4"/>
    <n v="336000"/>
    <n v="1260000"/>
    <x v="55"/>
    <n v="252000"/>
    <n v="1104"/>
  </r>
  <r>
    <s v="2025-02-15"/>
    <x v="2"/>
    <s v="Saturday"/>
    <x v="1"/>
    <x v="3"/>
    <s v="Retail"/>
    <s v="Online"/>
    <x v="6"/>
    <x v="2"/>
    <n v="150000"/>
    <n v="8"/>
    <x v="0"/>
    <n v="120000"/>
    <n v="1200000"/>
    <x v="29"/>
    <n v="240000"/>
    <n v="1105"/>
  </r>
  <r>
    <s v="2025-01-07"/>
    <x v="0"/>
    <s v="Tuesday"/>
    <x v="0"/>
    <x v="1"/>
    <s v="Corporate"/>
    <s v="Online"/>
    <x v="2"/>
    <x v="1"/>
    <n v="60000"/>
    <n v="5"/>
    <x v="3"/>
    <n v="48000"/>
    <n v="300000"/>
    <x v="11"/>
    <n v="60000"/>
    <n v="1106"/>
  </r>
  <r>
    <s v="2025-02-04"/>
    <x v="2"/>
    <s v="Tuesday"/>
    <x v="0"/>
    <x v="2"/>
    <s v="Corporate"/>
    <s v="Store"/>
    <x v="5"/>
    <x v="0"/>
    <n v="320000"/>
    <n v="9"/>
    <x v="4"/>
    <n v="256000"/>
    <n v="2880000"/>
    <x v="8"/>
    <n v="576000"/>
    <n v="1107"/>
  </r>
  <r>
    <s v="2025-01-27"/>
    <x v="0"/>
    <s v="Monday"/>
    <x v="0"/>
    <x v="1"/>
    <s v="Corporate"/>
    <s v="Online"/>
    <x v="7"/>
    <x v="2"/>
    <n v="420000"/>
    <n v="5"/>
    <x v="0"/>
    <n v="336000"/>
    <n v="2100000"/>
    <x v="13"/>
    <n v="420000"/>
    <n v="1108"/>
  </r>
  <r>
    <s v="2025-01-03"/>
    <x v="0"/>
    <s v="Friday"/>
    <x v="3"/>
    <x v="1"/>
    <s v="Corporate"/>
    <s v="Online"/>
    <x v="2"/>
    <x v="1"/>
    <n v="60000"/>
    <n v="9"/>
    <x v="2"/>
    <n v="48000"/>
    <n v="540000"/>
    <x v="46"/>
    <n v="108000"/>
    <n v="1109"/>
  </r>
  <r>
    <s v="2025-02-24"/>
    <x v="2"/>
    <s v="Monday"/>
    <x v="2"/>
    <x v="1"/>
    <s v="Retail"/>
    <s v="Online"/>
    <x v="7"/>
    <x v="2"/>
    <n v="420000"/>
    <n v="1"/>
    <x v="5"/>
    <n v="336000"/>
    <n v="420000"/>
    <x v="40"/>
    <n v="84000"/>
    <n v="1110"/>
  </r>
  <r>
    <s v="2025-01-10"/>
    <x v="0"/>
    <s v="Friday"/>
    <x v="1"/>
    <x v="3"/>
    <s v="Retail"/>
    <s v="Online"/>
    <x v="6"/>
    <x v="2"/>
    <n v="150000"/>
    <n v="9"/>
    <x v="4"/>
    <n v="120000"/>
    <n v="1350000"/>
    <x v="63"/>
    <n v="270000"/>
    <n v="1111"/>
  </r>
  <r>
    <s v="2025-04-27"/>
    <x v="1"/>
    <s v="Sunday"/>
    <x v="2"/>
    <x v="3"/>
    <s v="Corporate"/>
    <s v="Store"/>
    <x v="9"/>
    <x v="1"/>
    <n v="220000"/>
    <n v="7"/>
    <x v="0"/>
    <n v="176000"/>
    <n v="1540000"/>
    <x v="67"/>
    <n v="308000"/>
    <n v="1112"/>
  </r>
  <r>
    <s v="2025-02-06"/>
    <x v="2"/>
    <s v="Thursday"/>
    <x v="3"/>
    <x v="0"/>
    <s v="Retail"/>
    <s v="Store"/>
    <x v="5"/>
    <x v="0"/>
    <n v="320000"/>
    <n v="3"/>
    <x v="3"/>
    <n v="256000"/>
    <n v="960000"/>
    <x v="9"/>
    <n v="192000"/>
    <n v="1113"/>
  </r>
  <r>
    <s v="2025-02-18"/>
    <x v="2"/>
    <s v="Tuesday"/>
    <x v="2"/>
    <x v="1"/>
    <s v="Corporate"/>
    <s v="Online"/>
    <x v="5"/>
    <x v="0"/>
    <n v="320000"/>
    <n v="8"/>
    <x v="4"/>
    <n v="256000"/>
    <n v="2560000"/>
    <x v="72"/>
    <n v="512000"/>
    <n v="1114"/>
  </r>
  <r>
    <s v="2025-01-25"/>
    <x v="0"/>
    <s v="Saturday"/>
    <x v="2"/>
    <x v="2"/>
    <s v="Corporate"/>
    <s v="Online"/>
    <x v="6"/>
    <x v="2"/>
    <n v="150000"/>
    <n v="3"/>
    <x v="4"/>
    <n v="120000"/>
    <n v="450000"/>
    <x v="34"/>
    <n v="90000"/>
    <n v="1115"/>
  </r>
  <r>
    <s v="2025-04-01"/>
    <x v="1"/>
    <s v="Tuesday"/>
    <x v="0"/>
    <x v="3"/>
    <s v="Retail"/>
    <s v="Online"/>
    <x v="8"/>
    <x v="2"/>
    <n v="250000"/>
    <n v="9"/>
    <x v="0"/>
    <n v="200000"/>
    <n v="2250000"/>
    <x v="71"/>
    <n v="450000"/>
    <n v="1116"/>
  </r>
  <r>
    <s v="2025-02-17"/>
    <x v="2"/>
    <s v="Monday"/>
    <x v="0"/>
    <x v="1"/>
    <s v="Retail"/>
    <s v="Store"/>
    <x v="7"/>
    <x v="2"/>
    <n v="420000"/>
    <n v="7"/>
    <x v="2"/>
    <n v="336000"/>
    <n v="2940000"/>
    <x v="70"/>
    <n v="588000"/>
    <n v="1117"/>
  </r>
  <r>
    <s v="2025-03-13"/>
    <x v="3"/>
    <s v="Thursday"/>
    <x v="0"/>
    <x v="0"/>
    <s v="Corporate"/>
    <s v="Store"/>
    <x v="8"/>
    <x v="2"/>
    <n v="250000"/>
    <n v="10"/>
    <x v="1"/>
    <n v="200000"/>
    <n v="2500000"/>
    <x v="66"/>
    <n v="500000"/>
    <n v="1118"/>
  </r>
  <r>
    <s v="2025-04-02"/>
    <x v="1"/>
    <s v="Wednesday"/>
    <x v="1"/>
    <x v="2"/>
    <s v="Retail"/>
    <s v="Online"/>
    <x v="2"/>
    <x v="1"/>
    <n v="60000"/>
    <n v="4"/>
    <x v="1"/>
    <n v="48000"/>
    <n v="240000"/>
    <x v="1"/>
    <n v="48000"/>
    <n v="1119"/>
  </r>
  <r>
    <s v="2025-03-11"/>
    <x v="3"/>
    <s v="Tuesday"/>
    <x v="3"/>
    <x v="1"/>
    <s v="Retail"/>
    <s v="Online"/>
    <x v="8"/>
    <x v="2"/>
    <n v="250000"/>
    <n v="4"/>
    <x v="0"/>
    <n v="200000"/>
    <n v="1000000"/>
    <x v="14"/>
    <n v="200000"/>
    <n v="1120"/>
  </r>
  <r>
    <s v="2025-02-10"/>
    <x v="2"/>
    <s v="Monday"/>
    <x v="3"/>
    <x v="0"/>
    <s v="Retail"/>
    <s v="Online"/>
    <x v="3"/>
    <x v="2"/>
    <n v="300000"/>
    <n v="3"/>
    <x v="5"/>
    <n v="240000"/>
    <n v="900000"/>
    <x v="48"/>
    <n v="180000"/>
    <n v="1121"/>
  </r>
  <r>
    <s v="2025-03-29"/>
    <x v="3"/>
    <s v="Saturday"/>
    <x v="2"/>
    <x v="1"/>
    <s v="Corporate"/>
    <s v="Online"/>
    <x v="7"/>
    <x v="2"/>
    <n v="420000"/>
    <n v="9"/>
    <x v="4"/>
    <n v="336000"/>
    <n v="3780000"/>
    <x v="12"/>
    <n v="756000"/>
    <n v="1122"/>
  </r>
  <r>
    <s v="2025-03-08"/>
    <x v="3"/>
    <s v="Saturday"/>
    <x v="2"/>
    <x v="1"/>
    <s v="Corporate"/>
    <s v="Online"/>
    <x v="7"/>
    <x v="2"/>
    <n v="420000"/>
    <n v="7"/>
    <x v="2"/>
    <n v="336000"/>
    <n v="2940000"/>
    <x v="70"/>
    <n v="588000"/>
    <n v="1123"/>
  </r>
  <r>
    <s v="2025-02-08"/>
    <x v="2"/>
    <s v="Saturday"/>
    <x v="1"/>
    <x v="2"/>
    <s v="Retail"/>
    <s v="Online"/>
    <x v="9"/>
    <x v="1"/>
    <n v="220000"/>
    <n v="9"/>
    <x v="5"/>
    <n v="176000"/>
    <n v="1980000"/>
    <x v="64"/>
    <n v="396000"/>
    <n v="1124"/>
  </r>
  <r>
    <s v="2025-02-11"/>
    <x v="2"/>
    <s v="Tuesday"/>
    <x v="1"/>
    <x v="3"/>
    <s v="Corporate"/>
    <s v="Online"/>
    <x v="0"/>
    <x v="0"/>
    <n v="85000"/>
    <n v="8"/>
    <x v="2"/>
    <n v="68000"/>
    <n v="680000"/>
    <x v="69"/>
    <n v="136000"/>
    <n v="1125"/>
  </r>
  <r>
    <s v="2025-01-19"/>
    <x v="0"/>
    <s v="Sunday"/>
    <x v="2"/>
    <x v="0"/>
    <s v="Corporate"/>
    <s v="Store"/>
    <x v="0"/>
    <x v="0"/>
    <n v="85000"/>
    <n v="5"/>
    <x v="3"/>
    <n v="68000"/>
    <n v="425000"/>
    <x v="58"/>
    <n v="85000"/>
    <n v="1126"/>
  </r>
  <r>
    <s v="2025-04-04"/>
    <x v="1"/>
    <s v="Friday"/>
    <x v="2"/>
    <x v="3"/>
    <s v="Retail"/>
    <s v="Store"/>
    <x v="8"/>
    <x v="2"/>
    <n v="250000"/>
    <n v="6"/>
    <x v="5"/>
    <n v="200000"/>
    <n v="1500000"/>
    <x v="17"/>
    <n v="300000"/>
    <n v="1127"/>
  </r>
  <r>
    <s v="2025-04-21"/>
    <x v="1"/>
    <s v="Monday"/>
    <x v="1"/>
    <x v="2"/>
    <s v="Corporate"/>
    <s v="Store"/>
    <x v="1"/>
    <x v="1"/>
    <n v="30000"/>
    <n v="8"/>
    <x v="5"/>
    <n v="24000"/>
    <n v="240000"/>
    <x v="1"/>
    <n v="48000"/>
    <n v="1128"/>
  </r>
  <r>
    <s v="2025-02-21"/>
    <x v="2"/>
    <s v="Friday"/>
    <x v="3"/>
    <x v="0"/>
    <s v="Corporate"/>
    <s v="Online"/>
    <x v="8"/>
    <x v="2"/>
    <n v="250000"/>
    <n v="6"/>
    <x v="4"/>
    <n v="200000"/>
    <n v="1500000"/>
    <x v="17"/>
    <n v="300000"/>
    <n v="1129"/>
  </r>
  <r>
    <s v="2025-03-28"/>
    <x v="3"/>
    <s v="Friday"/>
    <x v="2"/>
    <x v="1"/>
    <s v="Corporate"/>
    <s v="Store"/>
    <x v="5"/>
    <x v="0"/>
    <n v="320000"/>
    <n v="10"/>
    <x v="3"/>
    <n v="256000"/>
    <n v="3200000"/>
    <x v="35"/>
    <n v="640000"/>
    <n v="1130"/>
  </r>
  <r>
    <s v="2025-03-18"/>
    <x v="3"/>
    <s v="Tuesday"/>
    <x v="1"/>
    <x v="3"/>
    <s v="Retail"/>
    <s v="Store"/>
    <x v="1"/>
    <x v="1"/>
    <n v="30000"/>
    <n v="4"/>
    <x v="3"/>
    <n v="24000"/>
    <n v="120000"/>
    <x v="3"/>
    <n v="24000"/>
    <n v="1131"/>
  </r>
  <r>
    <s v="2025-02-08"/>
    <x v="2"/>
    <s v="Saturday"/>
    <x v="2"/>
    <x v="3"/>
    <s v="Retail"/>
    <s v="Store"/>
    <x v="0"/>
    <x v="0"/>
    <n v="85000"/>
    <n v="10"/>
    <x v="0"/>
    <n v="68000"/>
    <n v="850000"/>
    <x v="43"/>
    <n v="170000"/>
    <n v="1132"/>
  </r>
  <r>
    <s v="2025-04-15"/>
    <x v="1"/>
    <s v="Tuesday"/>
    <x v="3"/>
    <x v="3"/>
    <s v="Corporate"/>
    <s v="Store"/>
    <x v="8"/>
    <x v="2"/>
    <n v="250000"/>
    <n v="6"/>
    <x v="2"/>
    <n v="200000"/>
    <n v="1500000"/>
    <x v="17"/>
    <n v="300000"/>
    <n v="1133"/>
  </r>
  <r>
    <s v="2025-01-12"/>
    <x v="0"/>
    <s v="Sunday"/>
    <x v="2"/>
    <x v="1"/>
    <s v="Retail"/>
    <s v="Store"/>
    <x v="2"/>
    <x v="1"/>
    <n v="60000"/>
    <n v="10"/>
    <x v="1"/>
    <n v="48000"/>
    <n v="600000"/>
    <x v="4"/>
    <n v="120000"/>
    <n v="1134"/>
  </r>
  <r>
    <s v="2025-02-05"/>
    <x v="2"/>
    <s v="Wednesday"/>
    <x v="1"/>
    <x v="1"/>
    <s v="Retail"/>
    <s v="Store"/>
    <x v="3"/>
    <x v="2"/>
    <n v="300000"/>
    <n v="3"/>
    <x v="1"/>
    <n v="240000"/>
    <n v="900000"/>
    <x v="48"/>
    <n v="180000"/>
    <n v="1135"/>
  </r>
  <r>
    <s v="2025-01-17"/>
    <x v="0"/>
    <s v="Friday"/>
    <x v="0"/>
    <x v="3"/>
    <s v="Retail"/>
    <s v="Store"/>
    <x v="6"/>
    <x v="2"/>
    <n v="150000"/>
    <n v="10"/>
    <x v="5"/>
    <n v="120000"/>
    <n v="1500000"/>
    <x v="17"/>
    <n v="300000"/>
    <n v="1136"/>
  </r>
  <r>
    <s v="2025-03-30"/>
    <x v="3"/>
    <s v="Sunday"/>
    <x v="2"/>
    <x v="1"/>
    <s v="Corporate"/>
    <s v="Store"/>
    <x v="1"/>
    <x v="1"/>
    <n v="30000"/>
    <n v="7"/>
    <x v="3"/>
    <n v="24000"/>
    <n v="210000"/>
    <x v="54"/>
    <n v="42000"/>
    <n v="1137"/>
  </r>
  <r>
    <s v="2025-01-14"/>
    <x v="0"/>
    <s v="Tuesday"/>
    <x v="1"/>
    <x v="1"/>
    <s v="Corporate"/>
    <s v="Store"/>
    <x v="3"/>
    <x v="2"/>
    <n v="300000"/>
    <n v="9"/>
    <x v="4"/>
    <n v="240000"/>
    <n v="2700000"/>
    <x v="39"/>
    <n v="540000"/>
    <n v="1138"/>
  </r>
  <r>
    <s v="2025-01-03"/>
    <x v="0"/>
    <s v="Friday"/>
    <x v="3"/>
    <x v="3"/>
    <s v="Corporate"/>
    <s v="Store"/>
    <x v="9"/>
    <x v="1"/>
    <n v="220000"/>
    <n v="4"/>
    <x v="2"/>
    <n v="176000"/>
    <n v="880000"/>
    <x v="22"/>
    <n v="176000"/>
    <n v="1139"/>
  </r>
  <r>
    <s v="2025-01-25"/>
    <x v="0"/>
    <s v="Saturday"/>
    <x v="1"/>
    <x v="2"/>
    <s v="Corporate"/>
    <s v="Online"/>
    <x v="8"/>
    <x v="2"/>
    <n v="250000"/>
    <n v="9"/>
    <x v="0"/>
    <n v="200000"/>
    <n v="2250000"/>
    <x v="71"/>
    <n v="450000"/>
    <n v="1140"/>
  </r>
  <r>
    <s v="2025-01-10"/>
    <x v="0"/>
    <s v="Friday"/>
    <x v="0"/>
    <x v="0"/>
    <s v="Corporate"/>
    <s v="Store"/>
    <x v="3"/>
    <x v="2"/>
    <n v="300000"/>
    <n v="4"/>
    <x v="5"/>
    <n v="240000"/>
    <n v="1200000"/>
    <x v="29"/>
    <n v="240000"/>
    <n v="1141"/>
  </r>
  <r>
    <s v="2025-01-01"/>
    <x v="0"/>
    <s v="Wednesday"/>
    <x v="0"/>
    <x v="0"/>
    <s v="Retail"/>
    <s v="Store"/>
    <x v="2"/>
    <x v="1"/>
    <n v="60000"/>
    <n v="10"/>
    <x v="4"/>
    <n v="48000"/>
    <n v="600000"/>
    <x v="4"/>
    <n v="120000"/>
    <n v="1142"/>
  </r>
  <r>
    <s v="2025-03-17"/>
    <x v="3"/>
    <s v="Monday"/>
    <x v="3"/>
    <x v="2"/>
    <s v="Corporate"/>
    <s v="Online"/>
    <x v="7"/>
    <x v="2"/>
    <n v="420000"/>
    <n v="10"/>
    <x v="2"/>
    <n v="336000"/>
    <n v="4200000"/>
    <x v="20"/>
    <n v="840000"/>
    <n v="1143"/>
  </r>
  <r>
    <s v="2025-03-22"/>
    <x v="3"/>
    <s v="Saturday"/>
    <x v="0"/>
    <x v="2"/>
    <s v="Retail"/>
    <s v="Store"/>
    <x v="6"/>
    <x v="2"/>
    <n v="150000"/>
    <n v="1"/>
    <x v="5"/>
    <n v="120000"/>
    <n v="150000"/>
    <x v="26"/>
    <n v="30000"/>
    <n v="1144"/>
  </r>
  <r>
    <s v="2025-02-19"/>
    <x v="2"/>
    <s v="Wednesday"/>
    <x v="2"/>
    <x v="2"/>
    <s v="Retail"/>
    <s v="Store"/>
    <x v="8"/>
    <x v="2"/>
    <n v="250000"/>
    <n v="7"/>
    <x v="1"/>
    <n v="200000"/>
    <n v="1750000"/>
    <x v="59"/>
    <n v="350000"/>
    <n v="1145"/>
  </r>
  <r>
    <s v="2025-04-12"/>
    <x v="1"/>
    <s v="Saturday"/>
    <x v="2"/>
    <x v="3"/>
    <s v="Retail"/>
    <s v="Store"/>
    <x v="3"/>
    <x v="2"/>
    <n v="300000"/>
    <n v="9"/>
    <x v="2"/>
    <n v="240000"/>
    <n v="2700000"/>
    <x v="39"/>
    <n v="540000"/>
    <n v="1146"/>
  </r>
  <r>
    <s v="2025-03-22"/>
    <x v="3"/>
    <s v="Saturday"/>
    <x v="3"/>
    <x v="0"/>
    <s v="Retail"/>
    <s v="Store"/>
    <x v="6"/>
    <x v="2"/>
    <n v="150000"/>
    <n v="2"/>
    <x v="4"/>
    <n v="120000"/>
    <n v="300000"/>
    <x v="11"/>
    <n v="60000"/>
    <n v="1147"/>
  </r>
  <r>
    <s v="2025-04-11"/>
    <x v="1"/>
    <s v="Friday"/>
    <x v="0"/>
    <x v="1"/>
    <s v="Retail"/>
    <s v="Store"/>
    <x v="9"/>
    <x v="1"/>
    <n v="220000"/>
    <n v="9"/>
    <x v="1"/>
    <n v="176000"/>
    <n v="1980000"/>
    <x v="64"/>
    <n v="396000"/>
    <n v="1148"/>
  </r>
  <r>
    <s v="2025-03-26"/>
    <x v="3"/>
    <s v="Wednesday"/>
    <x v="3"/>
    <x v="3"/>
    <s v="Retail"/>
    <s v="Store"/>
    <x v="2"/>
    <x v="1"/>
    <n v="60000"/>
    <n v="5"/>
    <x v="0"/>
    <n v="48000"/>
    <n v="300000"/>
    <x v="11"/>
    <n v="60000"/>
    <n v="1149"/>
  </r>
  <r>
    <s v="2025-02-20"/>
    <x v="2"/>
    <s v="Thursday"/>
    <x v="0"/>
    <x v="0"/>
    <s v="Corporate"/>
    <s v="Store"/>
    <x v="4"/>
    <x v="1"/>
    <n v="180000"/>
    <n v="6"/>
    <x v="3"/>
    <n v="144000"/>
    <n v="1080000"/>
    <x v="53"/>
    <n v="216000"/>
    <n v="1150"/>
  </r>
  <r>
    <s v="2025-02-22"/>
    <x v="2"/>
    <s v="Saturday"/>
    <x v="1"/>
    <x v="0"/>
    <s v="Corporate"/>
    <s v="Store"/>
    <x v="8"/>
    <x v="2"/>
    <n v="250000"/>
    <n v="10"/>
    <x v="0"/>
    <n v="200000"/>
    <n v="2500000"/>
    <x v="66"/>
    <n v="500000"/>
    <n v="1151"/>
  </r>
  <r>
    <s v="2025-03-27"/>
    <x v="3"/>
    <s v="Thursday"/>
    <x v="1"/>
    <x v="3"/>
    <s v="Retail"/>
    <s v="Store"/>
    <x v="0"/>
    <x v="0"/>
    <n v="85000"/>
    <n v="1"/>
    <x v="4"/>
    <n v="68000"/>
    <n v="85000"/>
    <x v="0"/>
    <n v="17000"/>
    <n v="1152"/>
  </r>
  <r>
    <s v="2025-03-08"/>
    <x v="3"/>
    <s v="Saturday"/>
    <x v="3"/>
    <x v="0"/>
    <s v="Retail"/>
    <s v="Online"/>
    <x v="8"/>
    <x v="2"/>
    <n v="250000"/>
    <n v="9"/>
    <x v="1"/>
    <n v="200000"/>
    <n v="2250000"/>
    <x v="71"/>
    <n v="450000"/>
    <n v="1153"/>
  </r>
  <r>
    <s v="2025-04-09"/>
    <x v="1"/>
    <s v="Wednesday"/>
    <x v="1"/>
    <x v="1"/>
    <s v="Retail"/>
    <s v="Online"/>
    <x v="8"/>
    <x v="2"/>
    <n v="250000"/>
    <n v="2"/>
    <x v="1"/>
    <n v="200000"/>
    <n v="500000"/>
    <x v="73"/>
    <n v="100000"/>
    <n v="1154"/>
  </r>
  <r>
    <s v="2025-02-02"/>
    <x v="2"/>
    <s v="Sunday"/>
    <x v="2"/>
    <x v="1"/>
    <s v="Retail"/>
    <s v="Online"/>
    <x v="8"/>
    <x v="2"/>
    <n v="250000"/>
    <n v="1"/>
    <x v="5"/>
    <n v="200000"/>
    <n v="250000"/>
    <x v="44"/>
    <n v="50000"/>
    <n v="1155"/>
  </r>
  <r>
    <s v="2025-02-03"/>
    <x v="2"/>
    <s v="Monday"/>
    <x v="0"/>
    <x v="0"/>
    <s v="Corporate"/>
    <s v="Store"/>
    <x v="3"/>
    <x v="2"/>
    <n v="300000"/>
    <n v="9"/>
    <x v="2"/>
    <n v="240000"/>
    <n v="2700000"/>
    <x v="39"/>
    <n v="540000"/>
    <n v="1156"/>
  </r>
  <r>
    <s v="2025-03-08"/>
    <x v="3"/>
    <s v="Saturday"/>
    <x v="0"/>
    <x v="1"/>
    <s v="Corporate"/>
    <s v="Online"/>
    <x v="5"/>
    <x v="0"/>
    <n v="320000"/>
    <n v="10"/>
    <x v="1"/>
    <n v="256000"/>
    <n v="3200000"/>
    <x v="35"/>
    <n v="640000"/>
    <n v="1157"/>
  </r>
  <r>
    <s v="2025-01-08"/>
    <x v="0"/>
    <s v="Wednesday"/>
    <x v="2"/>
    <x v="1"/>
    <s v="Corporate"/>
    <s v="Online"/>
    <x v="4"/>
    <x v="1"/>
    <n v="180000"/>
    <n v="9"/>
    <x v="4"/>
    <n v="144000"/>
    <n v="1620000"/>
    <x v="27"/>
    <n v="324000"/>
    <n v="1158"/>
  </r>
  <r>
    <s v="2025-04-14"/>
    <x v="1"/>
    <s v="Monday"/>
    <x v="2"/>
    <x v="2"/>
    <s v="Corporate"/>
    <s v="Online"/>
    <x v="8"/>
    <x v="2"/>
    <n v="250000"/>
    <n v="1"/>
    <x v="5"/>
    <n v="200000"/>
    <n v="250000"/>
    <x v="44"/>
    <n v="50000"/>
    <n v="1159"/>
  </r>
  <r>
    <s v="2025-03-31"/>
    <x v="3"/>
    <s v="Monday"/>
    <x v="2"/>
    <x v="3"/>
    <s v="Corporate"/>
    <s v="Online"/>
    <x v="0"/>
    <x v="0"/>
    <n v="85000"/>
    <n v="7"/>
    <x v="5"/>
    <n v="68000"/>
    <n v="595000"/>
    <x v="30"/>
    <n v="119000"/>
    <n v="1160"/>
  </r>
  <r>
    <s v="2025-04-20"/>
    <x v="1"/>
    <s v="Sunday"/>
    <x v="0"/>
    <x v="0"/>
    <s v="Retail"/>
    <s v="Store"/>
    <x v="1"/>
    <x v="1"/>
    <n v="30000"/>
    <n v="6"/>
    <x v="2"/>
    <n v="24000"/>
    <n v="180000"/>
    <x v="32"/>
    <n v="36000"/>
    <n v="1161"/>
  </r>
  <r>
    <s v="2025-01-29"/>
    <x v="0"/>
    <s v="Wednesday"/>
    <x v="0"/>
    <x v="1"/>
    <s v="Retail"/>
    <s v="Store"/>
    <x v="1"/>
    <x v="1"/>
    <n v="30000"/>
    <n v="6"/>
    <x v="1"/>
    <n v="24000"/>
    <n v="180000"/>
    <x v="32"/>
    <n v="36000"/>
    <n v="1162"/>
  </r>
  <r>
    <s v="2025-03-23"/>
    <x v="3"/>
    <s v="Sunday"/>
    <x v="0"/>
    <x v="0"/>
    <s v="Corporate"/>
    <s v="Store"/>
    <x v="5"/>
    <x v="0"/>
    <n v="320000"/>
    <n v="2"/>
    <x v="4"/>
    <n v="256000"/>
    <n v="640000"/>
    <x v="38"/>
    <n v="128000"/>
    <n v="1163"/>
  </r>
  <r>
    <s v="2025-01-25"/>
    <x v="0"/>
    <s v="Saturday"/>
    <x v="0"/>
    <x v="3"/>
    <s v="Retail"/>
    <s v="Store"/>
    <x v="2"/>
    <x v="1"/>
    <n v="60000"/>
    <n v="6"/>
    <x v="1"/>
    <n v="48000"/>
    <n v="360000"/>
    <x v="50"/>
    <n v="72000"/>
    <n v="1164"/>
  </r>
  <r>
    <s v="2025-03-12"/>
    <x v="3"/>
    <s v="Wednesday"/>
    <x v="0"/>
    <x v="1"/>
    <s v="Retail"/>
    <s v="Store"/>
    <x v="9"/>
    <x v="1"/>
    <n v="220000"/>
    <n v="10"/>
    <x v="5"/>
    <n v="176000"/>
    <n v="2200000"/>
    <x v="61"/>
    <n v="440000"/>
    <n v="1165"/>
  </r>
  <r>
    <s v="2025-04-10"/>
    <x v="1"/>
    <s v="Thursday"/>
    <x v="0"/>
    <x v="3"/>
    <s v="Retail"/>
    <s v="Online"/>
    <x v="2"/>
    <x v="1"/>
    <n v="60000"/>
    <n v="6"/>
    <x v="5"/>
    <n v="48000"/>
    <n v="360000"/>
    <x v="50"/>
    <n v="72000"/>
    <n v="1166"/>
  </r>
  <r>
    <s v="2025-01-01"/>
    <x v="0"/>
    <s v="Wednesday"/>
    <x v="0"/>
    <x v="2"/>
    <s v="Retail"/>
    <s v="Online"/>
    <x v="9"/>
    <x v="1"/>
    <n v="220000"/>
    <n v="7"/>
    <x v="4"/>
    <n v="176000"/>
    <n v="1540000"/>
    <x v="67"/>
    <n v="308000"/>
    <n v="1167"/>
  </r>
  <r>
    <s v="2025-01-20"/>
    <x v="0"/>
    <s v="Monday"/>
    <x v="1"/>
    <x v="1"/>
    <s v="Corporate"/>
    <s v="Store"/>
    <x v="7"/>
    <x v="2"/>
    <n v="420000"/>
    <n v="8"/>
    <x v="4"/>
    <n v="336000"/>
    <n v="3360000"/>
    <x v="19"/>
    <n v="672000"/>
    <n v="1168"/>
  </r>
  <r>
    <s v="2025-01-06"/>
    <x v="0"/>
    <s v="Monday"/>
    <x v="1"/>
    <x v="1"/>
    <s v="Retail"/>
    <s v="Store"/>
    <x v="7"/>
    <x v="2"/>
    <n v="420000"/>
    <n v="1"/>
    <x v="5"/>
    <n v="336000"/>
    <n v="420000"/>
    <x v="40"/>
    <n v="84000"/>
    <n v="1169"/>
  </r>
  <r>
    <s v="2025-03-12"/>
    <x v="3"/>
    <s v="Wednesday"/>
    <x v="1"/>
    <x v="0"/>
    <s v="Corporate"/>
    <s v="Store"/>
    <x v="8"/>
    <x v="2"/>
    <n v="250000"/>
    <n v="9"/>
    <x v="4"/>
    <n v="200000"/>
    <n v="2250000"/>
    <x v="71"/>
    <n v="450000"/>
    <n v="1170"/>
  </r>
  <r>
    <s v="2025-02-28"/>
    <x v="2"/>
    <s v="Friday"/>
    <x v="3"/>
    <x v="3"/>
    <s v="Retail"/>
    <s v="Online"/>
    <x v="1"/>
    <x v="1"/>
    <n v="30000"/>
    <n v="3"/>
    <x v="1"/>
    <n v="24000"/>
    <n v="90000"/>
    <x v="33"/>
    <n v="18000"/>
    <n v="1171"/>
  </r>
  <r>
    <s v="2025-05-01"/>
    <x v="4"/>
    <s v="Thursday"/>
    <x v="3"/>
    <x v="2"/>
    <s v="Retail"/>
    <s v="Online"/>
    <x v="5"/>
    <x v="0"/>
    <n v="320000"/>
    <n v="1"/>
    <x v="5"/>
    <n v="256000"/>
    <n v="320000"/>
    <x v="7"/>
    <n v="64000"/>
    <n v="1172"/>
  </r>
  <r>
    <s v="2025-02-02"/>
    <x v="2"/>
    <s v="Sunday"/>
    <x v="0"/>
    <x v="3"/>
    <s v="Corporate"/>
    <s v="Online"/>
    <x v="5"/>
    <x v="0"/>
    <n v="320000"/>
    <n v="10"/>
    <x v="2"/>
    <n v="256000"/>
    <n v="3200000"/>
    <x v="35"/>
    <n v="640000"/>
    <n v="1173"/>
  </r>
  <r>
    <s v="2025-04-16"/>
    <x v="1"/>
    <s v="Wednesday"/>
    <x v="3"/>
    <x v="1"/>
    <s v="Corporate"/>
    <s v="Online"/>
    <x v="4"/>
    <x v="1"/>
    <n v="180000"/>
    <n v="4"/>
    <x v="2"/>
    <n v="144000"/>
    <n v="720000"/>
    <x v="65"/>
    <n v="144000"/>
    <n v="1174"/>
  </r>
  <r>
    <s v="2025-03-03"/>
    <x v="3"/>
    <s v="Monday"/>
    <x v="0"/>
    <x v="1"/>
    <s v="Retail"/>
    <s v="Store"/>
    <x v="7"/>
    <x v="2"/>
    <n v="420000"/>
    <n v="5"/>
    <x v="4"/>
    <n v="336000"/>
    <n v="2100000"/>
    <x v="13"/>
    <n v="420000"/>
    <n v="1175"/>
  </r>
  <r>
    <s v="2025-03-19"/>
    <x v="3"/>
    <s v="Wednesday"/>
    <x v="3"/>
    <x v="3"/>
    <s v="Retail"/>
    <s v="Online"/>
    <x v="2"/>
    <x v="1"/>
    <n v="60000"/>
    <n v="5"/>
    <x v="1"/>
    <n v="48000"/>
    <n v="300000"/>
    <x v="11"/>
    <n v="60000"/>
    <n v="1176"/>
  </r>
  <r>
    <s v="2025-02-10"/>
    <x v="2"/>
    <s v="Monday"/>
    <x v="3"/>
    <x v="3"/>
    <s v="Retail"/>
    <s v="Store"/>
    <x v="2"/>
    <x v="1"/>
    <n v="60000"/>
    <n v="9"/>
    <x v="4"/>
    <n v="48000"/>
    <n v="540000"/>
    <x v="46"/>
    <n v="108000"/>
    <n v="1177"/>
  </r>
  <r>
    <s v="2025-01-19"/>
    <x v="0"/>
    <s v="Sunday"/>
    <x v="1"/>
    <x v="2"/>
    <s v="Corporate"/>
    <s v="Store"/>
    <x v="3"/>
    <x v="2"/>
    <n v="300000"/>
    <n v="10"/>
    <x v="1"/>
    <n v="240000"/>
    <n v="3000000"/>
    <x v="68"/>
    <n v="600000"/>
    <n v="1178"/>
  </r>
  <r>
    <s v="2025-04-28"/>
    <x v="1"/>
    <s v="Monday"/>
    <x v="2"/>
    <x v="3"/>
    <s v="Retail"/>
    <s v="Store"/>
    <x v="7"/>
    <x v="2"/>
    <n v="420000"/>
    <n v="8"/>
    <x v="5"/>
    <n v="336000"/>
    <n v="3360000"/>
    <x v="19"/>
    <n v="672000"/>
    <n v="1179"/>
  </r>
  <r>
    <s v="2025-03-09"/>
    <x v="3"/>
    <s v="Sunday"/>
    <x v="2"/>
    <x v="2"/>
    <s v="Corporate"/>
    <s v="Store"/>
    <x v="4"/>
    <x v="1"/>
    <n v="180000"/>
    <n v="4"/>
    <x v="1"/>
    <n v="144000"/>
    <n v="720000"/>
    <x v="65"/>
    <n v="144000"/>
    <n v="1180"/>
  </r>
  <r>
    <s v="2025-02-13"/>
    <x v="2"/>
    <s v="Thursday"/>
    <x v="1"/>
    <x v="2"/>
    <s v="Retail"/>
    <s v="Store"/>
    <x v="1"/>
    <x v="1"/>
    <n v="30000"/>
    <n v="5"/>
    <x v="4"/>
    <n v="24000"/>
    <n v="150000"/>
    <x v="26"/>
    <n v="30000"/>
    <n v="1181"/>
  </r>
  <r>
    <s v="2025-01-28"/>
    <x v="0"/>
    <s v="Tuesday"/>
    <x v="3"/>
    <x v="1"/>
    <s v="Retail"/>
    <s v="Online"/>
    <x v="8"/>
    <x v="2"/>
    <n v="250000"/>
    <n v="3"/>
    <x v="1"/>
    <n v="200000"/>
    <n v="750000"/>
    <x v="56"/>
    <n v="150000"/>
    <n v="1182"/>
  </r>
  <r>
    <s v="2025-03-24"/>
    <x v="3"/>
    <s v="Monday"/>
    <x v="1"/>
    <x v="2"/>
    <s v="Corporate"/>
    <s v="Store"/>
    <x v="0"/>
    <x v="0"/>
    <n v="85000"/>
    <n v="8"/>
    <x v="2"/>
    <n v="68000"/>
    <n v="680000"/>
    <x v="69"/>
    <n v="136000"/>
    <n v="1183"/>
  </r>
  <r>
    <s v="2025-01-31"/>
    <x v="0"/>
    <s v="Friday"/>
    <x v="2"/>
    <x v="0"/>
    <s v="Corporate"/>
    <s v="Online"/>
    <x v="2"/>
    <x v="1"/>
    <n v="60000"/>
    <n v="8"/>
    <x v="4"/>
    <n v="48000"/>
    <n v="480000"/>
    <x v="47"/>
    <n v="96000"/>
    <n v="1184"/>
  </r>
  <r>
    <s v="2025-03-12"/>
    <x v="3"/>
    <s v="Wednesday"/>
    <x v="2"/>
    <x v="0"/>
    <s v="Corporate"/>
    <s v="Store"/>
    <x v="6"/>
    <x v="2"/>
    <n v="150000"/>
    <n v="5"/>
    <x v="0"/>
    <n v="120000"/>
    <n v="750000"/>
    <x v="56"/>
    <n v="150000"/>
    <n v="1185"/>
  </r>
  <r>
    <s v="2025-03-07"/>
    <x v="3"/>
    <s v="Friday"/>
    <x v="3"/>
    <x v="0"/>
    <s v="Corporate"/>
    <s v="Online"/>
    <x v="5"/>
    <x v="0"/>
    <n v="320000"/>
    <n v="9"/>
    <x v="3"/>
    <n v="256000"/>
    <n v="2880000"/>
    <x v="8"/>
    <n v="576000"/>
    <n v="1186"/>
  </r>
  <r>
    <s v="2025-02-13"/>
    <x v="2"/>
    <s v="Thursday"/>
    <x v="3"/>
    <x v="3"/>
    <s v="Corporate"/>
    <s v="Online"/>
    <x v="7"/>
    <x v="2"/>
    <n v="420000"/>
    <n v="7"/>
    <x v="0"/>
    <n v="336000"/>
    <n v="2940000"/>
    <x v="70"/>
    <n v="588000"/>
    <n v="1187"/>
  </r>
  <r>
    <s v="2025-04-16"/>
    <x v="1"/>
    <s v="Wednesday"/>
    <x v="2"/>
    <x v="2"/>
    <s v="Corporate"/>
    <s v="Store"/>
    <x v="2"/>
    <x v="1"/>
    <n v="60000"/>
    <n v="6"/>
    <x v="4"/>
    <n v="48000"/>
    <n v="360000"/>
    <x v="50"/>
    <n v="72000"/>
    <n v="1188"/>
  </r>
  <r>
    <s v="2025-03-10"/>
    <x v="3"/>
    <s v="Monday"/>
    <x v="3"/>
    <x v="0"/>
    <s v="Retail"/>
    <s v="Store"/>
    <x v="6"/>
    <x v="2"/>
    <n v="150000"/>
    <n v="7"/>
    <x v="5"/>
    <n v="120000"/>
    <n v="1050000"/>
    <x v="16"/>
    <n v="210000"/>
    <n v="1189"/>
  </r>
  <r>
    <s v="2025-03-15"/>
    <x v="3"/>
    <s v="Saturday"/>
    <x v="1"/>
    <x v="2"/>
    <s v="Retail"/>
    <s v="Store"/>
    <x v="5"/>
    <x v="0"/>
    <n v="320000"/>
    <n v="10"/>
    <x v="2"/>
    <n v="256000"/>
    <n v="3200000"/>
    <x v="35"/>
    <n v="640000"/>
    <n v="1190"/>
  </r>
  <r>
    <s v="2025-03-16"/>
    <x v="3"/>
    <s v="Sunday"/>
    <x v="1"/>
    <x v="0"/>
    <s v="Corporate"/>
    <s v="Online"/>
    <x v="3"/>
    <x v="2"/>
    <n v="300000"/>
    <n v="8"/>
    <x v="1"/>
    <n v="240000"/>
    <n v="2400000"/>
    <x v="24"/>
    <n v="480000"/>
    <n v="1191"/>
  </r>
  <r>
    <s v="2025-01-15"/>
    <x v="0"/>
    <s v="Wednesday"/>
    <x v="0"/>
    <x v="0"/>
    <s v="Retail"/>
    <s v="Online"/>
    <x v="7"/>
    <x v="2"/>
    <n v="420000"/>
    <n v="5"/>
    <x v="3"/>
    <n v="336000"/>
    <n v="2100000"/>
    <x v="13"/>
    <n v="420000"/>
    <n v="1192"/>
  </r>
  <r>
    <s v="2025-04-26"/>
    <x v="1"/>
    <s v="Saturday"/>
    <x v="1"/>
    <x v="2"/>
    <s v="Retail"/>
    <s v="Store"/>
    <x v="9"/>
    <x v="1"/>
    <n v="220000"/>
    <n v="5"/>
    <x v="0"/>
    <n v="176000"/>
    <n v="1100000"/>
    <x v="51"/>
    <n v="220000"/>
    <n v="1193"/>
  </r>
  <r>
    <s v="2025-04-06"/>
    <x v="1"/>
    <s v="Sunday"/>
    <x v="0"/>
    <x v="0"/>
    <s v="Corporate"/>
    <s v="Store"/>
    <x v="5"/>
    <x v="0"/>
    <n v="320000"/>
    <n v="3"/>
    <x v="1"/>
    <n v="256000"/>
    <n v="960000"/>
    <x v="9"/>
    <n v="192000"/>
    <n v="1194"/>
  </r>
  <r>
    <s v="2025-04-16"/>
    <x v="1"/>
    <s v="Wednesday"/>
    <x v="1"/>
    <x v="0"/>
    <s v="Retail"/>
    <s v="Online"/>
    <x v="4"/>
    <x v="1"/>
    <n v="180000"/>
    <n v="9"/>
    <x v="5"/>
    <n v="144000"/>
    <n v="1620000"/>
    <x v="27"/>
    <n v="324000"/>
    <n v="1195"/>
  </r>
  <r>
    <s v="2025-03-30"/>
    <x v="3"/>
    <s v="Sunday"/>
    <x v="3"/>
    <x v="0"/>
    <s v="Retail"/>
    <s v="Online"/>
    <x v="3"/>
    <x v="2"/>
    <n v="300000"/>
    <n v="1"/>
    <x v="5"/>
    <n v="240000"/>
    <n v="300000"/>
    <x v="11"/>
    <n v="60000"/>
    <n v="1196"/>
  </r>
  <r>
    <s v="2025-04-03"/>
    <x v="1"/>
    <s v="Thursday"/>
    <x v="3"/>
    <x v="2"/>
    <s v="Retail"/>
    <s v="Store"/>
    <x v="9"/>
    <x v="1"/>
    <n v="220000"/>
    <n v="7"/>
    <x v="5"/>
    <n v="176000"/>
    <n v="1540000"/>
    <x v="67"/>
    <n v="308000"/>
    <n v="1197"/>
  </r>
  <r>
    <s v="2025-03-25"/>
    <x v="3"/>
    <s v="Tuesday"/>
    <x v="1"/>
    <x v="1"/>
    <s v="Corporate"/>
    <s v="Store"/>
    <x v="0"/>
    <x v="0"/>
    <n v="85000"/>
    <n v="9"/>
    <x v="1"/>
    <n v="68000"/>
    <n v="765000"/>
    <x v="18"/>
    <n v="153000"/>
    <n v="1198"/>
  </r>
  <r>
    <s v="2025-02-07"/>
    <x v="2"/>
    <s v="Friday"/>
    <x v="1"/>
    <x v="1"/>
    <s v="Retail"/>
    <s v="Online"/>
    <x v="0"/>
    <x v="0"/>
    <n v="85000"/>
    <n v="4"/>
    <x v="2"/>
    <n v="68000"/>
    <n v="340000"/>
    <x v="74"/>
    <n v="68000"/>
    <n v="1199"/>
  </r>
  <r>
    <s v="2025-03-30"/>
    <x v="3"/>
    <s v="Sunday"/>
    <x v="1"/>
    <x v="3"/>
    <s v="Retail"/>
    <s v="Store"/>
    <x v="2"/>
    <x v="1"/>
    <n v="60000"/>
    <n v="8"/>
    <x v="2"/>
    <n v="48000"/>
    <n v="480000"/>
    <x v="47"/>
    <n v="96000"/>
    <n v="1200"/>
  </r>
  <r>
    <s v="2025-01-24"/>
    <x v="0"/>
    <s v="Friday"/>
    <x v="2"/>
    <x v="1"/>
    <s v="Corporate"/>
    <s v="Store"/>
    <x v="6"/>
    <x v="2"/>
    <n v="150000"/>
    <n v="6"/>
    <x v="3"/>
    <n v="120000"/>
    <n v="900000"/>
    <x v="48"/>
    <n v="180000"/>
    <n v="1201"/>
  </r>
  <r>
    <s v="2025-04-02"/>
    <x v="1"/>
    <s v="Wednesday"/>
    <x v="1"/>
    <x v="2"/>
    <s v="Corporate"/>
    <s v="Online"/>
    <x v="0"/>
    <x v="0"/>
    <n v="85000"/>
    <n v="10"/>
    <x v="2"/>
    <n v="68000"/>
    <n v="850000"/>
    <x v="43"/>
    <n v="170000"/>
    <n v="1202"/>
  </r>
  <r>
    <s v="2025-04-12"/>
    <x v="1"/>
    <s v="Saturday"/>
    <x v="0"/>
    <x v="1"/>
    <s v="Corporate"/>
    <s v="Store"/>
    <x v="0"/>
    <x v="0"/>
    <n v="85000"/>
    <n v="3"/>
    <x v="5"/>
    <n v="68000"/>
    <n v="255000"/>
    <x v="23"/>
    <n v="51000"/>
    <n v="1203"/>
  </r>
  <r>
    <s v="2025-03-26"/>
    <x v="3"/>
    <s v="Wednesday"/>
    <x v="0"/>
    <x v="2"/>
    <s v="Corporate"/>
    <s v="Online"/>
    <x v="3"/>
    <x v="2"/>
    <n v="300000"/>
    <n v="8"/>
    <x v="3"/>
    <n v="240000"/>
    <n v="2400000"/>
    <x v="24"/>
    <n v="480000"/>
    <n v="1204"/>
  </r>
  <r>
    <s v="2025-02-25"/>
    <x v="2"/>
    <s v="Tuesday"/>
    <x v="0"/>
    <x v="0"/>
    <s v="Corporate"/>
    <s v="Online"/>
    <x v="7"/>
    <x v="2"/>
    <n v="420000"/>
    <n v="6"/>
    <x v="4"/>
    <n v="336000"/>
    <n v="2520000"/>
    <x v="76"/>
    <n v="504000"/>
    <n v="1205"/>
  </r>
  <r>
    <s v="2025-01-18"/>
    <x v="0"/>
    <s v="Saturday"/>
    <x v="2"/>
    <x v="2"/>
    <s v="Corporate"/>
    <s v="Online"/>
    <x v="8"/>
    <x v="2"/>
    <n v="250000"/>
    <n v="3"/>
    <x v="1"/>
    <n v="200000"/>
    <n v="750000"/>
    <x v="56"/>
    <n v="150000"/>
    <n v="1206"/>
  </r>
  <r>
    <s v="2025-03-11"/>
    <x v="3"/>
    <s v="Tuesday"/>
    <x v="0"/>
    <x v="3"/>
    <s v="Retail"/>
    <s v="Store"/>
    <x v="8"/>
    <x v="2"/>
    <n v="250000"/>
    <n v="8"/>
    <x v="2"/>
    <n v="200000"/>
    <n v="2000000"/>
    <x v="52"/>
    <n v="400000"/>
    <n v="1207"/>
  </r>
  <r>
    <s v="2025-01-08"/>
    <x v="0"/>
    <s v="Wednesday"/>
    <x v="3"/>
    <x v="1"/>
    <s v="Corporate"/>
    <s v="Online"/>
    <x v="0"/>
    <x v="0"/>
    <n v="85000"/>
    <n v="3"/>
    <x v="2"/>
    <n v="68000"/>
    <n v="255000"/>
    <x v="23"/>
    <n v="51000"/>
    <n v="1208"/>
  </r>
  <r>
    <s v="2025-03-27"/>
    <x v="3"/>
    <s v="Thursday"/>
    <x v="3"/>
    <x v="3"/>
    <s v="Corporate"/>
    <s v="Online"/>
    <x v="1"/>
    <x v="1"/>
    <n v="30000"/>
    <n v="7"/>
    <x v="2"/>
    <n v="24000"/>
    <n v="210000"/>
    <x v="54"/>
    <n v="42000"/>
    <n v="1209"/>
  </r>
  <r>
    <s v="2025-01-16"/>
    <x v="0"/>
    <s v="Thursday"/>
    <x v="1"/>
    <x v="2"/>
    <s v="Retail"/>
    <s v="Store"/>
    <x v="2"/>
    <x v="1"/>
    <n v="60000"/>
    <n v="7"/>
    <x v="3"/>
    <n v="48000"/>
    <n v="420000"/>
    <x v="40"/>
    <n v="84000"/>
    <n v="1210"/>
  </r>
  <r>
    <s v="2025-01-07"/>
    <x v="0"/>
    <s v="Tuesday"/>
    <x v="2"/>
    <x v="0"/>
    <s v="Retail"/>
    <s v="Store"/>
    <x v="9"/>
    <x v="1"/>
    <n v="220000"/>
    <n v="10"/>
    <x v="1"/>
    <n v="176000"/>
    <n v="2200000"/>
    <x v="61"/>
    <n v="440000"/>
    <n v="1211"/>
  </r>
  <r>
    <s v="2025-04-02"/>
    <x v="1"/>
    <s v="Wednesday"/>
    <x v="2"/>
    <x v="1"/>
    <s v="Retail"/>
    <s v="Store"/>
    <x v="8"/>
    <x v="2"/>
    <n v="250000"/>
    <n v="5"/>
    <x v="5"/>
    <n v="200000"/>
    <n v="1250000"/>
    <x v="21"/>
    <n v="250000"/>
    <n v="1212"/>
  </r>
  <r>
    <s v="2025-04-09"/>
    <x v="1"/>
    <s v="Wednesday"/>
    <x v="2"/>
    <x v="3"/>
    <s v="Retail"/>
    <s v="Online"/>
    <x v="0"/>
    <x v="0"/>
    <n v="85000"/>
    <n v="7"/>
    <x v="5"/>
    <n v="68000"/>
    <n v="595000"/>
    <x v="30"/>
    <n v="119000"/>
    <n v="1213"/>
  </r>
  <r>
    <s v="2025-04-30"/>
    <x v="1"/>
    <s v="Wednesday"/>
    <x v="0"/>
    <x v="1"/>
    <s v="Corporate"/>
    <s v="Online"/>
    <x v="6"/>
    <x v="2"/>
    <n v="150000"/>
    <n v="4"/>
    <x v="2"/>
    <n v="120000"/>
    <n v="600000"/>
    <x v="4"/>
    <n v="120000"/>
    <n v="1214"/>
  </r>
  <r>
    <s v="2025-04-02"/>
    <x v="1"/>
    <s v="Wednesday"/>
    <x v="2"/>
    <x v="3"/>
    <s v="Retail"/>
    <s v="Online"/>
    <x v="7"/>
    <x v="2"/>
    <n v="420000"/>
    <n v="5"/>
    <x v="1"/>
    <n v="336000"/>
    <n v="2100000"/>
    <x v="13"/>
    <n v="420000"/>
    <n v="1215"/>
  </r>
  <r>
    <s v="2025-02-15"/>
    <x v="2"/>
    <s v="Saturday"/>
    <x v="1"/>
    <x v="2"/>
    <s v="Retail"/>
    <s v="Online"/>
    <x v="2"/>
    <x v="1"/>
    <n v="60000"/>
    <n v="5"/>
    <x v="0"/>
    <n v="48000"/>
    <n v="300000"/>
    <x v="11"/>
    <n v="60000"/>
    <n v="1216"/>
  </r>
  <r>
    <s v="2025-02-18"/>
    <x v="2"/>
    <s v="Tuesday"/>
    <x v="2"/>
    <x v="0"/>
    <s v="Corporate"/>
    <s v="Online"/>
    <x v="8"/>
    <x v="2"/>
    <n v="250000"/>
    <n v="10"/>
    <x v="1"/>
    <n v="200000"/>
    <n v="2500000"/>
    <x v="66"/>
    <n v="500000"/>
    <n v="1217"/>
  </r>
  <r>
    <s v="2025-04-02"/>
    <x v="1"/>
    <s v="Wednesday"/>
    <x v="0"/>
    <x v="1"/>
    <s v="Retail"/>
    <s v="Online"/>
    <x v="2"/>
    <x v="1"/>
    <n v="60000"/>
    <n v="3"/>
    <x v="1"/>
    <n v="48000"/>
    <n v="180000"/>
    <x v="32"/>
    <n v="36000"/>
    <n v="1218"/>
  </r>
  <r>
    <s v="2025-01-12"/>
    <x v="0"/>
    <s v="Sunday"/>
    <x v="0"/>
    <x v="3"/>
    <s v="Corporate"/>
    <s v="Online"/>
    <x v="9"/>
    <x v="1"/>
    <n v="220000"/>
    <n v="5"/>
    <x v="4"/>
    <n v="176000"/>
    <n v="1100000"/>
    <x v="51"/>
    <n v="220000"/>
    <n v="1219"/>
  </r>
  <r>
    <s v="2025-04-20"/>
    <x v="1"/>
    <s v="Sunday"/>
    <x v="2"/>
    <x v="0"/>
    <s v="Corporate"/>
    <s v="Store"/>
    <x v="7"/>
    <x v="2"/>
    <n v="420000"/>
    <n v="3"/>
    <x v="2"/>
    <n v="336000"/>
    <n v="1260000"/>
    <x v="55"/>
    <n v="252000"/>
    <n v="1220"/>
  </r>
  <r>
    <s v="2025-03-17"/>
    <x v="3"/>
    <s v="Monday"/>
    <x v="0"/>
    <x v="1"/>
    <s v="Corporate"/>
    <s v="Store"/>
    <x v="2"/>
    <x v="1"/>
    <n v="60000"/>
    <n v="7"/>
    <x v="3"/>
    <n v="48000"/>
    <n v="420000"/>
    <x v="40"/>
    <n v="84000"/>
    <n v="1221"/>
  </r>
  <r>
    <s v="2025-03-03"/>
    <x v="3"/>
    <s v="Monday"/>
    <x v="0"/>
    <x v="0"/>
    <s v="Retail"/>
    <s v="Online"/>
    <x v="9"/>
    <x v="1"/>
    <n v="220000"/>
    <n v="8"/>
    <x v="2"/>
    <n v="176000"/>
    <n v="1760000"/>
    <x v="42"/>
    <n v="352000"/>
    <n v="1222"/>
  </r>
  <r>
    <s v="2025-05-01"/>
    <x v="4"/>
    <s v="Thursday"/>
    <x v="0"/>
    <x v="3"/>
    <s v="Corporate"/>
    <s v="Store"/>
    <x v="8"/>
    <x v="2"/>
    <n v="250000"/>
    <n v="6"/>
    <x v="4"/>
    <n v="200000"/>
    <n v="1500000"/>
    <x v="17"/>
    <n v="300000"/>
    <n v="1223"/>
  </r>
  <r>
    <s v="2025-04-24"/>
    <x v="1"/>
    <s v="Thursday"/>
    <x v="0"/>
    <x v="1"/>
    <s v="Corporate"/>
    <s v="Online"/>
    <x v="6"/>
    <x v="2"/>
    <n v="150000"/>
    <n v="5"/>
    <x v="2"/>
    <n v="120000"/>
    <n v="750000"/>
    <x v="56"/>
    <n v="150000"/>
    <n v="1224"/>
  </r>
  <r>
    <s v="2025-01-20"/>
    <x v="0"/>
    <s v="Monday"/>
    <x v="3"/>
    <x v="1"/>
    <s v="Corporate"/>
    <s v="Online"/>
    <x v="0"/>
    <x v="0"/>
    <n v="85000"/>
    <n v="2"/>
    <x v="3"/>
    <n v="68000"/>
    <n v="170000"/>
    <x v="2"/>
    <n v="34000"/>
    <n v="1225"/>
  </r>
  <r>
    <s v="2025-02-07"/>
    <x v="2"/>
    <s v="Friday"/>
    <x v="2"/>
    <x v="0"/>
    <s v="Corporate"/>
    <s v="Store"/>
    <x v="0"/>
    <x v="0"/>
    <n v="85000"/>
    <n v="6"/>
    <x v="1"/>
    <n v="68000"/>
    <n v="510000"/>
    <x v="60"/>
    <n v="102000"/>
    <n v="1226"/>
  </r>
  <r>
    <s v="2025-01-04"/>
    <x v="0"/>
    <s v="Saturday"/>
    <x v="0"/>
    <x v="3"/>
    <s v="Corporate"/>
    <s v="Online"/>
    <x v="6"/>
    <x v="2"/>
    <n v="150000"/>
    <n v="5"/>
    <x v="3"/>
    <n v="120000"/>
    <n v="750000"/>
    <x v="56"/>
    <n v="150000"/>
    <n v="1227"/>
  </r>
  <r>
    <s v="2025-01-10"/>
    <x v="0"/>
    <s v="Friday"/>
    <x v="0"/>
    <x v="2"/>
    <s v="Corporate"/>
    <s v="Store"/>
    <x v="7"/>
    <x v="2"/>
    <n v="420000"/>
    <n v="4"/>
    <x v="4"/>
    <n v="336000"/>
    <n v="1680000"/>
    <x v="45"/>
    <n v="336000"/>
    <n v="1228"/>
  </r>
  <r>
    <s v="2025-04-14"/>
    <x v="1"/>
    <s v="Monday"/>
    <x v="1"/>
    <x v="2"/>
    <s v="Corporate"/>
    <s v="Store"/>
    <x v="3"/>
    <x v="2"/>
    <n v="300000"/>
    <n v="6"/>
    <x v="5"/>
    <n v="240000"/>
    <n v="1800000"/>
    <x v="5"/>
    <n v="360000"/>
    <n v="1229"/>
  </r>
  <r>
    <s v="2025-03-12"/>
    <x v="3"/>
    <s v="Wednesday"/>
    <x v="3"/>
    <x v="0"/>
    <s v="Corporate"/>
    <s v="Online"/>
    <x v="2"/>
    <x v="1"/>
    <n v="60000"/>
    <n v="2"/>
    <x v="4"/>
    <n v="48000"/>
    <n v="120000"/>
    <x v="3"/>
    <n v="24000"/>
    <n v="1230"/>
  </r>
  <r>
    <s v="2025-01-20"/>
    <x v="0"/>
    <s v="Monday"/>
    <x v="3"/>
    <x v="3"/>
    <s v="Corporate"/>
    <s v="Online"/>
    <x v="0"/>
    <x v="0"/>
    <n v="85000"/>
    <n v="5"/>
    <x v="3"/>
    <n v="68000"/>
    <n v="425000"/>
    <x v="58"/>
    <n v="85000"/>
    <n v="1231"/>
  </r>
  <r>
    <s v="2025-04-23"/>
    <x v="1"/>
    <s v="Wednesday"/>
    <x v="0"/>
    <x v="3"/>
    <s v="Retail"/>
    <s v="Store"/>
    <x v="2"/>
    <x v="1"/>
    <n v="60000"/>
    <n v="3"/>
    <x v="1"/>
    <n v="48000"/>
    <n v="180000"/>
    <x v="32"/>
    <n v="36000"/>
    <n v="1232"/>
  </r>
  <r>
    <s v="2025-02-12"/>
    <x v="2"/>
    <s v="Wednesday"/>
    <x v="3"/>
    <x v="3"/>
    <s v="Corporate"/>
    <s v="Online"/>
    <x v="0"/>
    <x v="0"/>
    <n v="85000"/>
    <n v="7"/>
    <x v="3"/>
    <n v="68000"/>
    <n v="595000"/>
    <x v="30"/>
    <n v="119000"/>
    <n v="1233"/>
  </r>
  <r>
    <s v="2025-04-04"/>
    <x v="1"/>
    <s v="Friday"/>
    <x v="3"/>
    <x v="1"/>
    <s v="Corporate"/>
    <s v="Online"/>
    <x v="4"/>
    <x v="1"/>
    <n v="180000"/>
    <n v="5"/>
    <x v="5"/>
    <n v="144000"/>
    <n v="900000"/>
    <x v="48"/>
    <n v="180000"/>
    <n v="1234"/>
  </r>
  <r>
    <s v="2025-03-23"/>
    <x v="3"/>
    <s v="Sunday"/>
    <x v="1"/>
    <x v="1"/>
    <s v="Retail"/>
    <s v="Online"/>
    <x v="7"/>
    <x v="2"/>
    <n v="420000"/>
    <n v="5"/>
    <x v="2"/>
    <n v="336000"/>
    <n v="2100000"/>
    <x v="13"/>
    <n v="420000"/>
    <n v="1235"/>
  </r>
  <r>
    <s v="2025-04-10"/>
    <x v="1"/>
    <s v="Thursday"/>
    <x v="1"/>
    <x v="3"/>
    <s v="Corporate"/>
    <s v="Store"/>
    <x v="0"/>
    <x v="0"/>
    <n v="85000"/>
    <n v="6"/>
    <x v="2"/>
    <n v="68000"/>
    <n v="510000"/>
    <x v="60"/>
    <n v="102000"/>
    <n v="1236"/>
  </r>
  <r>
    <s v="2025-03-05"/>
    <x v="3"/>
    <s v="Wednesday"/>
    <x v="3"/>
    <x v="0"/>
    <s v="Retail"/>
    <s v="Store"/>
    <x v="7"/>
    <x v="2"/>
    <n v="420000"/>
    <n v="7"/>
    <x v="0"/>
    <n v="336000"/>
    <n v="2940000"/>
    <x v="70"/>
    <n v="588000"/>
    <n v="1237"/>
  </r>
  <r>
    <s v="2025-02-02"/>
    <x v="2"/>
    <s v="Sunday"/>
    <x v="2"/>
    <x v="3"/>
    <s v="Corporate"/>
    <s v="Online"/>
    <x v="7"/>
    <x v="2"/>
    <n v="420000"/>
    <n v="9"/>
    <x v="5"/>
    <n v="336000"/>
    <n v="3780000"/>
    <x v="12"/>
    <n v="756000"/>
    <n v="1238"/>
  </r>
  <r>
    <s v="2025-02-18"/>
    <x v="2"/>
    <s v="Tuesday"/>
    <x v="0"/>
    <x v="1"/>
    <s v="Corporate"/>
    <s v="Online"/>
    <x v="3"/>
    <x v="2"/>
    <n v="300000"/>
    <n v="3"/>
    <x v="4"/>
    <n v="240000"/>
    <n v="900000"/>
    <x v="48"/>
    <n v="180000"/>
    <n v="1239"/>
  </r>
  <r>
    <s v="2025-01-10"/>
    <x v="0"/>
    <s v="Friday"/>
    <x v="1"/>
    <x v="2"/>
    <s v="Retail"/>
    <s v="Online"/>
    <x v="0"/>
    <x v="0"/>
    <n v="85000"/>
    <n v="9"/>
    <x v="4"/>
    <n v="68000"/>
    <n v="765000"/>
    <x v="18"/>
    <n v="153000"/>
    <n v="1240"/>
  </r>
  <r>
    <s v="2025-03-02"/>
    <x v="3"/>
    <s v="Sunday"/>
    <x v="2"/>
    <x v="0"/>
    <s v="Corporate"/>
    <s v="Store"/>
    <x v="9"/>
    <x v="1"/>
    <n v="220000"/>
    <n v="7"/>
    <x v="3"/>
    <n v="176000"/>
    <n v="1540000"/>
    <x v="67"/>
    <n v="308000"/>
    <n v="1241"/>
  </r>
  <r>
    <s v="2025-04-07"/>
    <x v="1"/>
    <s v="Monday"/>
    <x v="0"/>
    <x v="1"/>
    <s v="Corporate"/>
    <s v="Store"/>
    <x v="3"/>
    <x v="2"/>
    <n v="300000"/>
    <n v="10"/>
    <x v="0"/>
    <n v="240000"/>
    <n v="3000000"/>
    <x v="68"/>
    <n v="600000"/>
    <n v="1242"/>
  </r>
  <r>
    <s v="2025-04-13"/>
    <x v="1"/>
    <s v="Sunday"/>
    <x v="0"/>
    <x v="0"/>
    <s v="Retail"/>
    <s v="Store"/>
    <x v="0"/>
    <x v="0"/>
    <n v="85000"/>
    <n v="8"/>
    <x v="4"/>
    <n v="68000"/>
    <n v="680000"/>
    <x v="69"/>
    <n v="136000"/>
    <n v="1243"/>
  </r>
  <r>
    <s v="2025-02-13"/>
    <x v="2"/>
    <s v="Thursday"/>
    <x v="1"/>
    <x v="1"/>
    <s v="Corporate"/>
    <s v="Online"/>
    <x v="1"/>
    <x v="1"/>
    <n v="30000"/>
    <n v="3"/>
    <x v="4"/>
    <n v="24000"/>
    <n v="90000"/>
    <x v="33"/>
    <n v="18000"/>
    <n v="1244"/>
  </r>
  <r>
    <s v="2025-02-11"/>
    <x v="2"/>
    <s v="Tuesday"/>
    <x v="2"/>
    <x v="2"/>
    <s v="Corporate"/>
    <s v="Store"/>
    <x v="0"/>
    <x v="0"/>
    <n v="85000"/>
    <n v="8"/>
    <x v="3"/>
    <n v="68000"/>
    <n v="680000"/>
    <x v="69"/>
    <n v="136000"/>
    <n v="1245"/>
  </r>
  <r>
    <s v="2025-02-09"/>
    <x v="2"/>
    <s v="Sunday"/>
    <x v="0"/>
    <x v="2"/>
    <s v="Retail"/>
    <s v="Store"/>
    <x v="4"/>
    <x v="1"/>
    <n v="180000"/>
    <n v="3"/>
    <x v="3"/>
    <n v="144000"/>
    <n v="540000"/>
    <x v="46"/>
    <n v="108000"/>
    <n v="1246"/>
  </r>
  <r>
    <s v="2025-03-25"/>
    <x v="3"/>
    <s v="Tuesday"/>
    <x v="3"/>
    <x v="0"/>
    <s v="Retail"/>
    <s v="Online"/>
    <x v="9"/>
    <x v="1"/>
    <n v="220000"/>
    <n v="7"/>
    <x v="4"/>
    <n v="176000"/>
    <n v="1540000"/>
    <x v="67"/>
    <n v="308000"/>
    <n v="1247"/>
  </r>
  <r>
    <s v="2025-03-09"/>
    <x v="3"/>
    <s v="Sunday"/>
    <x v="3"/>
    <x v="2"/>
    <s v="Retail"/>
    <s v="Online"/>
    <x v="4"/>
    <x v="1"/>
    <n v="180000"/>
    <n v="8"/>
    <x v="5"/>
    <n v="144000"/>
    <n v="1440000"/>
    <x v="37"/>
    <n v="288000"/>
    <n v="1248"/>
  </r>
  <r>
    <s v="2025-03-22"/>
    <x v="3"/>
    <s v="Saturday"/>
    <x v="2"/>
    <x v="3"/>
    <s v="Retail"/>
    <s v="Online"/>
    <x v="1"/>
    <x v="1"/>
    <n v="30000"/>
    <n v="1"/>
    <x v="2"/>
    <n v="24000"/>
    <n v="30000"/>
    <x v="75"/>
    <n v="6000"/>
    <n v="1249"/>
  </r>
  <r>
    <s v="2025-02-18"/>
    <x v="2"/>
    <s v="Tuesday"/>
    <x v="1"/>
    <x v="1"/>
    <s v="Retail"/>
    <s v="Online"/>
    <x v="1"/>
    <x v="1"/>
    <n v="30000"/>
    <n v="8"/>
    <x v="3"/>
    <n v="24000"/>
    <n v="240000"/>
    <x v="1"/>
    <n v="48000"/>
    <n v="1250"/>
  </r>
  <r>
    <s v="2025-02-15"/>
    <x v="2"/>
    <s v="Saturday"/>
    <x v="2"/>
    <x v="0"/>
    <s v="Retail"/>
    <s v="Online"/>
    <x v="4"/>
    <x v="1"/>
    <n v="180000"/>
    <n v="3"/>
    <x v="5"/>
    <n v="144000"/>
    <n v="540000"/>
    <x v="46"/>
    <n v="108000"/>
    <n v="1251"/>
  </r>
  <r>
    <s v="2025-02-25"/>
    <x v="2"/>
    <s v="Tuesday"/>
    <x v="2"/>
    <x v="1"/>
    <s v="Retail"/>
    <s v="Store"/>
    <x v="0"/>
    <x v="0"/>
    <n v="85000"/>
    <n v="7"/>
    <x v="1"/>
    <n v="68000"/>
    <n v="595000"/>
    <x v="30"/>
    <n v="119000"/>
    <n v="1252"/>
  </r>
  <r>
    <s v="2025-03-29"/>
    <x v="3"/>
    <s v="Saturday"/>
    <x v="0"/>
    <x v="1"/>
    <s v="Retail"/>
    <s v="Store"/>
    <x v="1"/>
    <x v="1"/>
    <n v="30000"/>
    <n v="7"/>
    <x v="2"/>
    <n v="24000"/>
    <n v="210000"/>
    <x v="54"/>
    <n v="42000"/>
    <n v="1253"/>
  </r>
  <r>
    <s v="2025-03-10"/>
    <x v="3"/>
    <s v="Monday"/>
    <x v="3"/>
    <x v="3"/>
    <s v="Retail"/>
    <s v="Store"/>
    <x v="2"/>
    <x v="1"/>
    <n v="60000"/>
    <n v="3"/>
    <x v="2"/>
    <n v="48000"/>
    <n v="180000"/>
    <x v="32"/>
    <n v="36000"/>
    <n v="1254"/>
  </r>
  <r>
    <s v="2025-02-01"/>
    <x v="2"/>
    <s v="Saturday"/>
    <x v="3"/>
    <x v="3"/>
    <s v="Retail"/>
    <s v="Store"/>
    <x v="0"/>
    <x v="0"/>
    <n v="85000"/>
    <n v="5"/>
    <x v="0"/>
    <n v="68000"/>
    <n v="425000"/>
    <x v="58"/>
    <n v="85000"/>
    <n v="1255"/>
  </r>
  <r>
    <s v="2025-02-15"/>
    <x v="2"/>
    <s v="Saturday"/>
    <x v="1"/>
    <x v="3"/>
    <s v="Corporate"/>
    <s v="Online"/>
    <x v="7"/>
    <x v="2"/>
    <n v="420000"/>
    <n v="1"/>
    <x v="0"/>
    <n v="336000"/>
    <n v="420000"/>
    <x v="40"/>
    <n v="84000"/>
    <n v="1256"/>
  </r>
  <r>
    <s v="2025-04-07"/>
    <x v="1"/>
    <s v="Monday"/>
    <x v="2"/>
    <x v="2"/>
    <s v="Corporate"/>
    <s v="Store"/>
    <x v="1"/>
    <x v="1"/>
    <n v="30000"/>
    <n v="5"/>
    <x v="0"/>
    <n v="24000"/>
    <n v="150000"/>
    <x v="26"/>
    <n v="30000"/>
    <n v="1257"/>
  </r>
  <r>
    <s v="2025-04-02"/>
    <x v="1"/>
    <s v="Wednesday"/>
    <x v="0"/>
    <x v="2"/>
    <s v="Retail"/>
    <s v="Online"/>
    <x v="8"/>
    <x v="2"/>
    <n v="250000"/>
    <n v="9"/>
    <x v="3"/>
    <n v="200000"/>
    <n v="2250000"/>
    <x v="71"/>
    <n v="450000"/>
    <n v="1258"/>
  </r>
  <r>
    <s v="2025-01-20"/>
    <x v="0"/>
    <s v="Monday"/>
    <x v="3"/>
    <x v="1"/>
    <s v="Corporate"/>
    <s v="Online"/>
    <x v="6"/>
    <x v="2"/>
    <n v="150000"/>
    <n v="3"/>
    <x v="5"/>
    <n v="120000"/>
    <n v="450000"/>
    <x v="34"/>
    <n v="90000"/>
    <n v="1259"/>
  </r>
  <r>
    <s v="2025-01-19"/>
    <x v="0"/>
    <s v="Sunday"/>
    <x v="1"/>
    <x v="1"/>
    <s v="Corporate"/>
    <s v="Online"/>
    <x v="3"/>
    <x v="2"/>
    <n v="300000"/>
    <n v="5"/>
    <x v="5"/>
    <n v="240000"/>
    <n v="1500000"/>
    <x v="17"/>
    <n v="300000"/>
    <n v="1260"/>
  </r>
  <r>
    <s v="2025-01-10"/>
    <x v="0"/>
    <s v="Friday"/>
    <x v="0"/>
    <x v="0"/>
    <s v="Retail"/>
    <s v="Store"/>
    <x v="5"/>
    <x v="0"/>
    <n v="320000"/>
    <n v="5"/>
    <x v="0"/>
    <n v="256000"/>
    <n v="1600000"/>
    <x v="28"/>
    <n v="320000"/>
    <n v="1261"/>
  </r>
  <r>
    <s v="2025-01-02"/>
    <x v="0"/>
    <s v="Thursday"/>
    <x v="0"/>
    <x v="3"/>
    <s v="Corporate"/>
    <s v="Store"/>
    <x v="0"/>
    <x v="0"/>
    <n v="85000"/>
    <n v="10"/>
    <x v="4"/>
    <n v="68000"/>
    <n v="850000"/>
    <x v="43"/>
    <n v="170000"/>
    <n v="1262"/>
  </r>
  <r>
    <s v="2025-01-24"/>
    <x v="0"/>
    <s v="Friday"/>
    <x v="0"/>
    <x v="1"/>
    <s v="Retail"/>
    <s v="Store"/>
    <x v="4"/>
    <x v="1"/>
    <n v="180000"/>
    <n v="3"/>
    <x v="4"/>
    <n v="144000"/>
    <n v="540000"/>
    <x v="46"/>
    <n v="108000"/>
    <n v="1263"/>
  </r>
  <r>
    <s v="2025-03-02"/>
    <x v="3"/>
    <s v="Sunday"/>
    <x v="1"/>
    <x v="3"/>
    <s v="Corporate"/>
    <s v="Store"/>
    <x v="1"/>
    <x v="1"/>
    <n v="30000"/>
    <n v="3"/>
    <x v="5"/>
    <n v="24000"/>
    <n v="90000"/>
    <x v="33"/>
    <n v="18000"/>
    <n v="1264"/>
  </r>
  <r>
    <s v="2025-01-03"/>
    <x v="0"/>
    <s v="Friday"/>
    <x v="3"/>
    <x v="1"/>
    <s v="Retail"/>
    <s v="Store"/>
    <x v="6"/>
    <x v="2"/>
    <n v="150000"/>
    <n v="5"/>
    <x v="4"/>
    <n v="120000"/>
    <n v="750000"/>
    <x v="56"/>
    <n v="150000"/>
    <n v="1265"/>
  </r>
  <r>
    <s v="2025-02-28"/>
    <x v="2"/>
    <s v="Friday"/>
    <x v="3"/>
    <x v="2"/>
    <s v="Retail"/>
    <s v="Online"/>
    <x v="3"/>
    <x v="2"/>
    <n v="300000"/>
    <n v="4"/>
    <x v="3"/>
    <n v="240000"/>
    <n v="1200000"/>
    <x v="29"/>
    <n v="240000"/>
    <n v="1266"/>
  </r>
  <r>
    <s v="2025-01-29"/>
    <x v="0"/>
    <s v="Wednesday"/>
    <x v="1"/>
    <x v="2"/>
    <s v="Corporate"/>
    <s v="Store"/>
    <x v="1"/>
    <x v="1"/>
    <n v="30000"/>
    <n v="8"/>
    <x v="4"/>
    <n v="24000"/>
    <n v="240000"/>
    <x v="1"/>
    <n v="48000"/>
    <n v="1267"/>
  </r>
  <r>
    <s v="2025-02-26"/>
    <x v="2"/>
    <s v="Wednesday"/>
    <x v="0"/>
    <x v="0"/>
    <s v="Retail"/>
    <s v="Store"/>
    <x v="9"/>
    <x v="1"/>
    <n v="220000"/>
    <n v="10"/>
    <x v="1"/>
    <n v="176000"/>
    <n v="2200000"/>
    <x v="61"/>
    <n v="440000"/>
    <n v="1268"/>
  </r>
  <r>
    <s v="2025-03-09"/>
    <x v="3"/>
    <s v="Sunday"/>
    <x v="2"/>
    <x v="2"/>
    <s v="Retail"/>
    <s v="Online"/>
    <x v="1"/>
    <x v="1"/>
    <n v="30000"/>
    <n v="10"/>
    <x v="2"/>
    <n v="24000"/>
    <n v="300000"/>
    <x v="11"/>
    <n v="60000"/>
    <n v="1269"/>
  </r>
  <r>
    <s v="2025-04-25"/>
    <x v="1"/>
    <s v="Friday"/>
    <x v="1"/>
    <x v="1"/>
    <s v="Corporate"/>
    <s v="Store"/>
    <x v="8"/>
    <x v="2"/>
    <n v="250000"/>
    <n v="5"/>
    <x v="0"/>
    <n v="200000"/>
    <n v="1250000"/>
    <x v="21"/>
    <n v="250000"/>
    <n v="1270"/>
  </r>
  <r>
    <s v="2025-02-08"/>
    <x v="2"/>
    <s v="Saturday"/>
    <x v="2"/>
    <x v="1"/>
    <s v="Corporate"/>
    <s v="Store"/>
    <x v="6"/>
    <x v="2"/>
    <n v="150000"/>
    <n v="8"/>
    <x v="0"/>
    <n v="120000"/>
    <n v="1200000"/>
    <x v="29"/>
    <n v="240000"/>
    <n v="1271"/>
  </r>
  <r>
    <s v="2025-04-28"/>
    <x v="1"/>
    <s v="Monday"/>
    <x v="2"/>
    <x v="0"/>
    <s v="Retail"/>
    <s v="Store"/>
    <x v="0"/>
    <x v="0"/>
    <n v="85000"/>
    <n v="1"/>
    <x v="0"/>
    <n v="68000"/>
    <n v="85000"/>
    <x v="0"/>
    <n v="17000"/>
    <n v="1272"/>
  </r>
  <r>
    <s v="2025-05-01"/>
    <x v="4"/>
    <s v="Thursday"/>
    <x v="1"/>
    <x v="2"/>
    <s v="Retail"/>
    <s v="Online"/>
    <x v="9"/>
    <x v="1"/>
    <n v="220000"/>
    <n v="2"/>
    <x v="4"/>
    <n v="176000"/>
    <n v="440000"/>
    <x v="15"/>
    <n v="88000"/>
    <n v="1273"/>
  </r>
  <r>
    <s v="2025-01-28"/>
    <x v="0"/>
    <s v="Tuesday"/>
    <x v="2"/>
    <x v="1"/>
    <s v="Corporate"/>
    <s v="Online"/>
    <x v="2"/>
    <x v="1"/>
    <n v="60000"/>
    <n v="9"/>
    <x v="2"/>
    <n v="48000"/>
    <n v="540000"/>
    <x v="46"/>
    <n v="108000"/>
    <n v="1274"/>
  </r>
  <r>
    <s v="2025-02-17"/>
    <x v="2"/>
    <s v="Monday"/>
    <x v="3"/>
    <x v="2"/>
    <s v="Retail"/>
    <s v="Online"/>
    <x v="8"/>
    <x v="2"/>
    <n v="250000"/>
    <n v="9"/>
    <x v="3"/>
    <n v="200000"/>
    <n v="2250000"/>
    <x v="71"/>
    <n v="450000"/>
    <n v="1275"/>
  </r>
  <r>
    <s v="2025-03-25"/>
    <x v="3"/>
    <s v="Tuesday"/>
    <x v="1"/>
    <x v="0"/>
    <s v="Retail"/>
    <s v="Store"/>
    <x v="0"/>
    <x v="0"/>
    <n v="85000"/>
    <n v="7"/>
    <x v="4"/>
    <n v="68000"/>
    <n v="595000"/>
    <x v="30"/>
    <n v="119000"/>
    <n v="1276"/>
  </r>
  <r>
    <s v="2025-04-26"/>
    <x v="1"/>
    <s v="Saturday"/>
    <x v="2"/>
    <x v="2"/>
    <s v="Retail"/>
    <s v="Store"/>
    <x v="6"/>
    <x v="2"/>
    <n v="150000"/>
    <n v="7"/>
    <x v="3"/>
    <n v="120000"/>
    <n v="1050000"/>
    <x v="16"/>
    <n v="210000"/>
    <n v="1277"/>
  </r>
  <r>
    <s v="2025-02-26"/>
    <x v="2"/>
    <s v="Wednesday"/>
    <x v="1"/>
    <x v="2"/>
    <s v="Corporate"/>
    <s v="Online"/>
    <x v="1"/>
    <x v="1"/>
    <n v="30000"/>
    <n v="3"/>
    <x v="1"/>
    <n v="24000"/>
    <n v="90000"/>
    <x v="33"/>
    <n v="18000"/>
    <n v="1278"/>
  </r>
  <r>
    <s v="2025-04-23"/>
    <x v="1"/>
    <s v="Wednesday"/>
    <x v="1"/>
    <x v="2"/>
    <s v="Corporate"/>
    <s v="Store"/>
    <x v="1"/>
    <x v="1"/>
    <n v="30000"/>
    <n v="3"/>
    <x v="5"/>
    <n v="24000"/>
    <n v="90000"/>
    <x v="33"/>
    <n v="18000"/>
    <n v="1279"/>
  </r>
  <r>
    <s v="2025-02-23"/>
    <x v="2"/>
    <s v="Sunday"/>
    <x v="3"/>
    <x v="3"/>
    <s v="Retail"/>
    <s v="Online"/>
    <x v="1"/>
    <x v="1"/>
    <n v="30000"/>
    <n v="4"/>
    <x v="4"/>
    <n v="24000"/>
    <n v="120000"/>
    <x v="3"/>
    <n v="24000"/>
    <n v="1280"/>
  </r>
  <r>
    <s v="2025-04-22"/>
    <x v="1"/>
    <s v="Tuesday"/>
    <x v="2"/>
    <x v="1"/>
    <s v="Retail"/>
    <s v="Store"/>
    <x v="2"/>
    <x v="1"/>
    <n v="60000"/>
    <n v="9"/>
    <x v="1"/>
    <n v="48000"/>
    <n v="540000"/>
    <x v="46"/>
    <n v="108000"/>
    <n v="1281"/>
  </r>
  <r>
    <s v="2025-01-27"/>
    <x v="0"/>
    <s v="Monday"/>
    <x v="2"/>
    <x v="3"/>
    <s v="Corporate"/>
    <s v="Online"/>
    <x v="2"/>
    <x v="1"/>
    <n v="60000"/>
    <n v="9"/>
    <x v="3"/>
    <n v="48000"/>
    <n v="540000"/>
    <x v="46"/>
    <n v="108000"/>
    <n v="1282"/>
  </r>
  <r>
    <s v="2025-03-31"/>
    <x v="3"/>
    <s v="Monday"/>
    <x v="2"/>
    <x v="0"/>
    <s v="Corporate"/>
    <s v="Online"/>
    <x v="7"/>
    <x v="2"/>
    <n v="420000"/>
    <n v="2"/>
    <x v="2"/>
    <n v="336000"/>
    <n v="840000"/>
    <x v="62"/>
    <n v="168000"/>
    <n v="1283"/>
  </r>
  <r>
    <s v="2025-03-11"/>
    <x v="3"/>
    <s v="Tuesday"/>
    <x v="3"/>
    <x v="2"/>
    <s v="Retail"/>
    <s v="Store"/>
    <x v="5"/>
    <x v="0"/>
    <n v="320000"/>
    <n v="1"/>
    <x v="5"/>
    <n v="256000"/>
    <n v="320000"/>
    <x v="7"/>
    <n v="64000"/>
    <n v="1284"/>
  </r>
  <r>
    <s v="2025-01-02"/>
    <x v="0"/>
    <s v="Thursday"/>
    <x v="0"/>
    <x v="0"/>
    <s v="Retail"/>
    <s v="Store"/>
    <x v="1"/>
    <x v="1"/>
    <n v="30000"/>
    <n v="5"/>
    <x v="1"/>
    <n v="24000"/>
    <n v="150000"/>
    <x v="26"/>
    <n v="30000"/>
    <n v="1285"/>
  </r>
  <r>
    <s v="2025-03-02"/>
    <x v="3"/>
    <s v="Sunday"/>
    <x v="0"/>
    <x v="2"/>
    <s v="Corporate"/>
    <s v="Store"/>
    <x v="0"/>
    <x v="0"/>
    <n v="85000"/>
    <n v="5"/>
    <x v="5"/>
    <n v="68000"/>
    <n v="425000"/>
    <x v="58"/>
    <n v="85000"/>
    <n v="1286"/>
  </r>
  <r>
    <s v="2025-01-16"/>
    <x v="0"/>
    <s v="Thursday"/>
    <x v="0"/>
    <x v="2"/>
    <s v="Corporate"/>
    <s v="Online"/>
    <x v="7"/>
    <x v="2"/>
    <n v="420000"/>
    <n v="10"/>
    <x v="3"/>
    <n v="336000"/>
    <n v="4200000"/>
    <x v="20"/>
    <n v="840000"/>
    <n v="1287"/>
  </r>
  <r>
    <s v="2025-03-14"/>
    <x v="3"/>
    <s v="Friday"/>
    <x v="1"/>
    <x v="0"/>
    <s v="Corporate"/>
    <s v="Online"/>
    <x v="8"/>
    <x v="2"/>
    <n v="250000"/>
    <n v="8"/>
    <x v="4"/>
    <n v="200000"/>
    <n v="2000000"/>
    <x v="52"/>
    <n v="400000"/>
    <n v="1288"/>
  </r>
  <r>
    <s v="2025-03-25"/>
    <x v="3"/>
    <s v="Tuesday"/>
    <x v="0"/>
    <x v="1"/>
    <s v="Corporate"/>
    <s v="Store"/>
    <x v="8"/>
    <x v="2"/>
    <n v="250000"/>
    <n v="10"/>
    <x v="3"/>
    <n v="200000"/>
    <n v="2500000"/>
    <x v="66"/>
    <n v="500000"/>
    <n v="1289"/>
  </r>
  <r>
    <s v="2025-02-11"/>
    <x v="2"/>
    <s v="Tuesday"/>
    <x v="1"/>
    <x v="1"/>
    <s v="Corporate"/>
    <s v="Store"/>
    <x v="6"/>
    <x v="2"/>
    <n v="150000"/>
    <n v="4"/>
    <x v="2"/>
    <n v="120000"/>
    <n v="600000"/>
    <x v="4"/>
    <n v="120000"/>
    <n v="1290"/>
  </r>
  <r>
    <s v="2025-02-01"/>
    <x v="2"/>
    <s v="Saturday"/>
    <x v="1"/>
    <x v="1"/>
    <s v="Corporate"/>
    <s v="Online"/>
    <x v="4"/>
    <x v="1"/>
    <n v="180000"/>
    <n v="6"/>
    <x v="2"/>
    <n v="144000"/>
    <n v="1080000"/>
    <x v="53"/>
    <n v="216000"/>
    <n v="1291"/>
  </r>
  <r>
    <s v="2025-04-30"/>
    <x v="1"/>
    <s v="Wednesday"/>
    <x v="1"/>
    <x v="2"/>
    <s v="Corporate"/>
    <s v="Store"/>
    <x v="1"/>
    <x v="1"/>
    <n v="30000"/>
    <n v="6"/>
    <x v="2"/>
    <n v="24000"/>
    <n v="180000"/>
    <x v="32"/>
    <n v="36000"/>
    <n v="1292"/>
  </r>
  <r>
    <s v="2025-02-08"/>
    <x v="2"/>
    <s v="Saturday"/>
    <x v="0"/>
    <x v="1"/>
    <s v="Corporate"/>
    <s v="Online"/>
    <x v="8"/>
    <x v="2"/>
    <n v="250000"/>
    <n v="5"/>
    <x v="3"/>
    <n v="200000"/>
    <n v="1250000"/>
    <x v="21"/>
    <n v="250000"/>
    <n v="1293"/>
  </r>
  <r>
    <s v="2025-02-02"/>
    <x v="2"/>
    <s v="Sunday"/>
    <x v="2"/>
    <x v="1"/>
    <s v="Corporate"/>
    <s v="Online"/>
    <x v="5"/>
    <x v="0"/>
    <n v="320000"/>
    <n v="2"/>
    <x v="5"/>
    <n v="256000"/>
    <n v="640000"/>
    <x v="38"/>
    <n v="128000"/>
    <n v="1294"/>
  </r>
  <r>
    <s v="2025-02-10"/>
    <x v="2"/>
    <s v="Monday"/>
    <x v="1"/>
    <x v="1"/>
    <s v="Corporate"/>
    <s v="Store"/>
    <x v="3"/>
    <x v="2"/>
    <n v="300000"/>
    <n v="10"/>
    <x v="3"/>
    <n v="240000"/>
    <n v="3000000"/>
    <x v="68"/>
    <n v="600000"/>
    <n v="1295"/>
  </r>
  <r>
    <s v="2025-01-24"/>
    <x v="0"/>
    <s v="Friday"/>
    <x v="0"/>
    <x v="1"/>
    <s v="Corporate"/>
    <s v="Store"/>
    <x v="3"/>
    <x v="2"/>
    <n v="300000"/>
    <n v="7"/>
    <x v="4"/>
    <n v="240000"/>
    <n v="2100000"/>
    <x v="13"/>
    <n v="420000"/>
    <n v="1296"/>
  </r>
  <r>
    <s v="2025-01-12"/>
    <x v="0"/>
    <s v="Sunday"/>
    <x v="3"/>
    <x v="0"/>
    <s v="Corporate"/>
    <s v="Online"/>
    <x v="4"/>
    <x v="1"/>
    <n v="180000"/>
    <n v="1"/>
    <x v="5"/>
    <n v="144000"/>
    <n v="180000"/>
    <x v="32"/>
    <n v="36000"/>
    <n v="1297"/>
  </r>
  <r>
    <s v="2025-02-25"/>
    <x v="2"/>
    <s v="Tuesday"/>
    <x v="1"/>
    <x v="2"/>
    <s v="Corporate"/>
    <s v="Store"/>
    <x v="3"/>
    <x v="2"/>
    <n v="300000"/>
    <n v="10"/>
    <x v="0"/>
    <n v="240000"/>
    <n v="3000000"/>
    <x v="68"/>
    <n v="600000"/>
    <n v="1298"/>
  </r>
  <r>
    <s v="2025-04-20"/>
    <x v="1"/>
    <s v="Sunday"/>
    <x v="0"/>
    <x v="3"/>
    <s v="Corporate"/>
    <s v="Online"/>
    <x v="4"/>
    <x v="1"/>
    <n v="180000"/>
    <n v="7"/>
    <x v="4"/>
    <n v="144000"/>
    <n v="1260000"/>
    <x v="55"/>
    <n v="252000"/>
    <n v="1299"/>
  </r>
  <r>
    <s v="2025-01-27"/>
    <x v="0"/>
    <s v="Monday"/>
    <x v="0"/>
    <x v="1"/>
    <s v="Corporate"/>
    <s v="Online"/>
    <x v="1"/>
    <x v="1"/>
    <n v="30000"/>
    <n v="7"/>
    <x v="2"/>
    <n v="24000"/>
    <n v="210000"/>
    <x v="54"/>
    <n v="42000"/>
    <n v="1300"/>
  </r>
  <r>
    <s v="2025-01-28"/>
    <x v="0"/>
    <s v="Tuesday"/>
    <x v="1"/>
    <x v="0"/>
    <s v="Corporate"/>
    <s v="Online"/>
    <x v="1"/>
    <x v="1"/>
    <n v="30000"/>
    <n v="6"/>
    <x v="1"/>
    <n v="24000"/>
    <n v="180000"/>
    <x v="32"/>
    <n v="36000"/>
    <n v="1301"/>
  </r>
  <r>
    <s v="2025-02-23"/>
    <x v="2"/>
    <s v="Sunday"/>
    <x v="1"/>
    <x v="1"/>
    <s v="Corporate"/>
    <s v="Online"/>
    <x v="0"/>
    <x v="0"/>
    <n v="85000"/>
    <n v="7"/>
    <x v="3"/>
    <n v="68000"/>
    <n v="595000"/>
    <x v="30"/>
    <n v="119000"/>
    <n v="1302"/>
  </r>
  <r>
    <s v="2025-04-15"/>
    <x v="1"/>
    <s v="Tuesday"/>
    <x v="1"/>
    <x v="0"/>
    <s v="Corporate"/>
    <s v="Store"/>
    <x v="8"/>
    <x v="2"/>
    <n v="250000"/>
    <n v="3"/>
    <x v="3"/>
    <n v="200000"/>
    <n v="750000"/>
    <x v="56"/>
    <n v="150000"/>
    <n v="1303"/>
  </r>
  <r>
    <s v="2025-02-20"/>
    <x v="2"/>
    <s v="Thursday"/>
    <x v="0"/>
    <x v="1"/>
    <s v="Corporate"/>
    <s v="Online"/>
    <x v="5"/>
    <x v="0"/>
    <n v="320000"/>
    <n v="7"/>
    <x v="2"/>
    <n v="256000"/>
    <n v="2240000"/>
    <x v="10"/>
    <n v="448000"/>
    <n v="1304"/>
  </r>
  <r>
    <s v="2025-01-11"/>
    <x v="0"/>
    <s v="Saturday"/>
    <x v="2"/>
    <x v="2"/>
    <s v="Corporate"/>
    <s v="Store"/>
    <x v="1"/>
    <x v="1"/>
    <n v="30000"/>
    <n v="7"/>
    <x v="3"/>
    <n v="24000"/>
    <n v="210000"/>
    <x v="54"/>
    <n v="42000"/>
    <n v="1305"/>
  </r>
  <r>
    <s v="2025-03-14"/>
    <x v="3"/>
    <s v="Friday"/>
    <x v="0"/>
    <x v="2"/>
    <s v="Corporate"/>
    <s v="Online"/>
    <x v="5"/>
    <x v="0"/>
    <n v="320000"/>
    <n v="8"/>
    <x v="0"/>
    <n v="256000"/>
    <n v="2560000"/>
    <x v="72"/>
    <n v="512000"/>
    <n v="1306"/>
  </r>
  <r>
    <s v="2025-04-25"/>
    <x v="1"/>
    <s v="Friday"/>
    <x v="3"/>
    <x v="3"/>
    <s v="Corporate"/>
    <s v="Online"/>
    <x v="5"/>
    <x v="0"/>
    <n v="320000"/>
    <n v="7"/>
    <x v="4"/>
    <n v="256000"/>
    <n v="2240000"/>
    <x v="10"/>
    <n v="448000"/>
    <n v="1307"/>
  </r>
  <r>
    <s v="2025-04-23"/>
    <x v="1"/>
    <s v="Wednesday"/>
    <x v="1"/>
    <x v="1"/>
    <s v="Corporate"/>
    <s v="Store"/>
    <x v="2"/>
    <x v="1"/>
    <n v="60000"/>
    <n v="2"/>
    <x v="2"/>
    <n v="48000"/>
    <n v="120000"/>
    <x v="3"/>
    <n v="24000"/>
    <n v="1308"/>
  </r>
  <r>
    <s v="2025-03-05"/>
    <x v="3"/>
    <s v="Wednesday"/>
    <x v="0"/>
    <x v="0"/>
    <s v="Corporate"/>
    <s v="Store"/>
    <x v="9"/>
    <x v="1"/>
    <n v="220000"/>
    <n v="8"/>
    <x v="4"/>
    <n v="176000"/>
    <n v="1760000"/>
    <x v="42"/>
    <n v="352000"/>
    <n v="1309"/>
  </r>
  <r>
    <s v="2025-01-27"/>
    <x v="0"/>
    <s v="Monday"/>
    <x v="2"/>
    <x v="2"/>
    <s v="Corporate"/>
    <s v="Online"/>
    <x v="2"/>
    <x v="1"/>
    <n v="60000"/>
    <n v="2"/>
    <x v="2"/>
    <n v="48000"/>
    <n v="120000"/>
    <x v="3"/>
    <n v="24000"/>
    <n v="1310"/>
  </r>
  <r>
    <s v="2025-04-06"/>
    <x v="1"/>
    <s v="Sunday"/>
    <x v="0"/>
    <x v="2"/>
    <s v="Corporate"/>
    <s v="Online"/>
    <x v="5"/>
    <x v="0"/>
    <n v="320000"/>
    <n v="2"/>
    <x v="5"/>
    <n v="256000"/>
    <n v="640000"/>
    <x v="38"/>
    <n v="128000"/>
    <n v="1311"/>
  </r>
  <r>
    <s v="2025-04-15"/>
    <x v="1"/>
    <s v="Tuesday"/>
    <x v="1"/>
    <x v="0"/>
    <s v="Corporate"/>
    <s v="Store"/>
    <x v="1"/>
    <x v="1"/>
    <n v="30000"/>
    <n v="2"/>
    <x v="3"/>
    <n v="24000"/>
    <n v="60000"/>
    <x v="41"/>
    <n v="12000"/>
    <n v="1312"/>
  </r>
  <r>
    <s v="2025-04-05"/>
    <x v="1"/>
    <s v="Saturday"/>
    <x v="3"/>
    <x v="1"/>
    <s v="Corporate"/>
    <s v="Store"/>
    <x v="1"/>
    <x v="1"/>
    <n v="30000"/>
    <n v="7"/>
    <x v="3"/>
    <n v="24000"/>
    <n v="210000"/>
    <x v="54"/>
    <n v="42000"/>
    <n v="1313"/>
  </r>
  <r>
    <s v="2025-03-12"/>
    <x v="3"/>
    <s v="Wednesday"/>
    <x v="3"/>
    <x v="0"/>
    <s v="Corporate"/>
    <s v="Store"/>
    <x v="8"/>
    <x v="2"/>
    <n v="250000"/>
    <n v="10"/>
    <x v="3"/>
    <n v="200000"/>
    <n v="2500000"/>
    <x v="66"/>
    <n v="500000"/>
    <n v="1314"/>
  </r>
  <r>
    <s v="2025-04-21"/>
    <x v="1"/>
    <s v="Monday"/>
    <x v="1"/>
    <x v="3"/>
    <s v="Corporate"/>
    <s v="Store"/>
    <x v="3"/>
    <x v="2"/>
    <n v="300000"/>
    <n v="9"/>
    <x v="2"/>
    <n v="240000"/>
    <n v="2700000"/>
    <x v="39"/>
    <n v="540000"/>
    <n v="1315"/>
  </r>
  <r>
    <s v="2025-03-04"/>
    <x v="3"/>
    <s v="Tuesday"/>
    <x v="2"/>
    <x v="2"/>
    <s v="Corporate"/>
    <s v="Store"/>
    <x v="0"/>
    <x v="0"/>
    <n v="85000"/>
    <n v="6"/>
    <x v="4"/>
    <n v="68000"/>
    <n v="510000"/>
    <x v="60"/>
    <n v="102000"/>
    <n v="1316"/>
  </r>
  <r>
    <s v="2025-01-30"/>
    <x v="0"/>
    <s v="Thursday"/>
    <x v="0"/>
    <x v="0"/>
    <s v="Corporate"/>
    <s v="Store"/>
    <x v="1"/>
    <x v="1"/>
    <n v="30000"/>
    <n v="4"/>
    <x v="0"/>
    <n v="24000"/>
    <n v="120000"/>
    <x v="3"/>
    <n v="24000"/>
    <n v="1317"/>
  </r>
  <r>
    <s v="2025-03-29"/>
    <x v="3"/>
    <s v="Saturday"/>
    <x v="2"/>
    <x v="3"/>
    <s v="Corporate"/>
    <s v="Online"/>
    <x v="3"/>
    <x v="2"/>
    <n v="300000"/>
    <n v="4"/>
    <x v="0"/>
    <n v="240000"/>
    <n v="1200000"/>
    <x v="29"/>
    <n v="240000"/>
    <n v="1318"/>
  </r>
  <r>
    <s v="2025-02-09"/>
    <x v="2"/>
    <s v="Sunday"/>
    <x v="2"/>
    <x v="3"/>
    <s v="Corporate"/>
    <s v="Store"/>
    <x v="9"/>
    <x v="1"/>
    <n v="220000"/>
    <n v="5"/>
    <x v="3"/>
    <n v="176000"/>
    <n v="1100000"/>
    <x v="51"/>
    <n v="220000"/>
    <n v="1319"/>
  </r>
  <r>
    <s v="2025-01-22"/>
    <x v="0"/>
    <s v="Wednesday"/>
    <x v="1"/>
    <x v="3"/>
    <s v="Corporate"/>
    <s v="Store"/>
    <x v="9"/>
    <x v="1"/>
    <n v="220000"/>
    <n v="4"/>
    <x v="3"/>
    <n v="176000"/>
    <n v="880000"/>
    <x v="22"/>
    <n v="176000"/>
    <n v="1320"/>
  </r>
  <r>
    <s v="2025-01-23"/>
    <x v="0"/>
    <s v="Thursday"/>
    <x v="1"/>
    <x v="3"/>
    <s v="Corporate"/>
    <s v="Online"/>
    <x v="1"/>
    <x v="1"/>
    <n v="30000"/>
    <n v="1"/>
    <x v="5"/>
    <n v="24000"/>
    <n v="30000"/>
    <x v="75"/>
    <n v="6000"/>
    <n v="1321"/>
  </r>
  <r>
    <s v="2025-02-12"/>
    <x v="2"/>
    <s v="Wednesday"/>
    <x v="2"/>
    <x v="1"/>
    <s v="Retail"/>
    <s v="Online"/>
    <x v="7"/>
    <x v="2"/>
    <n v="420000"/>
    <n v="9"/>
    <x v="1"/>
    <n v="336000"/>
    <n v="3780000"/>
    <x v="12"/>
    <n v="756000"/>
    <n v="1322"/>
  </r>
  <r>
    <s v="2025-04-13"/>
    <x v="1"/>
    <s v="Sunday"/>
    <x v="0"/>
    <x v="1"/>
    <s v="Corporate"/>
    <s v="Online"/>
    <x v="2"/>
    <x v="1"/>
    <n v="60000"/>
    <n v="6"/>
    <x v="1"/>
    <n v="48000"/>
    <n v="360000"/>
    <x v="50"/>
    <n v="72000"/>
    <n v="1323"/>
  </r>
  <r>
    <s v="2025-01-27"/>
    <x v="0"/>
    <s v="Monday"/>
    <x v="0"/>
    <x v="3"/>
    <s v="Retail"/>
    <s v="Online"/>
    <x v="4"/>
    <x v="1"/>
    <n v="180000"/>
    <n v="2"/>
    <x v="2"/>
    <n v="144000"/>
    <n v="360000"/>
    <x v="50"/>
    <n v="72000"/>
    <n v="1324"/>
  </r>
  <r>
    <s v="2025-04-16"/>
    <x v="1"/>
    <s v="Wednesday"/>
    <x v="1"/>
    <x v="1"/>
    <s v="Retail"/>
    <s v="Online"/>
    <x v="0"/>
    <x v="0"/>
    <n v="85000"/>
    <n v="1"/>
    <x v="1"/>
    <n v="68000"/>
    <n v="85000"/>
    <x v="0"/>
    <n v="17000"/>
    <n v="1325"/>
  </r>
  <r>
    <s v="2025-02-13"/>
    <x v="2"/>
    <s v="Thursday"/>
    <x v="0"/>
    <x v="2"/>
    <s v="Retail"/>
    <s v="Store"/>
    <x v="8"/>
    <x v="2"/>
    <n v="250000"/>
    <n v="2"/>
    <x v="0"/>
    <n v="200000"/>
    <n v="500000"/>
    <x v="73"/>
    <n v="100000"/>
    <n v="1326"/>
  </r>
  <r>
    <s v="2025-01-13"/>
    <x v="0"/>
    <s v="Monday"/>
    <x v="3"/>
    <x v="3"/>
    <s v="Retail"/>
    <s v="Store"/>
    <x v="1"/>
    <x v="1"/>
    <n v="30000"/>
    <n v="7"/>
    <x v="3"/>
    <n v="24000"/>
    <n v="210000"/>
    <x v="54"/>
    <n v="42000"/>
    <n v="1327"/>
  </r>
  <r>
    <s v="2025-04-24"/>
    <x v="1"/>
    <s v="Thursday"/>
    <x v="0"/>
    <x v="1"/>
    <s v="Retail"/>
    <s v="Store"/>
    <x v="7"/>
    <x v="2"/>
    <n v="420000"/>
    <n v="9"/>
    <x v="3"/>
    <n v="336000"/>
    <n v="3780000"/>
    <x v="12"/>
    <n v="756000"/>
    <n v="1328"/>
  </r>
  <r>
    <s v="2025-01-19"/>
    <x v="0"/>
    <s v="Sunday"/>
    <x v="2"/>
    <x v="3"/>
    <s v="Retail"/>
    <s v="Online"/>
    <x v="2"/>
    <x v="1"/>
    <n v="60000"/>
    <n v="7"/>
    <x v="1"/>
    <n v="48000"/>
    <n v="420000"/>
    <x v="40"/>
    <n v="84000"/>
    <n v="1329"/>
  </r>
  <r>
    <s v="2025-04-01"/>
    <x v="1"/>
    <s v="Tuesday"/>
    <x v="3"/>
    <x v="2"/>
    <s v="Retail"/>
    <s v="Store"/>
    <x v="3"/>
    <x v="2"/>
    <n v="300000"/>
    <n v="7"/>
    <x v="3"/>
    <n v="240000"/>
    <n v="2100000"/>
    <x v="13"/>
    <n v="420000"/>
    <n v="1330"/>
  </r>
  <r>
    <s v="2025-03-03"/>
    <x v="3"/>
    <s v="Monday"/>
    <x v="1"/>
    <x v="0"/>
    <s v="Corporate"/>
    <s v="Online"/>
    <x v="6"/>
    <x v="2"/>
    <n v="150000"/>
    <n v="9"/>
    <x v="5"/>
    <n v="120000"/>
    <n v="1350000"/>
    <x v="63"/>
    <n v="270000"/>
    <n v="1331"/>
  </r>
  <r>
    <s v="2025-02-05"/>
    <x v="2"/>
    <s v="Wednesday"/>
    <x v="2"/>
    <x v="2"/>
    <s v="Corporate"/>
    <s v="Online"/>
    <x v="3"/>
    <x v="2"/>
    <n v="300000"/>
    <n v="7"/>
    <x v="2"/>
    <n v="240000"/>
    <n v="2100000"/>
    <x v="13"/>
    <n v="420000"/>
    <n v="1332"/>
  </r>
  <r>
    <s v="2025-01-24"/>
    <x v="0"/>
    <s v="Friday"/>
    <x v="0"/>
    <x v="1"/>
    <s v="Retail"/>
    <s v="Online"/>
    <x v="8"/>
    <x v="2"/>
    <n v="250000"/>
    <n v="1"/>
    <x v="4"/>
    <n v="200000"/>
    <n v="250000"/>
    <x v="44"/>
    <n v="50000"/>
    <n v="1333"/>
  </r>
  <r>
    <s v="2025-01-11"/>
    <x v="0"/>
    <s v="Saturday"/>
    <x v="0"/>
    <x v="1"/>
    <s v="Corporate"/>
    <s v="Online"/>
    <x v="8"/>
    <x v="2"/>
    <n v="250000"/>
    <n v="6"/>
    <x v="2"/>
    <n v="200000"/>
    <n v="1500000"/>
    <x v="17"/>
    <n v="300000"/>
    <n v="1334"/>
  </r>
  <r>
    <s v="2025-01-18"/>
    <x v="0"/>
    <s v="Saturday"/>
    <x v="1"/>
    <x v="2"/>
    <s v="Corporate"/>
    <s v="Store"/>
    <x v="7"/>
    <x v="2"/>
    <n v="420000"/>
    <n v="9"/>
    <x v="5"/>
    <n v="336000"/>
    <n v="3780000"/>
    <x v="12"/>
    <n v="756000"/>
    <n v="1335"/>
  </r>
  <r>
    <s v="2025-03-14"/>
    <x v="3"/>
    <s v="Friday"/>
    <x v="2"/>
    <x v="3"/>
    <s v="Corporate"/>
    <s v="Online"/>
    <x v="4"/>
    <x v="1"/>
    <n v="180000"/>
    <n v="6"/>
    <x v="1"/>
    <n v="144000"/>
    <n v="1080000"/>
    <x v="53"/>
    <n v="216000"/>
    <n v="1336"/>
  </r>
  <r>
    <s v="2025-01-11"/>
    <x v="0"/>
    <s v="Saturday"/>
    <x v="2"/>
    <x v="2"/>
    <s v="Corporate"/>
    <s v="Online"/>
    <x v="0"/>
    <x v="0"/>
    <n v="85000"/>
    <n v="5"/>
    <x v="5"/>
    <n v="68000"/>
    <n v="425000"/>
    <x v="58"/>
    <n v="85000"/>
    <n v="1337"/>
  </r>
  <r>
    <s v="2025-04-30"/>
    <x v="1"/>
    <s v="Wednesday"/>
    <x v="0"/>
    <x v="2"/>
    <s v="Corporate"/>
    <s v="Online"/>
    <x v="9"/>
    <x v="1"/>
    <n v="220000"/>
    <n v="5"/>
    <x v="5"/>
    <n v="176000"/>
    <n v="1100000"/>
    <x v="51"/>
    <n v="220000"/>
    <n v="1338"/>
  </r>
  <r>
    <s v="2025-03-18"/>
    <x v="3"/>
    <s v="Tuesday"/>
    <x v="1"/>
    <x v="3"/>
    <s v="Retail"/>
    <s v="Online"/>
    <x v="2"/>
    <x v="1"/>
    <n v="60000"/>
    <n v="8"/>
    <x v="4"/>
    <n v="48000"/>
    <n v="480000"/>
    <x v="47"/>
    <n v="96000"/>
    <n v="1339"/>
  </r>
  <r>
    <s v="2025-01-06"/>
    <x v="0"/>
    <s v="Monday"/>
    <x v="1"/>
    <x v="3"/>
    <s v="Corporate"/>
    <s v="Store"/>
    <x v="0"/>
    <x v="0"/>
    <n v="85000"/>
    <n v="10"/>
    <x v="3"/>
    <n v="68000"/>
    <n v="850000"/>
    <x v="43"/>
    <n v="170000"/>
    <n v="1340"/>
  </r>
  <r>
    <s v="2025-02-17"/>
    <x v="2"/>
    <s v="Monday"/>
    <x v="3"/>
    <x v="1"/>
    <s v="Retail"/>
    <s v="Store"/>
    <x v="1"/>
    <x v="1"/>
    <n v="30000"/>
    <n v="6"/>
    <x v="5"/>
    <n v="24000"/>
    <n v="180000"/>
    <x v="32"/>
    <n v="36000"/>
    <n v="1341"/>
  </r>
  <r>
    <s v="2025-04-07"/>
    <x v="1"/>
    <s v="Monday"/>
    <x v="0"/>
    <x v="1"/>
    <s v="Corporate"/>
    <s v="Store"/>
    <x v="5"/>
    <x v="0"/>
    <n v="320000"/>
    <n v="10"/>
    <x v="1"/>
    <n v="256000"/>
    <n v="3200000"/>
    <x v="35"/>
    <n v="640000"/>
    <n v="1342"/>
  </r>
  <r>
    <s v="2025-04-19"/>
    <x v="1"/>
    <s v="Saturday"/>
    <x v="2"/>
    <x v="3"/>
    <s v="Corporate"/>
    <s v="Store"/>
    <x v="2"/>
    <x v="1"/>
    <n v="60000"/>
    <n v="2"/>
    <x v="1"/>
    <n v="48000"/>
    <n v="120000"/>
    <x v="3"/>
    <n v="24000"/>
    <n v="1343"/>
  </r>
  <r>
    <s v="2025-04-11"/>
    <x v="1"/>
    <s v="Friday"/>
    <x v="1"/>
    <x v="1"/>
    <s v="Corporate"/>
    <s v="Store"/>
    <x v="7"/>
    <x v="2"/>
    <n v="420000"/>
    <n v="3"/>
    <x v="0"/>
    <n v="336000"/>
    <n v="1260000"/>
    <x v="55"/>
    <n v="252000"/>
    <n v="1344"/>
  </r>
  <r>
    <s v="2025-03-09"/>
    <x v="3"/>
    <s v="Sunday"/>
    <x v="1"/>
    <x v="1"/>
    <s v="Retail"/>
    <s v="Online"/>
    <x v="6"/>
    <x v="2"/>
    <n v="150000"/>
    <n v="5"/>
    <x v="2"/>
    <n v="120000"/>
    <n v="750000"/>
    <x v="56"/>
    <n v="150000"/>
    <n v="1345"/>
  </r>
  <r>
    <s v="2025-02-18"/>
    <x v="2"/>
    <s v="Tuesday"/>
    <x v="2"/>
    <x v="1"/>
    <s v="Retail"/>
    <s v="Store"/>
    <x v="6"/>
    <x v="2"/>
    <n v="150000"/>
    <n v="9"/>
    <x v="3"/>
    <n v="120000"/>
    <n v="1350000"/>
    <x v="63"/>
    <n v="270000"/>
    <n v="1346"/>
  </r>
  <r>
    <s v="2025-02-16"/>
    <x v="2"/>
    <s v="Sunday"/>
    <x v="2"/>
    <x v="0"/>
    <s v="Corporate"/>
    <s v="Store"/>
    <x v="0"/>
    <x v="0"/>
    <n v="85000"/>
    <n v="5"/>
    <x v="4"/>
    <n v="68000"/>
    <n v="425000"/>
    <x v="58"/>
    <n v="85000"/>
    <n v="1347"/>
  </r>
  <r>
    <s v="2025-02-06"/>
    <x v="2"/>
    <s v="Thursday"/>
    <x v="3"/>
    <x v="1"/>
    <s v="Corporate"/>
    <s v="Online"/>
    <x v="5"/>
    <x v="0"/>
    <n v="320000"/>
    <n v="1"/>
    <x v="1"/>
    <n v="256000"/>
    <n v="320000"/>
    <x v="7"/>
    <n v="64000"/>
    <n v="1348"/>
  </r>
  <r>
    <s v="2025-03-26"/>
    <x v="3"/>
    <s v="Wednesday"/>
    <x v="1"/>
    <x v="0"/>
    <s v="Retail"/>
    <s v="Store"/>
    <x v="1"/>
    <x v="1"/>
    <n v="30000"/>
    <n v="4"/>
    <x v="2"/>
    <n v="24000"/>
    <n v="120000"/>
    <x v="3"/>
    <n v="24000"/>
    <n v="1349"/>
  </r>
  <r>
    <s v="2025-04-27"/>
    <x v="1"/>
    <s v="Sunday"/>
    <x v="2"/>
    <x v="2"/>
    <s v="Corporate"/>
    <s v="Store"/>
    <x v="9"/>
    <x v="1"/>
    <n v="220000"/>
    <n v="8"/>
    <x v="4"/>
    <n v="176000"/>
    <n v="1760000"/>
    <x v="42"/>
    <n v="352000"/>
    <n v="1350"/>
  </r>
  <r>
    <s v="2025-03-25"/>
    <x v="3"/>
    <s v="Tuesday"/>
    <x v="0"/>
    <x v="3"/>
    <s v="Corporate"/>
    <s v="Store"/>
    <x v="5"/>
    <x v="0"/>
    <n v="320000"/>
    <n v="5"/>
    <x v="5"/>
    <n v="256000"/>
    <n v="1600000"/>
    <x v="28"/>
    <n v="320000"/>
    <n v="1351"/>
  </r>
  <r>
    <s v="2025-02-15"/>
    <x v="2"/>
    <s v="Saturday"/>
    <x v="0"/>
    <x v="3"/>
    <s v="Corporate"/>
    <s v="Store"/>
    <x v="0"/>
    <x v="0"/>
    <n v="85000"/>
    <n v="3"/>
    <x v="4"/>
    <n v="68000"/>
    <n v="255000"/>
    <x v="23"/>
    <n v="51000"/>
    <n v="1352"/>
  </r>
  <r>
    <s v="2025-02-01"/>
    <x v="2"/>
    <s v="Saturday"/>
    <x v="1"/>
    <x v="2"/>
    <s v="Retail"/>
    <s v="Store"/>
    <x v="5"/>
    <x v="0"/>
    <n v="320000"/>
    <n v="10"/>
    <x v="0"/>
    <n v="256000"/>
    <n v="3200000"/>
    <x v="35"/>
    <n v="640000"/>
    <n v="1353"/>
  </r>
  <r>
    <s v="2025-02-28"/>
    <x v="2"/>
    <s v="Friday"/>
    <x v="0"/>
    <x v="2"/>
    <s v="Retail"/>
    <s v="Online"/>
    <x v="7"/>
    <x v="2"/>
    <n v="420000"/>
    <n v="2"/>
    <x v="5"/>
    <n v="336000"/>
    <n v="840000"/>
    <x v="62"/>
    <n v="168000"/>
    <n v="1354"/>
  </r>
  <r>
    <s v="2025-03-22"/>
    <x v="3"/>
    <s v="Saturday"/>
    <x v="3"/>
    <x v="3"/>
    <s v="Retail"/>
    <s v="Online"/>
    <x v="1"/>
    <x v="1"/>
    <n v="30000"/>
    <n v="3"/>
    <x v="0"/>
    <n v="24000"/>
    <n v="90000"/>
    <x v="33"/>
    <n v="18000"/>
    <n v="1355"/>
  </r>
  <r>
    <s v="2025-04-10"/>
    <x v="1"/>
    <s v="Thursday"/>
    <x v="0"/>
    <x v="3"/>
    <s v="Corporate"/>
    <s v="Online"/>
    <x v="1"/>
    <x v="1"/>
    <n v="30000"/>
    <n v="1"/>
    <x v="5"/>
    <n v="24000"/>
    <n v="30000"/>
    <x v="75"/>
    <n v="6000"/>
    <n v="1356"/>
  </r>
  <r>
    <s v="2025-01-09"/>
    <x v="0"/>
    <s v="Thursday"/>
    <x v="1"/>
    <x v="2"/>
    <s v="Retail"/>
    <s v="Store"/>
    <x v="7"/>
    <x v="2"/>
    <n v="420000"/>
    <n v="10"/>
    <x v="5"/>
    <n v="336000"/>
    <n v="4200000"/>
    <x v="20"/>
    <n v="840000"/>
    <n v="1357"/>
  </r>
  <r>
    <s v="2025-04-15"/>
    <x v="1"/>
    <s v="Tuesday"/>
    <x v="2"/>
    <x v="2"/>
    <s v="Retail"/>
    <s v="Store"/>
    <x v="6"/>
    <x v="2"/>
    <n v="150000"/>
    <n v="8"/>
    <x v="0"/>
    <n v="120000"/>
    <n v="1200000"/>
    <x v="29"/>
    <n v="240000"/>
    <n v="1358"/>
  </r>
  <r>
    <s v="2025-03-01"/>
    <x v="3"/>
    <s v="Saturday"/>
    <x v="3"/>
    <x v="1"/>
    <s v="Corporate"/>
    <s v="Store"/>
    <x v="9"/>
    <x v="1"/>
    <n v="220000"/>
    <n v="8"/>
    <x v="0"/>
    <n v="176000"/>
    <n v="1760000"/>
    <x v="42"/>
    <n v="352000"/>
    <n v="1359"/>
  </r>
  <r>
    <s v="2025-01-28"/>
    <x v="0"/>
    <s v="Tuesday"/>
    <x v="1"/>
    <x v="3"/>
    <s v="Retail"/>
    <s v="Store"/>
    <x v="5"/>
    <x v="0"/>
    <n v="320000"/>
    <n v="9"/>
    <x v="3"/>
    <n v="256000"/>
    <n v="2880000"/>
    <x v="8"/>
    <n v="576000"/>
    <n v="1360"/>
  </r>
  <r>
    <s v="2025-03-21"/>
    <x v="3"/>
    <s v="Friday"/>
    <x v="3"/>
    <x v="0"/>
    <s v="Retail"/>
    <s v="Store"/>
    <x v="9"/>
    <x v="1"/>
    <n v="220000"/>
    <n v="3"/>
    <x v="5"/>
    <n v="176000"/>
    <n v="660000"/>
    <x v="49"/>
    <n v="132000"/>
    <n v="1361"/>
  </r>
  <r>
    <s v="2025-02-25"/>
    <x v="2"/>
    <s v="Tuesday"/>
    <x v="0"/>
    <x v="2"/>
    <s v="Corporate"/>
    <s v="Online"/>
    <x v="4"/>
    <x v="1"/>
    <n v="180000"/>
    <n v="8"/>
    <x v="3"/>
    <n v="144000"/>
    <n v="1440000"/>
    <x v="37"/>
    <n v="288000"/>
    <n v="1362"/>
  </r>
  <r>
    <s v="2025-02-07"/>
    <x v="2"/>
    <s v="Friday"/>
    <x v="3"/>
    <x v="2"/>
    <s v="Retail"/>
    <s v="Store"/>
    <x v="8"/>
    <x v="2"/>
    <n v="250000"/>
    <n v="4"/>
    <x v="2"/>
    <n v="200000"/>
    <n v="1000000"/>
    <x v="14"/>
    <n v="200000"/>
    <n v="1363"/>
  </r>
  <r>
    <s v="2025-02-23"/>
    <x v="2"/>
    <s v="Sunday"/>
    <x v="3"/>
    <x v="1"/>
    <s v="Corporate"/>
    <s v="Store"/>
    <x v="2"/>
    <x v="1"/>
    <n v="60000"/>
    <n v="7"/>
    <x v="3"/>
    <n v="48000"/>
    <n v="420000"/>
    <x v="40"/>
    <n v="84000"/>
    <n v="1364"/>
  </r>
  <r>
    <s v="2025-01-18"/>
    <x v="0"/>
    <s v="Saturday"/>
    <x v="3"/>
    <x v="0"/>
    <s v="Corporate"/>
    <s v="Store"/>
    <x v="9"/>
    <x v="1"/>
    <n v="220000"/>
    <n v="10"/>
    <x v="5"/>
    <n v="176000"/>
    <n v="2200000"/>
    <x v="61"/>
    <n v="440000"/>
    <n v="1365"/>
  </r>
  <r>
    <s v="2025-04-14"/>
    <x v="1"/>
    <s v="Monday"/>
    <x v="2"/>
    <x v="2"/>
    <s v="Retail"/>
    <s v="Online"/>
    <x v="2"/>
    <x v="1"/>
    <n v="60000"/>
    <n v="9"/>
    <x v="5"/>
    <n v="48000"/>
    <n v="540000"/>
    <x v="46"/>
    <n v="108000"/>
    <n v="1366"/>
  </r>
  <r>
    <s v="2025-02-16"/>
    <x v="2"/>
    <s v="Sunday"/>
    <x v="0"/>
    <x v="2"/>
    <s v="Corporate"/>
    <s v="Online"/>
    <x v="2"/>
    <x v="1"/>
    <n v="60000"/>
    <n v="2"/>
    <x v="2"/>
    <n v="48000"/>
    <n v="120000"/>
    <x v="3"/>
    <n v="24000"/>
    <n v="1367"/>
  </r>
  <r>
    <s v="2025-02-15"/>
    <x v="2"/>
    <s v="Saturday"/>
    <x v="1"/>
    <x v="1"/>
    <s v="Corporate"/>
    <s v="Online"/>
    <x v="6"/>
    <x v="2"/>
    <n v="150000"/>
    <n v="3"/>
    <x v="0"/>
    <n v="120000"/>
    <n v="450000"/>
    <x v="34"/>
    <n v="90000"/>
    <n v="1368"/>
  </r>
  <r>
    <s v="2025-01-11"/>
    <x v="0"/>
    <s v="Saturday"/>
    <x v="0"/>
    <x v="1"/>
    <s v="Corporate"/>
    <s v="Online"/>
    <x v="6"/>
    <x v="2"/>
    <n v="150000"/>
    <n v="10"/>
    <x v="0"/>
    <n v="120000"/>
    <n v="1500000"/>
    <x v="17"/>
    <n v="300000"/>
    <n v="1369"/>
  </r>
  <r>
    <s v="2025-01-19"/>
    <x v="0"/>
    <s v="Sunday"/>
    <x v="3"/>
    <x v="2"/>
    <s v="Corporate"/>
    <s v="Online"/>
    <x v="6"/>
    <x v="2"/>
    <n v="150000"/>
    <n v="9"/>
    <x v="3"/>
    <n v="120000"/>
    <n v="1350000"/>
    <x v="63"/>
    <n v="270000"/>
    <n v="1370"/>
  </r>
  <r>
    <s v="2025-01-13"/>
    <x v="0"/>
    <s v="Monday"/>
    <x v="0"/>
    <x v="3"/>
    <s v="Retail"/>
    <s v="Online"/>
    <x v="5"/>
    <x v="0"/>
    <n v="320000"/>
    <n v="5"/>
    <x v="5"/>
    <n v="256000"/>
    <n v="1600000"/>
    <x v="28"/>
    <n v="320000"/>
    <n v="1371"/>
  </r>
  <r>
    <s v="2025-01-15"/>
    <x v="0"/>
    <s v="Wednesday"/>
    <x v="1"/>
    <x v="3"/>
    <s v="Retail"/>
    <s v="Online"/>
    <x v="4"/>
    <x v="1"/>
    <n v="180000"/>
    <n v="3"/>
    <x v="0"/>
    <n v="144000"/>
    <n v="540000"/>
    <x v="46"/>
    <n v="108000"/>
    <n v="1372"/>
  </r>
  <r>
    <s v="2025-01-18"/>
    <x v="0"/>
    <s v="Saturday"/>
    <x v="0"/>
    <x v="2"/>
    <s v="Corporate"/>
    <s v="Online"/>
    <x v="0"/>
    <x v="0"/>
    <n v="85000"/>
    <n v="4"/>
    <x v="3"/>
    <n v="68000"/>
    <n v="340000"/>
    <x v="74"/>
    <n v="68000"/>
    <n v="1373"/>
  </r>
  <r>
    <s v="2025-03-14"/>
    <x v="3"/>
    <s v="Friday"/>
    <x v="0"/>
    <x v="3"/>
    <s v="Corporate"/>
    <s v="Store"/>
    <x v="5"/>
    <x v="0"/>
    <n v="320000"/>
    <n v="7"/>
    <x v="5"/>
    <n v="256000"/>
    <n v="2240000"/>
    <x v="10"/>
    <n v="448000"/>
    <n v="1374"/>
  </r>
  <r>
    <s v="2025-04-02"/>
    <x v="1"/>
    <s v="Wednesday"/>
    <x v="2"/>
    <x v="1"/>
    <s v="Retail"/>
    <s v="Store"/>
    <x v="9"/>
    <x v="1"/>
    <n v="220000"/>
    <n v="5"/>
    <x v="3"/>
    <n v="176000"/>
    <n v="1100000"/>
    <x v="51"/>
    <n v="220000"/>
    <n v="1375"/>
  </r>
  <r>
    <s v="2025-03-20"/>
    <x v="3"/>
    <s v="Thursday"/>
    <x v="2"/>
    <x v="1"/>
    <s v="Corporate"/>
    <s v="Store"/>
    <x v="6"/>
    <x v="2"/>
    <n v="150000"/>
    <n v="3"/>
    <x v="0"/>
    <n v="120000"/>
    <n v="450000"/>
    <x v="34"/>
    <n v="90000"/>
    <n v="1376"/>
  </r>
  <r>
    <s v="2025-01-02"/>
    <x v="0"/>
    <s v="Thursday"/>
    <x v="0"/>
    <x v="1"/>
    <s v="Corporate"/>
    <s v="Online"/>
    <x v="7"/>
    <x v="2"/>
    <n v="420000"/>
    <n v="8"/>
    <x v="1"/>
    <n v="336000"/>
    <n v="3360000"/>
    <x v="19"/>
    <n v="672000"/>
    <n v="1377"/>
  </r>
  <r>
    <s v="2025-01-07"/>
    <x v="0"/>
    <s v="Tuesday"/>
    <x v="1"/>
    <x v="3"/>
    <s v="Retail"/>
    <s v="Online"/>
    <x v="9"/>
    <x v="1"/>
    <n v="220000"/>
    <n v="9"/>
    <x v="1"/>
    <n v="176000"/>
    <n v="1980000"/>
    <x v="64"/>
    <n v="396000"/>
    <n v="1378"/>
  </r>
  <r>
    <s v="2025-05-01"/>
    <x v="4"/>
    <s v="Thursday"/>
    <x v="3"/>
    <x v="0"/>
    <s v="Retail"/>
    <s v="Online"/>
    <x v="7"/>
    <x v="2"/>
    <n v="420000"/>
    <n v="3"/>
    <x v="5"/>
    <n v="336000"/>
    <n v="1260000"/>
    <x v="55"/>
    <n v="252000"/>
    <n v="1379"/>
  </r>
  <r>
    <s v="2025-01-14"/>
    <x v="0"/>
    <s v="Tuesday"/>
    <x v="3"/>
    <x v="0"/>
    <s v="Retail"/>
    <s v="Store"/>
    <x v="8"/>
    <x v="2"/>
    <n v="250000"/>
    <n v="1"/>
    <x v="2"/>
    <n v="200000"/>
    <n v="250000"/>
    <x v="44"/>
    <n v="50000"/>
    <n v="1380"/>
  </r>
  <r>
    <s v="2025-01-22"/>
    <x v="0"/>
    <s v="Wednesday"/>
    <x v="1"/>
    <x v="1"/>
    <s v="Retail"/>
    <s v="Store"/>
    <x v="5"/>
    <x v="0"/>
    <n v="320000"/>
    <n v="7"/>
    <x v="4"/>
    <n v="256000"/>
    <n v="2240000"/>
    <x v="10"/>
    <n v="448000"/>
    <n v="1381"/>
  </r>
  <r>
    <s v="2025-01-30"/>
    <x v="0"/>
    <s v="Thursday"/>
    <x v="3"/>
    <x v="1"/>
    <s v="Retail"/>
    <s v="Online"/>
    <x v="7"/>
    <x v="2"/>
    <n v="420000"/>
    <n v="2"/>
    <x v="5"/>
    <n v="336000"/>
    <n v="840000"/>
    <x v="62"/>
    <n v="168000"/>
    <n v="1382"/>
  </r>
  <r>
    <s v="2025-03-25"/>
    <x v="3"/>
    <s v="Tuesday"/>
    <x v="2"/>
    <x v="0"/>
    <s v="Retail"/>
    <s v="Store"/>
    <x v="5"/>
    <x v="0"/>
    <n v="320000"/>
    <n v="3"/>
    <x v="2"/>
    <n v="256000"/>
    <n v="960000"/>
    <x v="9"/>
    <n v="192000"/>
    <n v="1383"/>
  </r>
  <r>
    <s v="2025-02-18"/>
    <x v="2"/>
    <s v="Tuesday"/>
    <x v="2"/>
    <x v="0"/>
    <s v="Corporate"/>
    <s v="Online"/>
    <x v="6"/>
    <x v="2"/>
    <n v="150000"/>
    <n v="2"/>
    <x v="4"/>
    <n v="120000"/>
    <n v="300000"/>
    <x v="11"/>
    <n v="60000"/>
    <n v="1384"/>
  </r>
  <r>
    <s v="2025-02-11"/>
    <x v="2"/>
    <s v="Tuesday"/>
    <x v="0"/>
    <x v="1"/>
    <s v="Corporate"/>
    <s v="Store"/>
    <x v="7"/>
    <x v="2"/>
    <n v="420000"/>
    <n v="8"/>
    <x v="2"/>
    <n v="336000"/>
    <n v="3360000"/>
    <x v="19"/>
    <n v="672000"/>
    <n v="1385"/>
  </r>
  <r>
    <s v="2025-04-29"/>
    <x v="1"/>
    <s v="Tuesday"/>
    <x v="1"/>
    <x v="0"/>
    <s v="Corporate"/>
    <s v="Store"/>
    <x v="7"/>
    <x v="2"/>
    <n v="420000"/>
    <n v="1"/>
    <x v="5"/>
    <n v="336000"/>
    <n v="420000"/>
    <x v="40"/>
    <n v="84000"/>
    <n v="1386"/>
  </r>
  <r>
    <s v="2025-03-10"/>
    <x v="3"/>
    <s v="Monday"/>
    <x v="0"/>
    <x v="3"/>
    <s v="Retail"/>
    <s v="Online"/>
    <x v="3"/>
    <x v="2"/>
    <n v="300000"/>
    <n v="5"/>
    <x v="3"/>
    <n v="240000"/>
    <n v="1500000"/>
    <x v="17"/>
    <n v="300000"/>
    <n v="1387"/>
  </r>
  <r>
    <s v="2025-02-24"/>
    <x v="2"/>
    <s v="Monday"/>
    <x v="1"/>
    <x v="0"/>
    <s v="Retail"/>
    <s v="Store"/>
    <x v="4"/>
    <x v="1"/>
    <n v="180000"/>
    <n v="7"/>
    <x v="4"/>
    <n v="144000"/>
    <n v="1260000"/>
    <x v="55"/>
    <n v="252000"/>
    <n v="1388"/>
  </r>
  <r>
    <s v="2025-01-17"/>
    <x v="0"/>
    <s v="Friday"/>
    <x v="0"/>
    <x v="3"/>
    <s v="Retail"/>
    <s v="Store"/>
    <x v="6"/>
    <x v="2"/>
    <n v="150000"/>
    <n v="10"/>
    <x v="1"/>
    <n v="120000"/>
    <n v="1500000"/>
    <x v="17"/>
    <n v="300000"/>
    <n v="1389"/>
  </r>
  <r>
    <s v="2025-02-06"/>
    <x v="2"/>
    <s v="Thursday"/>
    <x v="0"/>
    <x v="3"/>
    <s v="Corporate"/>
    <s v="Online"/>
    <x v="3"/>
    <x v="2"/>
    <n v="300000"/>
    <n v="7"/>
    <x v="3"/>
    <n v="240000"/>
    <n v="2100000"/>
    <x v="13"/>
    <n v="420000"/>
    <n v="1390"/>
  </r>
  <r>
    <s v="2025-02-09"/>
    <x v="2"/>
    <s v="Sunday"/>
    <x v="3"/>
    <x v="1"/>
    <s v="Retail"/>
    <s v="Store"/>
    <x v="9"/>
    <x v="1"/>
    <n v="220000"/>
    <n v="2"/>
    <x v="0"/>
    <n v="176000"/>
    <n v="440000"/>
    <x v="15"/>
    <n v="88000"/>
    <n v="1391"/>
  </r>
  <r>
    <s v="2025-04-25"/>
    <x v="1"/>
    <s v="Friday"/>
    <x v="1"/>
    <x v="0"/>
    <s v="Retail"/>
    <s v="Store"/>
    <x v="0"/>
    <x v="0"/>
    <n v="85000"/>
    <n v="8"/>
    <x v="2"/>
    <n v="68000"/>
    <n v="680000"/>
    <x v="69"/>
    <n v="136000"/>
    <n v="1392"/>
  </r>
  <r>
    <s v="2025-04-08"/>
    <x v="1"/>
    <s v="Tuesday"/>
    <x v="0"/>
    <x v="1"/>
    <s v="Retail"/>
    <s v="Online"/>
    <x v="9"/>
    <x v="1"/>
    <n v="220000"/>
    <n v="7"/>
    <x v="5"/>
    <n v="176000"/>
    <n v="1540000"/>
    <x v="67"/>
    <n v="308000"/>
    <n v="1393"/>
  </r>
  <r>
    <s v="2025-04-22"/>
    <x v="1"/>
    <s v="Tuesday"/>
    <x v="3"/>
    <x v="3"/>
    <s v="Retail"/>
    <s v="Store"/>
    <x v="9"/>
    <x v="1"/>
    <n v="220000"/>
    <n v="6"/>
    <x v="3"/>
    <n v="176000"/>
    <n v="1320000"/>
    <x v="36"/>
    <n v="264000"/>
    <n v="1394"/>
  </r>
  <r>
    <s v="2025-03-21"/>
    <x v="3"/>
    <s v="Friday"/>
    <x v="3"/>
    <x v="0"/>
    <s v="Retail"/>
    <s v="Store"/>
    <x v="4"/>
    <x v="1"/>
    <n v="180000"/>
    <n v="3"/>
    <x v="2"/>
    <n v="144000"/>
    <n v="540000"/>
    <x v="46"/>
    <n v="108000"/>
    <n v="1395"/>
  </r>
  <r>
    <s v="2025-01-26"/>
    <x v="0"/>
    <s v="Sunday"/>
    <x v="2"/>
    <x v="1"/>
    <s v="Retail"/>
    <s v="Online"/>
    <x v="8"/>
    <x v="2"/>
    <n v="250000"/>
    <n v="6"/>
    <x v="3"/>
    <n v="200000"/>
    <n v="1500000"/>
    <x v="17"/>
    <n v="300000"/>
    <n v="1396"/>
  </r>
  <r>
    <s v="2025-03-28"/>
    <x v="3"/>
    <s v="Friday"/>
    <x v="0"/>
    <x v="2"/>
    <s v="Corporate"/>
    <s v="Store"/>
    <x v="6"/>
    <x v="2"/>
    <n v="150000"/>
    <n v="7"/>
    <x v="4"/>
    <n v="120000"/>
    <n v="1050000"/>
    <x v="16"/>
    <n v="210000"/>
    <n v="1397"/>
  </r>
  <r>
    <s v="2025-04-28"/>
    <x v="1"/>
    <s v="Monday"/>
    <x v="2"/>
    <x v="0"/>
    <s v="Retail"/>
    <s v="Online"/>
    <x v="3"/>
    <x v="2"/>
    <n v="300000"/>
    <n v="9"/>
    <x v="0"/>
    <n v="240000"/>
    <n v="2700000"/>
    <x v="39"/>
    <n v="540000"/>
    <n v="1398"/>
  </r>
  <r>
    <s v="2025-04-24"/>
    <x v="1"/>
    <s v="Thursday"/>
    <x v="0"/>
    <x v="2"/>
    <s v="Retail"/>
    <s v="Online"/>
    <x v="7"/>
    <x v="2"/>
    <n v="420000"/>
    <n v="5"/>
    <x v="2"/>
    <n v="336000"/>
    <n v="2100000"/>
    <x v="13"/>
    <n v="420000"/>
    <n v="1399"/>
  </r>
  <r>
    <s v="2025-03-27"/>
    <x v="3"/>
    <s v="Thursday"/>
    <x v="2"/>
    <x v="0"/>
    <s v="Retail"/>
    <s v="Store"/>
    <x v="3"/>
    <x v="2"/>
    <n v="300000"/>
    <n v="3"/>
    <x v="2"/>
    <n v="240000"/>
    <n v="900000"/>
    <x v="48"/>
    <n v="180000"/>
    <n v="1400"/>
  </r>
  <r>
    <s v="2025-02-06"/>
    <x v="2"/>
    <s v="Thursday"/>
    <x v="1"/>
    <x v="0"/>
    <s v="Corporate"/>
    <s v="Store"/>
    <x v="8"/>
    <x v="2"/>
    <n v="250000"/>
    <n v="5"/>
    <x v="0"/>
    <n v="200000"/>
    <n v="1250000"/>
    <x v="21"/>
    <n v="250000"/>
    <n v="1401"/>
  </r>
  <r>
    <s v="2025-04-27"/>
    <x v="1"/>
    <s v="Sunday"/>
    <x v="0"/>
    <x v="3"/>
    <s v="Corporate"/>
    <s v="Store"/>
    <x v="6"/>
    <x v="2"/>
    <n v="150000"/>
    <n v="2"/>
    <x v="3"/>
    <n v="120000"/>
    <n v="300000"/>
    <x v="11"/>
    <n v="60000"/>
    <n v="1402"/>
  </r>
  <r>
    <s v="2025-04-22"/>
    <x v="1"/>
    <s v="Tuesday"/>
    <x v="1"/>
    <x v="1"/>
    <s v="Corporate"/>
    <s v="Online"/>
    <x v="9"/>
    <x v="1"/>
    <n v="220000"/>
    <n v="3"/>
    <x v="5"/>
    <n v="176000"/>
    <n v="660000"/>
    <x v="49"/>
    <n v="132000"/>
    <n v="1403"/>
  </r>
  <r>
    <s v="2025-03-05"/>
    <x v="3"/>
    <s v="Wednesday"/>
    <x v="1"/>
    <x v="1"/>
    <s v="Corporate"/>
    <s v="Store"/>
    <x v="3"/>
    <x v="2"/>
    <n v="300000"/>
    <n v="6"/>
    <x v="1"/>
    <n v="240000"/>
    <n v="1800000"/>
    <x v="5"/>
    <n v="360000"/>
    <n v="1404"/>
  </r>
  <r>
    <s v="2025-04-08"/>
    <x v="1"/>
    <s v="Tuesday"/>
    <x v="2"/>
    <x v="1"/>
    <s v="Retail"/>
    <s v="Store"/>
    <x v="4"/>
    <x v="1"/>
    <n v="180000"/>
    <n v="2"/>
    <x v="5"/>
    <n v="144000"/>
    <n v="360000"/>
    <x v="50"/>
    <n v="72000"/>
    <n v="1405"/>
  </r>
  <r>
    <s v="2025-02-28"/>
    <x v="2"/>
    <s v="Friday"/>
    <x v="1"/>
    <x v="3"/>
    <s v="Retail"/>
    <s v="Online"/>
    <x v="6"/>
    <x v="2"/>
    <n v="150000"/>
    <n v="5"/>
    <x v="4"/>
    <n v="120000"/>
    <n v="750000"/>
    <x v="56"/>
    <n v="150000"/>
    <n v="1406"/>
  </r>
  <r>
    <s v="2025-04-18"/>
    <x v="1"/>
    <s v="Friday"/>
    <x v="1"/>
    <x v="2"/>
    <s v="Corporate"/>
    <s v="Store"/>
    <x v="0"/>
    <x v="0"/>
    <n v="85000"/>
    <n v="1"/>
    <x v="4"/>
    <n v="68000"/>
    <n v="85000"/>
    <x v="0"/>
    <n v="17000"/>
    <n v="1407"/>
  </r>
  <r>
    <s v="2025-01-11"/>
    <x v="0"/>
    <s v="Saturday"/>
    <x v="0"/>
    <x v="0"/>
    <s v="Retail"/>
    <s v="Online"/>
    <x v="1"/>
    <x v="1"/>
    <n v="30000"/>
    <n v="1"/>
    <x v="3"/>
    <n v="24000"/>
    <n v="30000"/>
    <x v="75"/>
    <n v="6000"/>
    <n v="1408"/>
  </r>
  <r>
    <s v="2025-02-22"/>
    <x v="2"/>
    <s v="Saturday"/>
    <x v="1"/>
    <x v="1"/>
    <s v="Retail"/>
    <s v="Store"/>
    <x v="0"/>
    <x v="0"/>
    <n v="85000"/>
    <n v="1"/>
    <x v="4"/>
    <n v="68000"/>
    <n v="85000"/>
    <x v="0"/>
    <n v="17000"/>
    <n v="1409"/>
  </r>
  <r>
    <s v="2025-03-19"/>
    <x v="3"/>
    <s v="Wednesday"/>
    <x v="2"/>
    <x v="1"/>
    <s v="Retail"/>
    <s v="Store"/>
    <x v="1"/>
    <x v="1"/>
    <n v="30000"/>
    <n v="2"/>
    <x v="4"/>
    <n v="24000"/>
    <n v="60000"/>
    <x v="41"/>
    <n v="12000"/>
    <n v="1410"/>
  </r>
  <r>
    <s v="2025-03-11"/>
    <x v="3"/>
    <s v="Tuesday"/>
    <x v="1"/>
    <x v="0"/>
    <s v="Retail"/>
    <s v="Store"/>
    <x v="7"/>
    <x v="2"/>
    <n v="420000"/>
    <n v="3"/>
    <x v="0"/>
    <n v="336000"/>
    <n v="1260000"/>
    <x v="55"/>
    <n v="252000"/>
    <n v="1411"/>
  </r>
  <r>
    <s v="2025-01-19"/>
    <x v="0"/>
    <s v="Sunday"/>
    <x v="0"/>
    <x v="1"/>
    <s v="Retail"/>
    <s v="Store"/>
    <x v="1"/>
    <x v="1"/>
    <n v="30000"/>
    <n v="2"/>
    <x v="3"/>
    <n v="24000"/>
    <n v="60000"/>
    <x v="41"/>
    <n v="12000"/>
    <n v="1412"/>
  </r>
  <r>
    <s v="2025-01-16"/>
    <x v="0"/>
    <s v="Thursday"/>
    <x v="2"/>
    <x v="3"/>
    <s v="Retail"/>
    <s v="Store"/>
    <x v="3"/>
    <x v="2"/>
    <n v="300000"/>
    <n v="9"/>
    <x v="2"/>
    <n v="240000"/>
    <n v="2700000"/>
    <x v="39"/>
    <n v="540000"/>
    <n v="1413"/>
  </r>
  <r>
    <s v="2025-01-28"/>
    <x v="0"/>
    <s v="Tuesday"/>
    <x v="1"/>
    <x v="2"/>
    <s v="Corporate"/>
    <s v="Store"/>
    <x v="6"/>
    <x v="2"/>
    <n v="150000"/>
    <n v="4"/>
    <x v="3"/>
    <n v="120000"/>
    <n v="600000"/>
    <x v="4"/>
    <n v="120000"/>
    <n v="1414"/>
  </r>
  <r>
    <s v="2025-04-21"/>
    <x v="1"/>
    <s v="Monday"/>
    <x v="1"/>
    <x v="0"/>
    <s v="Retail"/>
    <s v="Store"/>
    <x v="9"/>
    <x v="1"/>
    <n v="220000"/>
    <n v="2"/>
    <x v="5"/>
    <n v="176000"/>
    <n v="440000"/>
    <x v="15"/>
    <n v="88000"/>
    <n v="1415"/>
  </r>
  <r>
    <s v="2025-04-12"/>
    <x v="1"/>
    <s v="Saturday"/>
    <x v="2"/>
    <x v="1"/>
    <s v="Retail"/>
    <s v="Store"/>
    <x v="0"/>
    <x v="0"/>
    <n v="85000"/>
    <n v="6"/>
    <x v="0"/>
    <n v="68000"/>
    <n v="510000"/>
    <x v="60"/>
    <n v="102000"/>
    <n v="1416"/>
  </r>
  <r>
    <s v="2025-02-25"/>
    <x v="2"/>
    <s v="Tuesday"/>
    <x v="0"/>
    <x v="1"/>
    <s v="Retail"/>
    <s v="Store"/>
    <x v="3"/>
    <x v="2"/>
    <n v="300000"/>
    <n v="8"/>
    <x v="0"/>
    <n v="240000"/>
    <n v="2400000"/>
    <x v="24"/>
    <n v="480000"/>
    <n v="1417"/>
  </r>
  <r>
    <s v="2025-04-26"/>
    <x v="1"/>
    <s v="Saturday"/>
    <x v="2"/>
    <x v="2"/>
    <s v="Corporate"/>
    <s v="Store"/>
    <x v="7"/>
    <x v="2"/>
    <n v="420000"/>
    <n v="2"/>
    <x v="3"/>
    <n v="336000"/>
    <n v="840000"/>
    <x v="62"/>
    <n v="168000"/>
    <n v="1418"/>
  </r>
  <r>
    <s v="2025-01-25"/>
    <x v="0"/>
    <s v="Saturday"/>
    <x v="1"/>
    <x v="2"/>
    <s v="Retail"/>
    <s v="Store"/>
    <x v="9"/>
    <x v="1"/>
    <n v="220000"/>
    <n v="3"/>
    <x v="1"/>
    <n v="176000"/>
    <n v="660000"/>
    <x v="49"/>
    <n v="132000"/>
    <n v="1419"/>
  </r>
  <r>
    <s v="2025-04-22"/>
    <x v="1"/>
    <s v="Tuesday"/>
    <x v="1"/>
    <x v="1"/>
    <s v="Retail"/>
    <s v="Store"/>
    <x v="7"/>
    <x v="2"/>
    <n v="420000"/>
    <n v="10"/>
    <x v="0"/>
    <n v="336000"/>
    <n v="4200000"/>
    <x v="20"/>
    <n v="840000"/>
    <n v="1420"/>
  </r>
  <r>
    <s v="2025-04-01"/>
    <x v="1"/>
    <s v="Tuesday"/>
    <x v="3"/>
    <x v="1"/>
    <s v="Retail"/>
    <s v="Store"/>
    <x v="3"/>
    <x v="2"/>
    <n v="300000"/>
    <n v="7"/>
    <x v="1"/>
    <n v="240000"/>
    <n v="2100000"/>
    <x v="13"/>
    <n v="420000"/>
    <n v="1421"/>
  </r>
  <r>
    <s v="2025-04-01"/>
    <x v="1"/>
    <s v="Tuesday"/>
    <x v="1"/>
    <x v="2"/>
    <s v="Retail"/>
    <s v="Store"/>
    <x v="1"/>
    <x v="1"/>
    <n v="30000"/>
    <n v="1"/>
    <x v="2"/>
    <n v="24000"/>
    <n v="30000"/>
    <x v="75"/>
    <n v="6000"/>
    <n v="1422"/>
  </r>
  <r>
    <s v="2025-02-19"/>
    <x v="2"/>
    <s v="Wednesday"/>
    <x v="1"/>
    <x v="1"/>
    <s v="Corporate"/>
    <s v="Store"/>
    <x v="1"/>
    <x v="1"/>
    <n v="30000"/>
    <n v="7"/>
    <x v="0"/>
    <n v="24000"/>
    <n v="210000"/>
    <x v="54"/>
    <n v="42000"/>
    <n v="1423"/>
  </r>
  <r>
    <s v="2025-01-13"/>
    <x v="0"/>
    <s v="Monday"/>
    <x v="3"/>
    <x v="3"/>
    <s v="Corporate"/>
    <s v="Store"/>
    <x v="0"/>
    <x v="0"/>
    <n v="85000"/>
    <n v="8"/>
    <x v="3"/>
    <n v="68000"/>
    <n v="680000"/>
    <x v="69"/>
    <n v="136000"/>
    <n v="1424"/>
  </r>
  <r>
    <s v="2025-03-26"/>
    <x v="3"/>
    <s v="Wednesday"/>
    <x v="1"/>
    <x v="1"/>
    <s v="Retail"/>
    <s v="Store"/>
    <x v="8"/>
    <x v="2"/>
    <n v="250000"/>
    <n v="10"/>
    <x v="1"/>
    <n v="200000"/>
    <n v="2500000"/>
    <x v="66"/>
    <n v="500000"/>
    <n v="1425"/>
  </r>
  <r>
    <s v="2025-05-01"/>
    <x v="4"/>
    <s v="Thursday"/>
    <x v="0"/>
    <x v="1"/>
    <s v="Retail"/>
    <s v="Store"/>
    <x v="0"/>
    <x v="0"/>
    <n v="85000"/>
    <n v="4"/>
    <x v="5"/>
    <n v="68000"/>
    <n v="340000"/>
    <x v="74"/>
    <n v="68000"/>
    <n v="1426"/>
  </r>
  <r>
    <s v="2025-04-30"/>
    <x v="1"/>
    <s v="Wednesday"/>
    <x v="0"/>
    <x v="3"/>
    <s v="Retail"/>
    <s v="Store"/>
    <x v="8"/>
    <x v="2"/>
    <n v="250000"/>
    <n v="6"/>
    <x v="5"/>
    <n v="200000"/>
    <n v="1500000"/>
    <x v="17"/>
    <n v="300000"/>
    <n v="1427"/>
  </r>
  <r>
    <s v="2025-04-21"/>
    <x v="1"/>
    <s v="Monday"/>
    <x v="1"/>
    <x v="3"/>
    <s v="Corporate"/>
    <s v="Store"/>
    <x v="5"/>
    <x v="0"/>
    <n v="320000"/>
    <n v="7"/>
    <x v="4"/>
    <n v="256000"/>
    <n v="2240000"/>
    <x v="10"/>
    <n v="448000"/>
    <n v="1428"/>
  </r>
  <r>
    <s v="2025-03-09"/>
    <x v="3"/>
    <s v="Sunday"/>
    <x v="1"/>
    <x v="3"/>
    <s v="Corporate"/>
    <s v="Store"/>
    <x v="4"/>
    <x v="1"/>
    <n v="180000"/>
    <n v="2"/>
    <x v="0"/>
    <n v="144000"/>
    <n v="360000"/>
    <x v="50"/>
    <n v="72000"/>
    <n v="1429"/>
  </r>
  <r>
    <s v="2025-04-27"/>
    <x v="1"/>
    <s v="Sunday"/>
    <x v="3"/>
    <x v="3"/>
    <s v="Corporate"/>
    <s v="Store"/>
    <x v="9"/>
    <x v="1"/>
    <n v="220000"/>
    <n v="2"/>
    <x v="5"/>
    <n v="176000"/>
    <n v="440000"/>
    <x v="15"/>
    <n v="88000"/>
    <n v="1430"/>
  </r>
  <r>
    <s v="2025-01-29"/>
    <x v="0"/>
    <s v="Wednesday"/>
    <x v="3"/>
    <x v="2"/>
    <s v="Corporate"/>
    <s v="Store"/>
    <x v="4"/>
    <x v="1"/>
    <n v="180000"/>
    <n v="6"/>
    <x v="1"/>
    <n v="144000"/>
    <n v="1080000"/>
    <x v="53"/>
    <n v="216000"/>
    <n v="1431"/>
  </r>
  <r>
    <s v="2025-01-23"/>
    <x v="0"/>
    <s v="Thursday"/>
    <x v="0"/>
    <x v="3"/>
    <s v="Retail"/>
    <s v="Store"/>
    <x v="4"/>
    <x v="1"/>
    <n v="180000"/>
    <n v="3"/>
    <x v="1"/>
    <n v="144000"/>
    <n v="540000"/>
    <x v="46"/>
    <n v="108000"/>
    <n v="1432"/>
  </r>
  <r>
    <s v="2025-04-13"/>
    <x v="1"/>
    <s v="Sunday"/>
    <x v="0"/>
    <x v="2"/>
    <s v="Retail"/>
    <s v="Store"/>
    <x v="2"/>
    <x v="1"/>
    <n v="60000"/>
    <n v="2"/>
    <x v="1"/>
    <n v="48000"/>
    <n v="120000"/>
    <x v="3"/>
    <n v="24000"/>
    <n v="1433"/>
  </r>
  <r>
    <s v="2025-04-01"/>
    <x v="1"/>
    <s v="Tuesday"/>
    <x v="3"/>
    <x v="3"/>
    <s v="Corporate"/>
    <s v="Store"/>
    <x v="3"/>
    <x v="2"/>
    <n v="300000"/>
    <n v="1"/>
    <x v="4"/>
    <n v="240000"/>
    <n v="300000"/>
    <x v="11"/>
    <n v="60000"/>
    <n v="1434"/>
  </r>
  <r>
    <s v="2025-02-21"/>
    <x v="2"/>
    <s v="Friday"/>
    <x v="2"/>
    <x v="2"/>
    <s v="Corporate"/>
    <s v="Store"/>
    <x v="7"/>
    <x v="2"/>
    <n v="420000"/>
    <n v="2"/>
    <x v="1"/>
    <n v="336000"/>
    <n v="840000"/>
    <x v="62"/>
    <n v="168000"/>
    <n v="1435"/>
  </r>
  <r>
    <s v="2025-04-11"/>
    <x v="1"/>
    <s v="Friday"/>
    <x v="0"/>
    <x v="1"/>
    <s v="Retail"/>
    <s v="Store"/>
    <x v="8"/>
    <x v="2"/>
    <n v="250000"/>
    <n v="9"/>
    <x v="1"/>
    <n v="200000"/>
    <n v="2250000"/>
    <x v="71"/>
    <n v="450000"/>
    <n v="1436"/>
  </r>
  <r>
    <s v="2025-04-04"/>
    <x v="1"/>
    <s v="Friday"/>
    <x v="2"/>
    <x v="0"/>
    <s v="Corporate"/>
    <s v="Store"/>
    <x v="4"/>
    <x v="1"/>
    <n v="180000"/>
    <n v="5"/>
    <x v="4"/>
    <n v="144000"/>
    <n v="900000"/>
    <x v="48"/>
    <n v="180000"/>
    <n v="1437"/>
  </r>
  <r>
    <s v="2025-02-07"/>
    <x v="2"/>
    <s v="Friday"/>
    <x v="2"/>
    <x v="1"/>
    <s v="Corporate"/>
    <s v="Store"/>
    <x v="6"/>
    <x v="2"/>
    <n v="150000"/>
    <n v="5"/>
    <x v="3"/>
    <n v="120000"/>
    <n v="750000"/>
    <x v="56"/>
    <n v="150000"/>
    <n v="1438"/>
  </r>
  <r>
    <s v="2025-01-29"/>
    <x v="0"/>
    <s v="Wednesday"/>
    <x v="0"/>
    <x v="3"/>
    <s v="Retail"/>
    <s v="Store"/>
    <x v="5"/>
    <x v="0"/>
    <n v="320000"/>
    <n v="4"/>
    <x v="5"/>
    <n v="256000"/>
    <n v="1280000"/>
    <x v="6"/>
    <n v="256000"/>
    <n v="1439"/>
  </r>
  <r>
    <s v="2025-01-09"/>
    <x v="0"/>
    <s v="Thursday"/>
    <x v="2"/>
    <x v="2"/>
    <s v="Retail"/>
    <s v="Store"/>
    <x v="4"/>
    <x v="1"/>
    <n v="180000"/>
    <n v="10"/>
    <x v="3"/>
    <n v="144000"/>
    <n v="1800000"/>
    <x v="5"/>
    <n v="360000"/>
    <n v="1440"/>
  </r>
  <r>
    <s v="2025-01-21"/>
    <x v="0"/>
    <s v="Tuesday"/>
    <x v="3"/>
    <x v="0"/>
    <s v="Corporate"/>
    <s v="Store"/>
    <x v="7"/>
    <x v="2"/>
    <n v="420000"/>
    <n v="2"/>
    <x v="4"/>
    <n v="336000"/>
    <n v="840000"/>
    <x v="62"/>
    <n v="168000"/>
    <n v="1441"/>
  </r>
  <r>
    <s v="2025-02-18"/>
    <x v="2"/>
    <s v="Tuesday"/>
    <x v="2"/>
    <x v="0"/>
    <s v="Corporate"/>
    <s v="Store"/>
    <x v="6"/>
    <x v="2"/>
    <n v="150000"/>
    <n v="6"/>
    <x v="4"/>
    <n v="120000"/>
    <n v="900000"/>
    <x v="48"/>
    <n v="180000"/>
    <n v="1442"/>
  </r>
  <r>
    <s v="2025-04-21"/>
    <x v="1"/>
    <s v="Monday"/>
    <x v="0"/>
    <x v="1"/>
    <s v="Corporate"/>
    <s v="Store"/>
    <x v="6"/>
    <x v="2"/>
    <n v="150000"/>
    <n v="4"/>
    <x v="1"/>
    <n v="120000"/>
    <n v="600000"/>
    <x v="4"/>
    <n v="120000"/>
    <n v="1443"/>
  </r>
  <r>
    <s v="2025-03-02"/>
    <x v="3"/>
    <s v="Sunday"/>
    <x v="1"/>
    <x v="0"/>
    <s v="Corporate"/>
    <s v="Store"/>
    <x v="8"/>
    <x v="2"/>
    <n v="250000"/>
    <n v="9"/>
    <x v="4"/>
    <n v="200000"/>
    <n v="2250000"/>
    <x v="71"/>
    <n v="450000"/>
    <n v="1444"/>
  </r>
  <r>
    <s v="2025-01-10"/>
    <x v="0"/>
    <s v="Friday"/>
    <x v="2"/>
    <x v="1"/>
    <s v="Corporate"/>
    <s v="Store"/>
    <x v="9"/>
    <x v="1"/>
    <n v="220000"/>
    <n v="8"/>
    <x v="5"/>
    <n v="176000"/>
    <n v="1760000"/>
    <x v="42"/>
    <n v="352000"/>
    <n v="1445"/>
  </r>
  <r>
    <s v="2025-04-09"/>
    <x v="1"/>
    <s v="Wednesday"/>
    <x v="3"/>
    <x v="2"/>
    <s v="Retail"/>
    <s v="Store"/>
    <x v="6"/>
    <x v="2"/>
    <n v="150000"/>
    <n v="2"/>
    <x v="2"/>
    <n v="120000"/>
    <n v="300000"/>
    <x v="11"/>
    <n v="60000"/>
    <n v="1446"/>
  </r>
  <r>
    <s v="2025-03-08"/>
    <x v="3"/>
    <s v="Saturday"/>
    <x v="0"/>
    <x v="1"/>
    <s v="Corporate"/>
    <s v="Store"/>
    <x v="9"/>
    <x v="1"/>
    <n v="220000"/>
    <n v="4"/>
    <x v="2"/>
    <n v="176000"/>
    <n v="880000"/>
    <x v="22"/>
    <n v="176000"/>
    <n v="1447"/>
  </r>
  <r>
    <s v="2025-04-19"/>
    <x v="1"/>
    <s v="Saturday"/>
    <x v="2"/>
    <x v="0"/>
    <s v="Corporate"/>
    <s v="Store"/>
    <x v="1"/>
    <x v="1"/>
    <n v="30000"/>
    <n v="6"/>
    <x v="4"/>
    <n v="24000"/>
    <n v="180000"/>
    <x v="32"/>
    <n v="36000"/>
    <n v="1448"/>
  </r>
  <r>
    <s v="2025-02-07"/>
    <x v="2"/>
    <s v="Friday"/>
    <x v="1"/>
    <x v="3"/>
    <s v="Retail"/>
    <s v="Store"/>
    <x v="0"/>
    <x v="0"/>
    <n v="85000"/>
    <n v="3"/>
    <x v="2"/>
    <n v="68000"/>
    <n v="255000"/>
    <x v="23"/>
    <n v="51000"/>
    <n v="1449"/>
  </r>
  <r>
    <s v="2025-03-29"/>
    <x v="3"/>
    <s v="Saturday"/>
    <x v="1"/>
    <x v="1"/>
    <s v="Retail"/>
    <s v="Store"/>
    <x v="0"/>
    <x v="0"/>
    <n v="85000"/>
    <n v="2"/>
    <x v="0"/>
    <n v="68000"/>
    <n v="170000"/>
    <x v="2"/>
    <n v="34000"/>
    <n v="1450"/>
  </r>
  <r>
    <s v="2025-02-03"/>
    <x v="2"/>
    <s v="Monday"/>
    <x v="3"/>
    <x v="1"/>
    <s v="Retail"/>
    <s v="Store"/>
    <x v="8"/>
    <x v="2"/>
    <n v="250000"/>
    <n v="10"/>
    <x v="2"/>
    <n v="200000"/>
    <n v="2500000"/>
    <x v="66"/>
    <n v="500000"/>
    <n v="1451"/>
  </r>
  <r>
    <s v="2025-04-18"/>
    <x v="1"/>
    <s v="Friday"/>
    <x v="0"/>
    <x v="1"/>
    <s v="Corporate"/>
    <s v="Store"/>
    <x v="9"/>
    <x v="1"/>
    <n v="220000"/>
    <n v="2"/>
    <x v="4"/>
    <n v="176000"/>
    <n v="440000"/>
    <x v="15"/>
    <n v="88000"/>
    <n v="1452"/>
  </r>
  <r>
    <s v="2025-03-11"/>
    <x v="3"/>
    <s v="Tuesday"/>
    <x v="0"/>
    <x v="0"/>
    <s v="Corporate"/>
    <s v="Store"/>
    <x v="3"/>
    <x v="2"/>
    <n v="300000"/>
    <n v="9"/>
    <x v="4"/>
    <n v="240000"/>
    <n v="2700000"/>
    <x v="39"/>
    <n v="540000"/>
    <n v="1453"/>
  </r>
  <r>
    <s v="2025-03-06"/>
    <x v="3"/>
    <s v="Thursday"/>
    <x v="1"/>
    <x v="3"/>
    <s v="Retail"/>
    <s v="Store"/>
    <x v="9"/>
    <x v="1"/>
    <n v="220000"/>
    <n v="3"/>
    <x v="1"/>
    <n v="176000"/>
    <n v="660000"/>
    <x v="49"/>
    <n v="132000"/>
    <n v="1454"/>
  </r>
  <r>
    <s v="2025-01-20"/>
    <x v="0"/>
    <s v="Monday"/>
    <x v="1"/>
    <x v="3"/>
    <s v="Corporate"/>
    <s v="Store"/>
    <x v="8"/>
    <x v="2"/>
    <n v="250000"/>
    <n v="8"/>
    <x v="2"/>
    <n v="200000"/>
    <n v="2000000"/>
    <x v="52"/>
    <n v="400000"/>
    <n v="1455"/>
  </r>
  <r>
    <s v="2025-01-09"/>
    <x v="0"/>
    <s v="Thursday"/>
    <x v="2"/>
    <x v="1"/>
    <s v="Corporate"/>
    <s v="Store"/>
    <x v="8"/>
    <x v="2"/>
    <n v="250000"/>
    <n v="5"/>
    <x v="5"/>
    <n v="200000"/>
    <n v="1250000"/>
    <x v="21"/>
    <n v="250000"/>
    <n v="1456"/>
  </r>
  <r>
    <s v="2025-02-25"/>
    <x v="2"/>
    <s v="Tuesday"/>
    <x v="3"/>
    <x v="3"/>
    <s v="Retail"/>
    <s v="Store"/>
    <x v="7"/>
    <x v="2"/>
    <n v="420000"/>
    <n v="5"/>
    <x v="1"/>
    <n v="336000"/>
    <n v="2100000"/>
    <x v="13"/>
    <n v="420000"/>
    <n v="1457"/>
  </r>
  <r>
    <s v="2025-02-13"/>
    <x v="2"/>
    <s v="Thursday"/>
    <x v="2"/>
    <x v="1"/>
    <s v="Retail"/>
    <s v="Store"/>
    <x v="2"/>
    <x v="1"/>
    <n v="60000"/>
    <n v="7"/>
    <x v="5"/>
    <n v="48000"/>
    <n v="420000"/>
    <x v="40"/>
    <n v="84000"/>
    <n v="1458"/>
  </r>
  <r>
    <s v="2025-04-19"/>
    <x v="1"/>
    <s v="Saturday"/>
    <x v="1"/>
    <x v="2"/>
    <s v="Retail"/>
    <s v="Store"/>
    <x v="1"/>
    <x v="1"/>
    <n v="30000"/>
    <n v="8"/>
    <x v="0"/>
    <n v="24000"/>
    <n v="240000"/>
    <x v="1"/>
    <n v="48000"/>
    <n v="1459"/>
  </r>
  <r>
    <s v="2025-03-03"/>
    <x v="3"/>
    <s v="Monday"/>
    <x v="3"/>
    <x v="0"/>
    <s v="Corporate"/>
    <s v="Store"/>
    <x v="8"/>
    <x v="2"/>
    <n v="250000"/>
    <n v="2"/>
    <x v="2"/>
    <n v="200000"/>
    <n v="500000"/>
    <x v="73"/>
    <n v="100000"/>
    <n v="1460"/>
  </r>
  <r>
    <s v="2025-02-26"/>
    <x v="2"/>
    <s v="Wednesday"/>
    <x v="1"/>
    <x v="0"/>
    <s v="Retail"/>
    <s v="Store"/>
    <x v="2"/>
    <x v="1"/>
    <n v="60000"/>
    <n v="8"/>
    <x v="5"/>
    <n v="48000"/>
    <n v="480000"/>
    <x v="47"/>
    <n v="96000"/>
    <n v="1461"/>
  </r>
  <r>
    <s v="2025-04-08"/>
    <x v="1"/>
    <s v="Tuesday"/>
    <x v="0"/>
    <x v="0"/>
    <s v="Retail"/>
    <s v="Store"/>
    <x v="1"/>
    <x v="1"/>
    <n v="30000"/>
    <n v="7"/>
    <x v="4"/>
    <n v="24000"/>
    <n v="210000"/>
    <x v="54"/>
    <n v="42000"/>
    <n v="1462"/>
  </r>
  <r>
    <s v="2025-02-11"/>
    <x v="2"/>
    <s v="Tuesday"/>
    <x v="2"/>
    <x v="1"/>
    <s v="Corporate"/>
    <s v="Store"/>
    <x v="1"/>
    <x v="1"/>
    <n v="30000"/>
    <n v="3"/>
    <x v="0"/>
    <n v="24000"/>
    <n v="90000"/>
    <x v="33"/>
    <n v="18000"/>
    <n v="1463"/>
  </r>
  <r>
    <s v="2025-04-03"/>
    <x v="1"/>
    <s v="Thursday"/>
    <x v="2"/>
    <x v="2"/>
    <s v="Corporate"/>
    <s v="Store"/>
    <x v="4"/>
    <x v="1"/>
    <n v="180000"/>
    <n v="5"/>
    <x v="4"/>
    <n v="144000"/>
    <n v="900000"/>
    <x v="48"/>
    <n v="180000"/>
    <n v="1464"/>
  </r>
  <r>
    <s v="2025-03-01"/>
    <x v="3"/>
    <s v="Saturday"/>
    <x v="1"/>
    <x v="3"/>
    <s v="Retail"/>
    <s v="Store"/>
    <x v="8"/>
    <x v="2"/>
    <n v="250000"/>
    <n v="5"/>
    <x v="3"/>
    <n v="200000"/>
    <n v="1250000"/>
    <x v="21"/>
    <n v="250000"/>
    <n v="1465"/>
  </r>
  <r>
    <s v="2025-03-17"/>
    <x v="3"/>
    <s v="Monday"/>
    <x v="1"/>
    <x v="0"/>
    <s v="Retail"/>
    <s v="Store"/>
    <x v="0"/>
    <x v="0"/>
    <n v="85000"/>
    <n v="3"/>
    <x v="4"/>
    <n v="68000"/>
    <n v="255000"/>
    <x v="23"/>
    <n v="51000"/>
    <n v="1466"/>
  </r>
  <r>
    <s v="2025-04-07"/>
    <x v="1"/>
    <s v="Monday"/>
    <x v="3"/>
    <x v="0"/>
    <s v="Corporate"/>
    <s v="Store"/>
    <x v="1"/>
    <x v="1"/>
    <n v="30000"/>
    <n v="1"/>
    <x v="1"/>
    <n v="24000"/>
    <n v="30000"/>
    <x v="75"/>
    <n v="6000"/>
    <n v="1467"/>
  </r>
  <r>
    <s v="2025-03-27"/>
    <x v="3"/>
    <s v="Thursday"/>
    <x v="2"/>
    <x v="2"/>
    <s v="Corporate"/>
    <s v="Store"/>
    <x v="3"/>
    <x v="2"/>
    <n v="300000"/>
    <n v="10"/>
    <x v="3"/>
    <n v="240000"/>
    <n v="3000000"/>
    <x v="68"/>
    <n v="600000"/>
    <n v="1468"/>
  </r>
  <r>
    <s v="2025-02-08"/>
    <x v="2"/>
    <s v="Saturday"/>
    <x v="2"/>
    <x v="1"/>
    <s v="Corporate"/>
    <s v="Store"/>
    <x v="7"/>
    <x v="2"/>
    <n v="420000"/>
    <n v="5"/>
    <x v="4"/>
    <n v="336000"/>
    <n v="2100000"/>
    <x v="13"/>
    <n v="420000"/>
    <n v="1469"/>
  </r>
  <r>
    <s v="2025-04-11"/>
    <x v="1"/>
    <s v="Friday"/>
    <x v="1"/>
    <x v="0"/>
    <s v="Corporate"/>
    <s v="Store"/>
    <x v="8"/>
    <x v="2"/>
    <n v="250000"/>
    <n v="4"/>
    <x v="4"/>
    <n v="200000"/>
    <n v="1000000"/>
    <x v="14"/>
    <n v="200000"/>
    <n v="1470"/>
  </r>
  <r>
    <s v="2025-03-16"/>
    <x v="3"/>
    <s v="Sunday"/>
    <x v="2"/>
    <x v="2"/>
    <s v="Retail"/>
    <s v="Store"/>
    <x v="9"/>
    <x v="1"/>
    <n v="220000"/>
    <n v="3"/>
    <x v="0"/>
    <n v="176000"/>
    <n v="660000"/>
    <x v="49"/>
    <n v="132000"/>
    <n v="1471"/>
  </r>
  <r>
    <s v="2025-03-07"/>
    <x v="3"/>
    <s v="Friday"/>
    <x v="3"/>
    <x v="3"/>
    <s v="Retail"/>
    <s v="Store"/>
    <x v="5"/>
    <x v="0"/>
    <n v="320000"/>
    <n v="2"/>
    <x v="2"/>
    <n v="256000"/>
    <n v="640000"/>
    <x v="38"/>
    <n v="128000"/>
    <n v="1472"/>
  </r>
  <r>
    <s v="2025-04-04"/>
    <x v="1"/>
    <s v="Friday"/>
    <x v="0"/>
    <x v="3"/>
    <s v="Corporate"/>
    <s v="Store"/>
    <x v="5"/>
    <x v="0"/>
    <n v="320000"/>
    <n v="9"/>
    <x v="5"/>
    <n v="256000"/>
    <n v="2880000"/>
    <x v="8"/>
    <n v="576000"/>
    <n v="1473"/>
  </r>
  <r>
    <s v="2025-02-27"/>
    <x v="2"/>
    <s v="Thursday"/>
    <x v="3"/>
    <x v="1"/>
    <s v="Retail"/>
    <s v="Store"/>
    <x v="9"/>
    <x v="1"/>
    <n v="220000"/>
    <n v="10"/>
    <x v="1"/>
    <n v="176000"/>
    <n v="2200000"/>
    <x v="61"/>
    <n v="440000"/>
    <n v="1474"/>
  </r>
  <r>
    <s v="2025-03-02"/>
    <x v="3"/>
    <s v="Sunday"/>
    <x v="2"/>
    <x v="0"/>
    <s v="Retail"/>
    <s v="Store"/>
    <x v="0"/>
    <x v="0"/>
    <n v="85000"/>
    <n v="1"/>
    <x v="2"/>
    <n v="68000"/>
    <n v="85000"/>
    <x v="0"/>
    <n v="17000"/>
    <n v="1475"/>
  </r>
  <r>
    <s v="2025-01-17"/>
    <x v="0"/>
    <s v="Friday"/>
    <x v="2"/>
    <x v="3"/>
    <s v="Retail"/>
    <s v="Online"/>
    <x v="3"/>
    <x v="2"/>
    <n v="300000"/>
    <n v="4"/>
    <x v="2"/>
    <n v="240000"/>
    <n v="1200000"/>
    <x v="29"/>
    <n v="240000"/>
    <n v="1476"/>
  </r>
  <r>
    <s v="2025-02-27"/>
    <x v="2"/>
    <s v="Thursday"/>
    <x v="2"/>
    <x v="3"/>
    <s v="Corporate"/>
    <s v="Store"/>
    <x v="0"/>
    <x v="0"/>
    <n v="85000"/>
    <n v="5"/>
    <x v="1"/>
    <n v="68000"/>
    <n v="425000"/>
    <x v="58"/>
    <n v="85000"/>
    <n v="1477"/>
  </r>
  <r>
    <s v="2025-04-20"/>
    <x v="1"/>
    <s v="Sunday"/>
    <x v="2"/>
    <x v="3"/>
    <s v="Corporate"/>
    <s v="Online"/>
    <x v="3"/>
    <x v="2"/>
    <n v="300000"/>
    <n v="5"/>
    <x v="5"/>
    <n v="240000"/>
    <n v="1500000"/>
    <x v="17"/>
    <n v="300000"/>
    <n v="1478"/>
  </r>
  <r>
    <s v="2025-01-09"/>
    <x v="0"/>
    <s v="Thursday"/>
    <x v="2"/>
    <x v="3"/>
    <s v="Retail"/>
    <s v="Store"/>
    <x v="3"/>
    <x v="2"/>
    <n v="300000"/>
    <n v="5"/>
    <x v="0"/>
    <n v="240000"/>
    <n v="1500000"/>
    <x v="17"/>
    <n v="300000"/>
    <n v="1479"/>
  </r>
  <r>
    <s v="2025-04-02"/>
    <x v="1"/>
    <s v="Wednesday"/>
    <x v="0"/>
    <x v="1"/>
    <s v="Corporate"/>
    <s v="Store"/>
    <x v="1"/>
    <x v="1"/>
    <n v="30000"/>
    <n v="10"/>
    <x v="0"/>
    <n v="24000"/>
    <n v="300000"/>
    <x v="11"/>
    <n v="60000"/>
    <n v="1480"/>
  </r>
  <r>
    <s v="2025-02-14"/>
    <x v="2"/>
    <s v="Friday"/>
    <x v="2"/>
    <x v="2"/>
    <s v="Retail"/>
    <s v="Online"/>
    <x v="9"/>
    <x v="1"/>
    <n v="220000"/>
    <n v="6"/>
    <x v="3"/>
    <n v="176000"/>
    <n v="1320000"/>
    <x v="36"/>
    <n v="264000"/>
    <n v="1481"/>
  </r>
  <r>
    <s v="2025-04-07"/>
    <x v="1"/>
    <s v="Monday"/>
    <x v="0"/>
    <x v="3"/>
    <s v="Corporate"/>
    <s v="Online"/>
    <x v="0"/>
    <x v="0"/>
    <n v="85000"/>
    <n v="9"/>
    <x v="1"/>
    <n v="68000"/>
    <n v="765000"/>
    <x v="18"/>
    <n v="153000"/>
    <n v="1482"/>
  </r>
  <r>
    <s v="2025-01-21"/>
    <x v="0"/>
    <s v="Tuesday"/>
    <x v="1"/>
    <x v="3"/>
    <s v="Retail"/>
    <s v="Online"/>
    <x v="7"/>
    <x v="2"/>
    <n v="420000"/>
    <n v="10"/>
    <x v="2"/>
    <n v="336000"/>
    <n v="4200000"/>
    <x v="20"/>
    <n v="840000"/>
    <n v="1483"/>
  </r>
  <r>
    <s v="2025-02-11"/>
    <x v="2"/>
    <s v="Tuesday"/>
    <x v="3"/>
    <x v="0"/>
    <s v="Corporate"/>
    <s v="Store"/>
    <x v="7"/>
    <x v="2"/>
    <n v="420000"/>
    <n v="1"/>
    <x v="3"/>
    <n v="336000"/>
    <n v="420000"/>
    <x v="40"/>
    <n v="84000"/>
    <n v="1484"/>
  </r>
  <r>
    <s v="2025-04-27"/>
    <x v="1"/>
    <s v="Sunday"/>
    <x v="0"/>
    <x v="1"/>
    <s v="Retail"/>
    <s v="Store"/>
    <x v="2"/>
    <x v="1"/>
    <n v="60000"/>
    <n v="6"/>
    <x v="2"/>
    <n v="48000"/>
    <n v="360000"/>
    <x v="50"/>
    <n v="72000"/>
    <n v="1485"/>
  </r>
  <r>
    <s v="2025-03-14"/>
    <x v="3"/>
    <s v="Friday"/>
    <x v="2"/>
    <x v="3"/>
    <s v="Retail"/>
    <s v="Store"/>
    <x v="6"/>
    <x v="2"/>
    <n v="150000"/>
    <n v="1"/>
    <x v="2"/>
    <n v="120000"/>
    <n v="150000"/>
    <x v="26"/>
    <n v="30000"/>
    <n v="1486"/>
  </r>
  <r>
    <s v="2025-02-21"/>
    <x v="2"/>
    <s v="Friday"/>
    <x v="3"/>
    <x v="2"/>
    <s v="Retail"/>
    <s v="Online"/>
    <x v="8"/>
    <x v="2"/>
    <n v="250000"/>
    <n v="5"/>
    <x v="2"/>
    <n v="200000"/>
    <n v="1250000"/>
    <x v="21"/>
    <n v="250000"/>
    <n v="1487"/>
  </r>
  <r>
    <s v="2025-04-30"/>
    <x v="1"/>
    <s v="Wednesday"/>
    <x v="1"/>
    <x v="3"/>
    <s v="Retail"/>
    <s v="Store"/>
    <x v="9"/>
    <x v="1"/>
    <n v="220000"/>
    <n v="5"/>
    <x v="2"/>
    <n v="176000"/>
    <n v="1100000"/>
    <x v="51"/>
    <n v="220000"/>
    <n v="1488"/>
  </r>
  <r>
    <s v="2025-04-25"/>
    <x v="1"/>
    <s v="Friday"/>
    <x v="0"/>
    <x v="1"/>
    <s v="Corporate"/>
    <s v="Store"/>
    <x v="2"/>
    <x v="1"/>
    <n v="60000"/>
    <n v="2"/>
    <x v="2"/>
    <n v="48000"/>
    <n v="120000"/>
    <x v="3"/>
    <n v="24000"/>
    <n v="1489"/>
  </r>
  <r>
    <s v="2025-03-08"/>
    <x v="3"/>
    <s v="Saturday"/>
    <x v="1"/>
    <x v="3"/>
    <s v="Corporate"/>
    <s v="Store"/>
    <x v="6"/>
    <x v="2"/>
    <n v="150000"/>
    <n v="3"/>
    <x v="5"/>
    <n v="120000"/>
    <n v="450000"/>
    <x v="34"/>
    <n v="90000"/>
    <n v="1490"/>
  </r>
  <r>
    <s v="2025-02-27"/>
    <x v="2"/>
    <s v="Thursday"/>
    <x v="2"/>
    <x v="1"/>
    <s v="Corporate"/>
    <s v="Store"/>
    <x v="0"/>
    <x v="0"/>
    <n v="85000"/>
    <n v="3"/>
    <x v="4"/>
    <n v="68000"/>
    <n v="255000"/>
    <x v="23"/>
    <n v="51000"/>
    <n v="1491"/>
  </r>
  <r>
    <s v="2025-01-05"/>
    <x v="0"/>
    <s v="Sunday"/>
    <x v="3"/>
    <x v="3"/>
    <s v="Retail"/>
    <s v="Store"/>
    <x v="4"/>
    <x v="1"/>
    <n v="180000"/>
    <n v="7"/>
    <x v="5"/>
    <n v="144000"/>
    <n v="1260000"/>
    <x v="55"/>
    <n v="252000"/>
    <n v="1492"/>
  </r>
  <r>
    <s v="2025-03-24"/>
    <x v="3"/>
    <s v="Monday"/>
    <x v="3"/>
    <x v="1"/>
    <s v="Corporate"/>
    <s v="Online"/>
    <x v="4"/>
    <x v="1"/>
    <n v="180000"/>
    <n v="10"/>
    <x v="4"/>
    <n v="144000"/>
    <n v="1800000"/>
    <x v="5"/>
    <n v="360000"/>
    <n v="1493"/>
  </r>
  <r>
    <s v="2025-04-29"/>
    <x v="1"/>
    <s v="Tuesday"/>
    <x v="3"/>
    <x v="0"/>
    <s v="Corporate"/>
    <s v="Store"/>
    <x v="4"/>
    <x v="1"/>
    <n v="180000"/>
    <n v="1"/>
    <x v="2"/>
    <n v="144000"/>
    <n v="180000"/>
    <x v="32"/>
    <n v="36000"/>
    <n v="1494"/>
  </r>
  <r>
    <s v="2025-01-14"/>
    <x v="0"/>
    <s v="Tuesday"/>
    <x v="0"/>
    <x v="3"/>
    <s v="Retail"/>
    <s v="Online"/>
    <x v="5"/>
    <x v="0"/>
    <n v="320000"/>
    <n v="5"/>
    <x v="2"/>
    <n v="256000"/>
    <n v="1600000"/>
    <x v="28"/>
    <n v="320000"/>
    <n v="1495"/>
  </r>
  <r>
    <s v="2025-03-14"/>
    <x v="3"/>
    <s v="Friday"/>
    <x v="1"/>
    <x v="1"/>
    <s v="Retail"/>
    <s v="Store"/>
    <x v="7"/>
    <x v="2"/>
    <n v="420000"/>
    <n v="5"/>
    <x v="3"/>
    <n v="336000"/>
    <n v="2100000"/>
    <x v="13"/>
    <n v="420000"/>
    <n v="1496"/>
  </r>
  <r>
    <s v="2025-03-03"/>
    <x v="3"/>
    <s v="Monday"/>
    <x v="0"/>
    <x v="2"/>
    <s v="Corporate"/>
    <s v="Online"/>
    <x v="4"/>
    <x v="1"/>
    <n v="180000"/>
    <n v="2"/>
    <x v="0"/>
    <n v="144000"/>
    <n v="360000"/>
    <x v="50"/>
    <n v="72000"/>
    <n v="1497"/>
  </r>
  <r>
    <s v="2025-04-19"/>
    <x v="1"/>
    <s v="Saturday"/>
    <x v="2"/>
    <x v="2"/>
    <s v="Retail"/>
    <s v="Store"/>
    <x v="9"/>
    <x v="1"/>
    <n v="220000"/>
    <n v="1"/>
    <x v="1"/>
    <n v="176000"/>
    <n v="220000"/>
    <x v="25"/>
    <n v="44000"/>
    <n v="1498"/>
  </r>
  <r>
    <s v="2025-04-13"/>
    <x v="1"/>
    <s v="Sunday"/>
    <x v="0"/>
    <x v="2"/>
    <s v="Corporate"/>
    <s v="Online"/>
    <x v="5"/>
    <x v="0"/>
    <n v="320000"/>
    <n v="4"/>
    <x v="4"/>
    <n v="256000"/>
    <n v="1280000"/>
    <x v="6"/>
    <n v="256000"/>
    <n v="1499"/>
  </r>
  <r>
    <s v="2025-03-24"/>
    <x v="3"/>
    <s v="Monday"/>
    <x v="2"/>
    <x v="2"/>
    <s v="Retail"/>
    <s v="Online"/>
    <x v="8"/>
    <x v="2"/>
    <n v="250000"/>
    <n v="4"/>
    <x v="1"/>
    <n v="200000"/>
    <n v="1000000"/>
    <x v="14"/>
    <n v="200000"/>
    <n v="1500"/>
  </r>
  <r>
    <s v="2025-02-27"/>
    <x v="2"/>
    <s v="Thursday"/>
    <x v="2"/>
    <x v="0"/>
    <s v="Retail"/>
    <s v="Store"/>
    <x v="2"/>
    <x v="1"/>
    <n v="60000"/>
    <n v="10"/>
    <x v="5"/>
    <n v="48000"/>
    <n v="600000"/>
    <x v="4"/>
    <n v="120000"/>
    <n v="1501"/>
  </r>
  <r>
    <s v="2025-01-22"/>
    <x v="0"/>
    <s v="Wednesday"/>
    <x v="1"/>
    <x v="3"/>
    <s v="Corporate"/>
    <s v="Online"/>
    <x v="4"/>
    <x v="1"/>
    <n v="180000"/>
    <n v="10"/>
    <x v="4"/>
    <n v="144000"/>
    <n v="1800000"/>
    <x v="5"/>
    <n v="360000"/>
    <n v="1502"/>
  </r>
  <r>
    <s v="2025-02-04"/>
    <x v="2"/>
    <s v="Tuesday"/>
    <x v="1"/>
    <x v="2"/>
    <s v="Corporate"/>
    <s v="Store"/>
    <x v="3"/>
    <x v="2"/>
    <n v="300000"/>
    <n v="5"/>
    <x v="3"/>
    <n v="240000"/>
    <n v="1500000"/>
    <x v="17"/>
    <n v="300000"/>
    <n v="1503"/>
  </r>
  <r>
    <s v="2025-04-23"/>
    <x v="1"/>
    <s v="Wednesday"/>
    <x v="1"/>
    <x v="3"/>
    <s v="Retail"/>
    <s v="Store"/>
    <x v="0"/>
    <x v="0"/>
    <n v="85000"/>
    <n v="7"/>
    <x v="4"/>
    <n v="68000"/>
    <n v="595000"/>
    <x v="30"/>
    <n v="119000"/>
    <n v="1504"/>
  </r>
  <r>
    <s v="2025-04-04"/>
    <x v="1"/>
    <s v="Friday"/>
    <x v="1"/>
    <x v="0"/>
    <s v="Retail"/>
    <s v="Online"/>
    <x v="4"/>
    <x v="1"/>
    <n v="180000"/>
    <n v="5"/>
    <x v="2"/>
    <n v="144000"/>
    <n v="900000"/>
    <x v="48"/>
    <n v="180000"/>
    <n v="1505"/>
  </r>
  <r>
    <s v="2025-01-23"/>
    <x v="0"/>
    <s v="Thursday"/>
    <x v="1"/>
    <x v="2"/>
    <s v="Corporate"/>
    <s v="Store"/>
    <x v="5"/>
    <x v="0"/>
    <n v="320000"/>
    <n v="4"/>
    <x v="1"/>
    <n v="256000"/>
    <n v="1280000"/>
    <x v="6"/>
    <n v="256000"/>
    <n v="1506"/>
  </r>
  <r>
    <s v="2025-03-14"/>
    <x v="3"/>
    <s v="Friday"/>
    <x v="0"/>
    <x v="0"/>
    <s v="Corporate"/>
    <s v="Online"/>
    <x v="4"/>
    <x v="1"/>
    <n v="180000"/>
    <n v="8"/>
    <x v="2"/>
    <n v="144000"/>
    <n v="1440000"/>
    <x v="37"/>
    <n v="288000"/>
    <n v="1507"/>
  </r>
  <r>
    <s v="2025-01-18"/>
    <x v="0"/>
    <s v="Saturday"/>
    <x v="3"/>
    <x v="2"/>
    <s v="Retail"/>
    <s v="Online"/>
    <x v="1"/>
    <x v="1"/>
    <n v="30000"/>
    <n v="3"/>
    <x v="4"/>
    <n v="24000"/>
    <n v="90000"/>
    <x v="33"/>
    <n v="18000"/>
    <n v="1508"/>
  </r>
  <r>
    <s v="2025-04-25"/>
    <x v="1"/>
    <s v="Friday"/>
    <x v="3"/>
    <x v="3"/>
    <s v="Corporate"/>
    <s v="Store"/>
    <x v="9"/>
    <x v="1"/>
    <n v="220000"/>
    <n v="3"/>
    <x v="1"/>
    <n v="176000"/>
    <n v="660000"/>
    <x v="49"/>
    <n v="132000"/>
    <n v="1509"/>
  </r>
  <r>
    <s v="2025-04-22"/>
    <x v="1"/>
    <s v="Tuesday"/>
    <x v="1"/>
    <x v="2"/>
    <s v="Retail"/>
    <s v="Online"/>
    <x v="0"/>
    <x v="0"/>
    <n v="85000"/>
    <n v="4"/>
    <x v="1"/>
    <n v="68000"/>
    <n v="340000"/>
    <x v="74"/>
    <n v="68000"/>
    <n v="1510"/>
  </r>
  <r>
    <s v="2025-02-15"/>
    <x v="2"/>
    <s v="Saturday"/>
    <x v="3"/>
    <x v="1"/>
    <s v="Retail"/>
    <s v="Online"/>
    <x v="4"/>
    <x v="1"/>
    <n v="180000"/>
    <n v="6"/>
    <x v="1"/>
    <n v="144000"/>
    <n v="1080000"/>
    <x v="53"/>
    <n v="216000"/>
    <n v="1511"/>
  </r>
  <r>
    <s v="2025-01-17"/>
    <x v="0"/>
    <s v="Friday"/>
    <x v="3"/>
    <x v="2"/>
    <s v="Corporate"/>
    <s v="Store"/>
    <x v="9"/>
    <x v="1"/>
    <n v="220000"/>
    <n v="8"/>
    <x v="0"/>
    <n v="176000"/>
    <n v="1760000"/>
    <x v="42"/>
    <n v="352000"/>
    <n v="1512"/>
  </r>
  <r>
    <s v="2025-02-01"/>
    <x v="2"/>
    <s v="Saturday"/>
    <x v="2"/>
    <x v="1"/>
    <s v="Retail"/>
    <s v="Store"/>
    <x v="6"/>
    <x v="2"/>
    <n v="150000"/>
    <n v="1"/>
    <x v="5"/>
    <n v="120000"/>
    <n v="150000"/>
    <x v="26"/>
    <n v="30000"/>
    <n v="1513"/>
  </r>
  <r>
    <s v="2025-03-02"/>
    <x v="3"/>
    <s v="Sunday"/>
    <x v="3"/>
    <x v="2"/>
    <s v="Corporate"/>
    <s v="Online"/>
    <x v="4"/>
    <x v="1"/>
    <n v="180000"/>
    <n v="9"/>
    <x v="3"/>
    <n v="144000"/>
    <n v="1620000"/>
    <x v="27"/>
    <n v="324000"/>
    <n v="1514"/>
  </r>
  <r>
    <s v="2025-04-30"/>
    <x v="1"/>
    <s v="Wednesday"/>
    <x v="3"/>
    <x v="2"/>
    <s v="Corporate"/>
    <s v="Store"/>
    <x v="7"/>
    <x v="2"/>
    <n v="420000"/>
    <n v="10"/>
    <x v="0"/>
    <n v="336000"/>
    <n v="4200000"/>
    <x v="20"/>
    <n v="840000"/>
    <n v="1515"/>
  </r>
  <r>
    <s v="2025-03-24"/>
    <x v="3"/>
    <s v="Monday"/>
    <x v="0"/>
    <x v="3"/>
    <s v="Retail"/>
    <s v="Online"/>
    <x v="8"/>
    <x v="2"/>
    <n v="250000"/>
    <n v="10"/>
    <x v="0"/>
    <n v="200000"/>
    <n v="2500000"/>
    <x v="66"/>
    <n v="500000"/>
    <n v="1516"/>
  </r>
  <r>
    <s v="2025-04-15"/>
    <x v="1"/>
    <s v="Tuesday"/>
    <x v="1"/>
    <x v="2"/>
    <s v="Retail"/>
    <s v="Store"/>
    <x v="9"/>
    <x v="1"/>
    <n v="220000"/>
    <n v="3"/>
    <x v="1"/>
    <n v="176000"/>
    <n v="660000"/>
    <x v="49"/>
    <n v="132000"/>
    <n v="1517"/>
  </r>
  <r>
    <s v="2025-01-27"/>
    <x v="0"/>
    <s v="Monday"/>
    <x v="3"/>
    <x v="3"/>
    <s v="Retail"/>
    <s v="Online"/>
    <x v="1"/>
    <x v="1"/>
    <n v="30000"/>
    <n v="4"/>
    <x v="3"/>
    <n v="24000"/>
    <n v="120000"/>
    <x v="3"/>
    <n v="24000"/>
    <n v="1518"/>
  </r>
  <r>
    <s v="2025-04-08"/>
    <x v="1"/>
    <s v="Tuesday"/>
    <x v="1"/>
    <x v="3"/>
    <s v="Retail"/>
    <s v="Store"/>
    <x v="4"/>
    <x v="1"/>
    <n v="180000"/>
    <n v="9"/>
    <x v="3"/>
    <n v="144000"/>
    <n v="1620000"/>
    <x v="27"/>
    <n v="324000"/>
    <n v="1519"/>
  </r>
  <r>
    <s v="2025-02-28"/>
    <x v="2"/>
    <s v="Friday"/>
    <x v="0"/>
    <x v="2"/>
    <s v="Retail"/>
    <s v="Store"/>
    <x v="4"/>
    <x v="1"/>
    <n v="180000"/>
    <n v="7"/>
    <x v="3"/>
    <n v="144000"/>
    <n v="1260000"/>
    <x v="55"/>
    <n v="252000"/>
    <n v="1520"/>
  </r>
  <r>
    <s v="2025-02-18"/>
    <x v="2"/>
    <s v="Tuesday"/>
    <x v="1"/>
    <x v="0"/>
    <s v="Corporate"/>
    <s v="Store"/>
    <x v="6"/>
    <x v="2"/>
    <n v="150000"/>
    <n v="7"/>
    <x v="0"/>
    <n v="120000"/>
    <n v="1050000"/>
    <x v="16"/>
    <n v="210000"/>
    <n v="1521"/>
  </r>
  <r>
    <s v="2025-01-17"/>
    <x v="0"/>
    <s v="Friday"/>
    <x v="1"/>
    <x v="3"/>
    <s v="Retail"/>
    <s v="Online"/>
    <x v="1"/>
    <x v="1"/>
    <n v="30000"/>
    <n v="4"/>
    <x v="2"/>
    <n v="24000"/>
    <n v="120000"/>
    <x v="3"/>
    <n v="24000"/>
    <n v="1522"/>
  </r>
  <r>
    <s v="2025-01-30"/>
    <x v="0"/>
    <s v="Thursday"/>
    <x v="1"/>
    <x v="1"/>
    <s v="Retail"/>
    <s v="Online"/>
    <x v="5"/>
    <x v="0"/>
    <n v="320000"/>
    <n v="2"/>
    <x v="3"/>
    <n v="256000"/>
    <n v="640000"/>
    <x v="38"/>
    <n v="128000"/>
    <n v="1523"/>
  </r>
  <r>
    <s v="2025-04-02"/>
    <x v="1"/>
    <s v="Wednesday"/>
    <x v="1"/>
    <x v="1"/>
    <s v="Corporate"/>
    <s v="Store"/>
    <x v="5"/>
    <x v="0"/>
    <n v="320000"/>
    <n v="6"/>
    <x v="4"/>
    <n v="256000"/>
    <n v="1920000"/>
    <x v="31"/>
    <n v="384000"/>
    <n v="1524"/>
  </r>
  <r>
    <s v="2025-04-15"/>
    <x v="1"/>
    <s v="Tuesday"/>
    <x v="1"/>
    <x v="2"/>
    <s v="Corporate"/>
    <s v="Store"/>
    <x v="7"/>
    <x v="2"/>
    <n v="420000"/>
    <n v="10"/>
    <x v="1"/>
    <n v="336000"/>
    <n v="4200000"/>
    <x v="20"/>
    <n v="840000"/>
    <n v="1525"/>
  </r>
  <r>
    <s v="2025-04-14"/>
    <x v="1"/>
    <s v="Monday"/>
    <x v="2"/>
    <x v="3"/>
    <s v="Retail"/>
    <s v="Online"/>
    <x v="9"/>
    <x v="1"/>
    <n v="220000"/>
    <n v="8"/>
    <x v="0"/>
    <n v="176000"/>
    <n v="1760000"/>
    <x v="42"/>
    <n v="352000"/>
    <n v="1526"/>
  </r>
  <r>
    <s v="2025-03-21"/>
    <x v="3"/>
    <s v="Friday"/>
    <x v="1"/>
    <x v="0"/>
    <s v="Retail"/>
    <s v="Online"/>
    <x v="3"/>
    <x v="2"/>
    <n v="300000"/>
    <n v="10"/>
    <x v="0"/>
    <n v="240000"/>
    <n v="3000000"/>
    <x v="68"/>
    <n v="600000"/>
    <n v="1527"/>
  </r>
  <r>
    <s v="2025-01-20"/>
    <x v="0"/>
    <s v="Monday"/>
    <x v="2"/>
    <x v="3"/>
    <s v="Corporate"/>
    <s v="Store"/>
    <x v="3"/>
    <x v="2"/>
    <n v="300000"/>
    <n v="3"/>
    <x v="2"/>
    <n v="240000"/>
    <n v="900000"/>
    <x v="48"/>
    <n v="180000"/>
    <n v="1528"/>
  </r>
  <r>
    <s v="2025-02-11"/>
    <x v="2"/>
    <s v="Tuesday"/>
    <x v="3"/>
    <x v="0"/>
    <s v="Retail"/>
    <s v="Online"/>
    <x v="5"/>
    <x v="0"/>
    <n v="320000"/>
    <n v="5"/>
    <x v="4"/>
    <n v="256000"/>
    <n v="1600000"/>
    <x v="28"/>
    <n v="320000"/>
    <n v="1529"/>
  </r>
  <r>
    <s v="2025-02-13"/>
    <x v="2"/>
    <s v="Thursday"/>
    <x v="1"/>
    <x v="3"/>
    <s v="Retail"/>
    <s v="Online"/>
    <x v="0"/>
    <x v="0"/>
    <n v="85000"/>
    <n v="7"/>
    <x v="0"/>
    <n v="68000"/>
    <n v="595000"/>
    <x v="30"/>
    <n v="119000"/>
    <n v="1530"/>
  </r>
  <r>
    <s v="2025-02-14"/>
    <x v="2"/>
    <s v="Friday"/>
    <x v="0"/>
    <x v="2"/>
    <s v="Retail"/>
    <s v="Store"/>
    <x v="9"/>
    <x v="1"/>
    <n v="220000"/>
    <n v="2"/>
    <x v="4"/>
    <n v="176000"/>
    <n v="440000"/>
    <x v="15"/>
    <n v="88000"/>
    <n v="1531"/>
  </r>
  <r>
    <s v="2025-03-23"/>
    <x v="3"/>
    <s v="Sunday"/>
    <x v="3"/>
    <x v="3"/>
    <s v="Retail"/>
    <s v="Store"/>
    <x v="3"/>
    <x v="2"/>
    <n v="300000"/>
    <n v="2"/>
    <x v="2"/>
    <n v="240000"/>
    <n v="600000"/>
    <x v="4"/>
    <n v="120000"/>
    <n v="1532"/>
  </r>
  <r>
    <s v="2025-02-14"/>
    <x v="2"/>
    <s v="Friday"/>
    <x v="2"/>
    <x v="1"/>
    <s v="Corporate"/>
    <s v="Online"/>
    <x v="0"/>
    <x v="0"/>
    <n v="85000"/>
    <n v="3"/>
    <x v="1"/>
    <n v="68000"/>
    <n v="255000"/>
    <x v="23"/>
    <n v="51000"/>
    <n v="1533"/>
  </r>
  <r>
    <s v="2025-01-19"/>
    <x v="0"/>
    <s v="Sunday"/>
    <x v="3"/>
    <x v="3"/>
    <s v="Retail"/>
    <s v="Store"/>
    <x v="9"/>
    <x v="1"/>
    <n v="220000"/>
    <n v="7"/>
    <x v="4"/>
    <n v="176000"/>
    <n v="1540000"/>
    <x v="67"/>
    <n v="308000"/>
    <n v="1534"/>
  </r>
  <r>
    <s v="2025-03-27"/>
    <x v="3"/>
    <s v="Thursday"/>
    <x v="1"/>
    <x v="2"/>
    <s v="Corporate"/>
    <s v="Online"/>
    <x v="6"/>
    <x v="2"/>
    <n v="150000"/>
    <n v="3"/>
    <x v="2"/>
    <n v="120000"/>
    <n v="450000"/>
    <x v="34"/>
    <n v="90000"/>
    <n v="1535"/>
  </r>
  <r>
    <s v="2025-01-25"/>
    <x v="0"/>
    <s v="Saturday"/>
    <x v="1"/>
    <x v="1"/>
    <s v="Retail"/>
    <s v="Store"/>
    <x v="7"/>
    <x v="2"/>
    <n v="420000"/>
    <n v="10"/>
    <x v="4"/>
    <n v="336000"/>
    <n v="4200000"/>
    <x v="20"/>
    <n v="840000"/>
    <n v="1536"/>
  </r>
  <r>
    <s v="2025-02-07"/>
    <x v="2"/>
    <s v="Friday"/>
    <x v="3"/>
    <x v="1"/>
    <s v="Retail"/>
    <s v="Store"/>
    <x v="2"/>
    <x v="1"/>
    <n v="60000"/>
    <n v="3"/>
    <x v="3"/>
    <n v="48000"/>
    <n v="180000"/>
    <x v="32"/>
    <n v="36000"/>
    <n v="1537"/>
  </r>
  <r>
    <s v="2025-01-21"/>
    <x v="0"/>
    <s v="Tuesday"/>
    <x v="1"/>
    <x v="1"/>
    <s v="Corporate"/>
    <s v="Online"/>
    <x v="3"/>
    <x v="2"/>
    <n v="300000"/>
    <n v="9"/>
    <x v="1"/>
    <n v="240000"/>
    <n v="2700000"/>
    <x v="39"/>
    <n v="540000"/>
    <n v="1538"/>
  </r>
  <r>
    <s v="2025-02-10"/>
    <x v="2"/>
    <s v="Monday"/>
    <x v="2"/>
    <x v="1"/>
    <s v="Corporate"/>
    <s v="Online"/>
    <x v="2"/>
    <x v="1"/>
    <n v="60000"/>
    <n v="7"/>
    <x v="0"/>
    <n v="48000"/>
    <n v="420000"/>
    <x v="40"/>
    <n v="84000"/>
    <n v="1539"/>
  </r>
  <r>
    <s v="2025-03-19"/>
    <x v="3"/>
    <s v="Wednesday"/>
    <x v="0"/>
    <x v="0"/>
    <s v="Retail"/>
    <s v="Online"/>
    <x v="5"/>
    <x v="0"/>
    <n v="320000"/>
    <n v="3"/>
    <x v="2"/>
    <n v="256000"/>
    <n v="960000"/>
    <x v="9"/>
    <n v="192000"/>
    <n v="1540"/>
  </r>
  <r>
    <s v="2025-02-11"/>
    <x v="2"/>
    <s v="Tuesday"/>
    <x v="3"/>
    <x v="1"/>
    <s v="Corporate"/>
    <s v="Online"/>
    <x v="9"/>
    <x v="1"/>
    <n v="220000"/>
    <n v="5"/>
    <x v="0"/>
    <n v="176000"/>
    <n v="1100000"/>
    <x v="51"/>
    <n v="220000"/>
    <n v="1541"/>
  </r>
  <r>
    <s v="2025-02-15"/>
    <x v="2"/>
    <s v="Saturday"/>
    <x v="1"/>
    <x v="1"/>
    <s v="Corporate"/>
    <s v="Online"/>
    <x v="9"/>
    <x v="1"/>
    <n v="220000"/>
    <n v="2"/>
    <x v="0"/>
    <n v="176000"/>
    <n v="440000"/>
    <x v="15"/>
    <n v="88000"/>
    <n v="1542"/>
  </r>
  <r>
    <s v="2025-01-16"/>
    <x v="0"/>
    <s v="Thursday"/>
    <x v="0"/>
    <x v="0"/>
    <s v="Retail"/>
    <s v="Store"/>
    <x v="6"/>
    <x v="2"/>
    <n v="150000"/>
    <n v="10"/>
    <x v="1"/>
    <n v="120000"/>
    <n v="1500000"/>
    <x v="17"/>
    <n v="300000"/>
    <n v="1543"/>
  </r>
  <r>
    <s v="2025-04-14"/>
    <x v="1"/>
    <s v="Monday"/>
    <x v="3"/>
    <x v="2"/>
    <s v="Retail"/>
    <s v="Store"/>
    <x v="1"/>
    <x v="1"/>
    <n v="30000"/>
    <n v="8"/>
    <x v="5"/>
    <n v="24000"/>
    <n v="240000"/>
    <x v="1"/>
    <n v="48000"/>
    <n v="1544"/>
  </r>
  <r>
    <s v="2025-04-14"/>
    <x v="1"/>
    <s v="Monday"/>
    <x v="1"/>
    <x v="1"/>
    <s v="Retail"/>
    <s v="Store"/>
    <x v="1"/>
    <x v="1"/>
    <n v="30000"/>
    <n v="9"/>
    <x v="3"/>
    <n v="24000"/>
    <n v="270000"/>
    <x v="57"/>
    <n v="54000"/>
    <n v="1545"/>
  </r>
  <r>
    <s v="2025-04-06"/>
    <x v="1"/>
    <s v="Sunday"/>
    <x v="1"/>
    <x v="0"/>
    <s v="Retail"/>
    <s v="Store"/>
    <x v="6"/>
    <x v="2"/>
    <n v="150000"/>
    <n v="3"/>
    <x v="1"/>
    <n v="120000"/>
    <n v="450000"/>
    <x v="34"/>
    <n v="90000"/>
    <n v="1546"/>
  </r>
  <r>
    <s v="2025-02-11"/>
    <x v="2"/>
    <s v="Tuesday"/>
    <x v="1"/>
    <x v="0"/>
    <s v="Corporate"/>
    <s v="Online"/>
    <x v="2"/>
    <x v="1"/>
    <n v="60000"/>
    <n v="6"/>
    <x v="2"/>
    <n v="48000"/>
    <n v="360000"/>
    <x v="50"/>
    <n v="72000"/>
    <n v="1547"/>
  </r>
  <r>
    <s v="2025-02-14"/>
    <x v="2"/>
    <s v="Friday"/>
    <x v="1"/>
    <x v="0"/>
    <s v="Corporate"/>
    <s v="Store"/>
    <x v="8"/>
    <x v="2"/>
    <n v="250000"/>
    <n v="1"/>
    <x v="2"/>
    <n v="200000"/>
    <n v="250000"/>
    <x v="44"/>
    <n v="50000"/>
    <n v="1548"/>
  </r>
  <r>
    <s v="2025-04-25"/>
    <x v="1"/>
    <s v="Friday"/>
    <x v="0"/>
    <x v="2"/>
    <s v="Retail"/>
    <s v="Store"/>
    <x v="0"/>
    <x v="0"/>
    <n v="85000"/>
    <n v="8"/>
    <x v="2"/>
    <n v="68000"/>
    <n v="680000"/>
    <x v="69"/>
    <n v="136000"/>
    <n v="1549"/>
  </r>
  <r>
    <s v="2025-02-09"/>
    <x v="2"/>
    <s v="Sunday"/>
    <x v="3"/>
    <x v="0"/>
    <s v="Retail"/>
    <s v="Store"/>
    <x v="4"/>
    <x v="1"/>
    <n v="180000"/>
    <n v="8"/>
    <x v="2"/>
    <n v="144000"/>
    <n v="1440000"/>
    <x v="37"/>
    <n v="288000"/>
    <n v="1550"/>
  </r>
  <r>
    <s v="2025-03-13"/>
    <x v="3"/>
    <s v="Thursday"/>
    <x v="1"/>
    <x v="3"/>
    <s v="Corporate"/>
    <s v="Store"/>
    <x v="9"/>
    <x v="1"/>
    <n v="220000"/>
    <n v="9"/>
    <x v="4"/>
    <n v="176000"/>
    <n v="1980000"/>
    <x v="64"/>
    <n v="396000"/>
    <n v="1551"/>
  </r>
  <r>
    <s v="2025-01-04"/>
    <x v="0"/>
    <s v="Saturday"/>
    <x v="0"/>
    <x v="0"/>
    <s v="Retail"/>
    <s v="Store"/>
    <x v="8"/>
    <x v="2"/>
    <n v="250000"/>
    <n v="3"/>
    <x v="2"/>
    <n v="200000"/>
    <n v="750000"/>
    <x v="56"/>
    <n v="150000"/>
    <n v="1552"/>
  </r>
  <r>
    <s v="2025-02-27"/>
    <x v="2"/>
    <s v="Thursday"/>
    <x v="3"/>
    <x v="3"/>
    <s v="Retail"/>
    <s v="Online"/>
    <x v="7"/>
    <x v="2"/>
    <n v="420000"/>
    <n v="6"/>
    <x v="5"/>
    <n v="336000"/>
    <n v="2520000"/>
    <x v="76"/>
    <n v="504000"/>
    <n v="1553"/>
  </r>
  <r>
    <s v="2025-02-05"/>
    <x v="2"/>
    <s v="Wednesday"/>
    <x v="1"/>
    <x v="1"/>
    <s v="Corporate"/>
    <s v="Store"/>
    <x v="4"/>
    <x v="1"/>
    <n v="180000"/>
    <n v="3"/>
    <x v="0"/>
    <n v="144000"/>
    <n v="540000"/>
    <x v="46"/>
    <n v="108000"/>
    <n v="1554"/>
  </r>
  <r>
    <s v="2025-02-28"/>
    <x v="2"/>
    <s v="Friday"/>
    <x v="2"/>
    <x v="2"/>
    <s v="Corporate"/>
    <s v="Store"/>
    <x v="4"/>
    <x v="1"/>
    <n v="180000"/>
    <n v="9"/>
    <x v="0"/>
    <n v="144000"/>
    <n v="1620000"/>
    <x v="27"/>
    <n v="324000"/>
    <n v="1555"/>
  </r>
  <r>
    <s v="2025-01-19"/>
    <x v="0"/>
    <s v="Sunday"/>
    <x v="1"/>
    <x v="2"/>
    <s v="Retail"/>
    <s v="Online"/>
    <x v="7"/>
    <x v="2"/>
    <n v="420000"/>
    <n v="5"/>
    <x v="0"/>
    <n v="336000"/>
    <n v="2100000"/>
    <x v="13"/>
    <n v="420000"/>
    <n v="1556"/>
  </r>
  <r>
    <s v="2025-02-11"/>
    <x v="2"/>
    <s v="Tuesday"/>
    <x v="3"/>
    <x v="2"/>
    <s v="Retail"/>
    <s v="Store"/>
    <x v="4"/>
    <x v="1"/>
    <n v="180000"/>
    <n v="6"/>
    <x v="5"/>
    <n v="144000"/>
    <n v="1080000"/>
    <x v="53"/>
    <n v="216000"/>
    <n v="1557"/>
  </r>
  <r>
    <s v="2025-02-19"/>
    <x v="2"/>
    <s v="Wednesday"/>
    <x v="1"/>
    <x v="2"/>
    <s v="Corporate"/>
    <s v="Online"/>
    <x v="3"/>
    <x v="2"/>
    <n v="300000"/>
    <n v="3"/>
    <x v="2"/>
    <n v="240000"/>
    <n v="900000"/>
    <x v="48"/>
    <n v="180000"/>
    <n v="1558"/>
  </r>
  <r>
    <s v="2025-03-11"/>
    <x v="3"/>
    <s v="Tuesday"/>
    <x v="0"/>
    <x v="2"/>
    <s v="Retail"/>
    <s v="Online"/>
    <x v="9"/>
    <x v="1"/>
    <n v="220000"/>
    <n v="7"/>
    <x v="0"/>
    <n v="176000"/>
    <n v="1540000"/>
    <x v="67"/>
    <n v="308000"/>
    <n v="1559"/>
  </r>
  <r>
    <s v="2025-04-30"/>
    <x v="1"/>
    <s v="Wednesday"/>
    <x v="2"/>
    <x v="1"/>
    <s v="Retail"/>
    <s v="Online"/>
    <x v="2"/>
    <x v="1"/>
    <n v="60000"/>
    <n v="2"/>
    <x v="0"/>
    <n v="48000"/>
    <n v="120000"/>
    <x v="3"/>
    <n v="24000"/>
    <n v="1560"/>
  </r>
  <r>
    <s v="2025-02-11"/>
    <x v="2"/>
    <s v="Tuesday"/>
    <x v="2"/>
    <x v="1"/>
    <s v="Corporate"/>
    <s v="Online"/>
    <x v="1"/>
    <x v="1"/>
    <n v="30000"/>
    <n v="4"/>
    <x v="3"/>
    <n v="24000"/>
    <n v="120000"/>
    <x v="3"/>
    <n v="24000"/>
    <n v="1561"/>
  </r>
  <r>
    <s v="2025-01-27"/>
    <x v="0"/>
    <s v="Monday"/>
    <x v="0"/>
    <x v="1"/>
    <s v="Corporate"/>
    <s v="Store"/>
    <x v="5"/>
    <x v="0"/>
    <n v="320000"/>
    <n v="8"/>
    <x v="3"/>
    <n v="256000"/>
    <n v="2560000"/>
    <x v="72"/>
    <n v="512000"/>
    <n v="1562"/>
  </r>
  <r>
    <s v="2025-04-26"/>
    <x v="1"/>
    <s v="Saturday"/>
    <x v="0"/>
    <x v="3"/>
    <s v="Corporate"/>
    <s v="Store"/>
    <x v="4"/>
    <x v="1"/>
    <n v="180000"/>
    <n v="5"/>
    <x v="2"/>
    <n v="144000"/>
    <n v="900000"/>
    <x v="48"/>
    <n v="180000"/>
    <n v="1563"/>
  </r>
  <r>
    <s v="2025-03-01"/>
    <x v="3"/>
    <s v="Saturday"/>
    <x v="1"/>
    <x v="0"/>
    <s v="Retail"/>
    <s v="Store"/>
    <x v="5"/>
    <x v="0"/>
    <n v="320000"/>
    <n v="6"/>
    <x v="2"/>
    <n v="256000"/>
    <n v="1920000"/>
    <x v="31"/>
    <n v="384000"/>
    <n v="1564"/>
  </r>
  <r>
    <s v="2025-01-20"/>
    <x v="0"/>
    <s v="Monday"/>
    <x v="2"/>
    <x v="1"/>
    <s v="Retail"/>
    <s v="Online"/>
    <x v="7"/>
    <x v="2"/>
    <n v="420000"/>
    <n v="3"/>
    <x v="2"/>
    <n v="336000"/>
    <n v="1260000"/>
    <x v="55"/>
    <n v="252000"/>
    <n v="1565"/>
  </r>
  <r>
    <s v="2025-01-09"/>
    <x v="0"/>
    <s v="Thursday"/>
    <x v="3"/>
    <x v="3"/>
    <s v="Corporate"/>
    <s v="Online"/>
    <x v="6"/>
    <x v="2"/>
    <n v="150000"/>
    <n v="2"/>
    <x v="5"/>
    <n v="120000"/>
    <n v="300000"/>
    <x v="11"/>
    <n v="60000"/>
    <n v="1566"/>
  </r>
  <r>
    <s v="2025-04-19"/>
    <x v="1"/>
    <s v="Saturday"/>
    <x v="0"/>
    <x v="3"/>
    <s v="Retail"/>
    <s v="Online"/>
    <x v="4"/>
    <x v="1"/>
    <n v="180000"/>
    <n v="8"/>
    <x v="3"/>
    <n v="144000"/>
    <n v="1440000"/>
    <x v="37"/>
    <n v="288000"/>
    <n v="1567"/>
  </r>
  <r>
    <s v="2025-03-14"/>
    <x v="3"/>
    <s v="Friday"/>
    <x v="3"/>
    <x v="1"/>
    <s v="Retail"/>
    <s v="Online"/>
    <x v="6"/>
    <x v="2"/>
    <n v="150000"/>
    <n v="4"/>
    <x v="3"/>
    <n v="120000"/>
    <n v="600000"/>
    <x v="4"/>
    <n v="120000"/>
    <n v="1568"/>
  </r>
  <r>
    <s v="2025-02-26"/>
    <x v="2"/>
    <s v="Wednesday"/>
    <x v="3"/>
    <x v="2"/>
    <s v="Corporate"/>
    <s v="Store"/>
    <x v="2"/>
    <x v="1"/>
    <n v="60000"/>
    <n v="8"/>
    <x v="2"/>
    <n v="48000"/>
    <n v="480000"/>
    <x v="47"/>
    <n v="96000"/>
    <n v="1569"/>
  </r>
  <r>
    <s v="2025-04-24"/>
    <x v="1"/>
    <s v="Thursday"/>
    <x v="3"/>
    <x v="0"/>
    <s v="Corporate"/>
    <s v="Store"/>
    <x v="7"/>
    <x v="2"/>
    <n v="420000"/>
    <n v="5"/>
    <x v="4"/>
    <n v="336000"/>
    <n v="2100000"/>
    <x v="13"/>
    <n v="420000"/>
    <n v="1570"/>
  </r>
  <r>
    <s v="2025-03-28"/>
    <x v="3"/>
    <s v="Friday"/>
    <x v="3"/>
    <x v="0"/>
    <s v="Retail"/>
    <s v="Store"/>
    <x v="7"/>
    <x v="2"/>
    <n v="420000"/>
    <n v="6"/>
    <x v="5"/>
    <n v="336000"/>
    <n v="2520000"/>
    <x v="76"/>
    <n v="504000"/>
    <n v="1571"/>
  </r>
  <r>
    <s v="2025-01-22"/>
    <x v="0"/>
    <s v="Wednesday"/>
    <x v="2"/>
    <x v="0"/>
    <s v="Retail"/>
    <s v="Store"/>
    <x v="3"/>
    <x v="2"/>
    <n v="300000"/>
    <n v="4"/>
    <x v="1"/>
    <n v="240000"/>
    <n v="1200000"/>
    <x v="29"/>
    <n v="240000"/>
    <n v="1572"/>
  </r>
  <r>
    <s v="2025-02-03"/>
    <x v="2"/>
    <s v="Monday"/>
    <x v="1"/>
    <x v="3"/>
    <s v="Retail"/>
    <s v="Online"/>
    <x v="4"/>
    <x v="1"/>
    <n v="180000"/>
    <n v="1"/>
    <x v="5"/>
    <n v="144000"/>
    <n v="180000"/>
    <x v="32"/>
    <n v="36000"/>
    <n v="1573"/>
  </r>
  <r>
    <s v="2025-03-26"/>
    <x v="3"/>
    <s v="Wednesday"/>
    <x v="3"/>
    <x v="3"/>
    <s v="Corporate"/>
    <s v="Online"/>
    <x v="7"/>
    <x v="2"/>
    <n v="420000"/>
    <n v="5"/>
    <x v="4"/>
    <n v="336000"/>
    <n v="2100000"/>
    <x v="13"/>
    <n v="420000"/>
    <n v="1574"/>
  </r>
  <r>
    <s v="2025-03-26"/>
    <x v="3"/>
    <s v="Wednesday"/>
    <x v="0"/>
    <x v="1"/>
    <s v="Corporate"/>
    <s v="Store"/>
    <x v="8"/>
    <x v="2"/>
    <n v="250000"/>
    <n v="7"/>
    <x v="5"/>
    <n v="200000"/>
    <n v="1750000"/>
    <x v="59"/>
    <n v="350000"/>
    <n v="1575"/>
  </r>
  <r>
    <s v="2025-04-16"/>
    <x v="1"/>
    <s v="Wednesday"/>
    <x v="2"/>
    <x v="3"/>
    <s v="Corporate"/>
    <s v="Online"/>
    <x v="1"/>
    <x v="1"/>
    <n v="30000"/>
    <n v="1"/>
    <x v="5"/>
    <n v="24000"/>
    <n v="30000"/>
    <x v="75"/>
    <n v="6000"/>
    <n v="1576"/>
  </r>
  <r>
    <s v="2025-03-14"/>
    <x v="3"/>
    <s v="Friday"/>
    <x v="2"/>
    <x v="1"/>
    <s v="Corporate"/>
    <s v="Online"/>
    <x v="4"/>
    <x v="1"/>
    <n v="180000"/>
    <n v="9"/>
    <x v="3"/>
    <n v="144000"/>
    <n v="1620000"/>
    <x v="27"/>
    <n v="324000"/>
    <n v="1577"/>
  </r>
  <r>
    <s v="2025-04-12"/>
    <x v="1"/>
    <s v="Saturday"/>
    <x v="3"/>
    <x v="1"/>
    <s v="Corporate"/>
    <s v="Online"/>
    <x v="3"/>
    <x v="2"/>
    <n v="300000"/>
    <n v="7"/>
    <x v="5"/>
    <n v="240000"/>
    <n v="2100000"/>
    <x v="13"/>
    <n v="420000"/>
    <n v="1578"/>
  </r>
  <r>
    <s v="2025-04-26"/>
    <x v="1"/>
    <s v="Saturday"/>
    <x v="1"/>
    <x v="1"/>
    <s v="Retail"/>
    <s v="Online"/>
    <x v="2"/>
    <x v="1"/>
    <n v="60000"/>
    <n v="2"/>
    <x v="5"/>
    <n v="48000"/>
    <n v="120000"/>
    <x v="3"/>
    <n v="24000"/>
    <n v="1579"/>
  </r>
  <r>
    <s v="2025-03-20"/>
    <x v="3"/>
    <s v="Thursday"/>
    <x v="0"/>
    <x v="3"/>
    <s v="Corporate"/>
    <s v="Online"/>
    <x v="8"/>
    <x v="2"/>
    <n v="250000"/>
    <n v="5"/>
    <x v="2"/>
    <n v="200000"/>
    <n v="1250000"/>
    <x v="21"/>
    <n v="250000"/>
    <n v="1580"/>
  </r>
  <r>
    <s v="2025-03-14"/>
    <x v="3"/>
    <s v="Friday"/>
    <x v="3"/>
    <x v="3"/>
    <s v="Corporate"/>
    <s v="Store"/>
    <x v="0"/>
    <x v="0"/>
    <n v="85000"/>
    <n v="9"/>
    <x v="3"/>
    <n v="68000"/>
    <n v="765000"/>
    <x v="18"/>
    <n v="153000"/>
    <n v="1581"/>
  </r>
  <r>
    <s v="2025-04-07"/>
    <x v="1"/>
    <s v="Monday"/>
    <x v="3"/>
    <x v="2"/>
    <s v="Retail"/>
    <s v="Online"/>
    <x v="7"/>
    <x v="2"/>
    <n v="420000"/>
    <n v="5"/>
    <x v="2"/>
    <n v="336000"/>
    <n v="2100000"/>
    <x v="13"/>
    <n v="420000"/>
    <n v="1582"/>
  </r>
  <r>
    <s v="2025-04-21"/>
    <x v="1"/>
    <s v="Monday"/>
    <x v="1"/>
    <x v="3"/>
    <s v="Retail"/>
    <s v="Online"/>
    <x v="7"/>
    <x v="2"/>
    <n v="420000"/>
    <n v="7"/>
    <x v="2"/>
    <n v="336000"/>
    <n v="2940000"/>
    <x v="70"/>
    <n v="588000"/>
    <n v="1583"/>
  </r>
  <r>
    <s v="2025-02-20"/>
    <x v="2"/>
    <s v="Thursday"/>
    <x v="3"/>
    <x v="0"/>
    <s v="Retail"/>
    <s v="Store"/>
    <x v="5"/>
    <x v="0"/>
    <n v="320000"/>
    <n v="3"/>
    <x v="2"/>
    <n v="256000"/>
    <n v="960000"/>
    <x v="9"/>
    <n v="192000"/>
    <n v="1584"/>
  </r>
  <r>
    <s v="2025-02-01"/>
    <x v="2"/>
    <s v="Saturday"/>
    <x v="2"/>
    <x v="0"/>
    <s v="Corporate"/>
    <s v="Store"/>
    <x v="8"/>
    <x v="2"/>
    <n v="250000"/>
    <n v="10"/>
    <x v="2"/>
    <n v="200000"/>
    <n v="2500000"/>
    <x v="66"/>
    <n v="500000"/>
    <n v="1585"/>
  </r>
  <r>
    <s v="2025-04-25"/>
    <x v="1"/>
    <s v="Friday"/>
    <x v="1"/>
    <x v="2"/>
    <s v="Retail"/>
    <s v="Online"/>
    <x v="6"/>
    <x v="2"/>
    <n v="150000"/>
    <n v="9"/>
    <x v="5"/>
    <n v="120000"/>
    <n v="1350000"/>
    <x v="63"/>
    <n v="270000"/>
    <n v="1586"/>
  </r>
  <r>
    <s v="2025-02-04"/>
    <x v="2"/>
    <s v="Tuesday"/>
    <x v="0"/>
    <x v="0"/>
    <s v="Corporate"/>
    <s v="Online"/>
    <x v="3"/>
    <x v="2"/>
    <n v="300000"/>
    <n v="10"/>
    <x v="0"/>
    <n v="240000"/>
    <n v="3000000"/>
    <x v="68"/>
    <n v="600000"/>
    <n v="1587"/>
  </r>
  <r>
    <s v="2025-02-04"/>
    <x v="2"/>
    <s v="Tuesday"/>
    <x v="1"/>
    <x v="0"/>
    <s v="Corporate"/>
    <s v="Store"/>
    <x v="3"/>
    <x v="2"/>
    <n v="300000"/>
    <n v="2"/>
    <x v="3"/>
    <n v="240000"/>
    <n v="600000"/>
    <x v="4"/>
    <n v="120000"/>
    <n v="1588"/>
  </r>
  <r>
    <s v="2025-01-16"/>
    <x v="0"/>
    <s v="Thursday"/>
    <x v="1"/>
    <x v="3"/>
    <s v="Retail"/>
    <s v="Store"/>
    <x v="4"/>
    <x v="1"/>
    <n v="180000"/>
    <n v="2"/>
    <x v="3"/>
    <n v="144000"/>
    <n v="360000"/>
    <x v="50"/>
    <n v="72000"/>
    <n v="1589"/>
  </r>
  <r>
    <s v="2025-03-21"/>
    <x v="3"/>
    <s v="Friday"/>
    <x v="0"/>
    <x v="3"/>
    <s v="Corporate"/>
    <s v="Store"/>
    <x v="5"/>
    <x v="0"/>
    <n v="320000"/>
    <n v="10"/>
    <x v="5"/>
    <n v="256000"/>
    <n v="3200000"/>
    <x v="35"/>
    <n v="640000"/>
    <n v="1590"/>
  </r>
  <r>
    <s v="2025-04-22"/>
    <x v="1"/>
    <s v="Tuesday"/>
    <x v="3"/>
    <x v="0"/>
    <s v="Corporate"/>
    <s v="Store"/>
    <x v="5"/>
    <x v="0"/>
    <n v="320000"/>
    <n v="1"/>
    <x v="4"/>
    <n v="256000"/>
    <n v="320000"/>
    <x v="7"/>
    <n v="64000"/>
    <n v="1591"/>
  </r>
  <r>
    <s v="2025-03-30"/>
    <x v="3"/>
    <s v="Sunday"/>
    <x v="3"/>
    <x v="3"/>
    <s v="Retail"/>
    <s v="Store"/>
    <x v="6"/>
    <x v="2"/>
    <n v="150000"/>
    <n v="6"/>
    <x v="3"/>
    <n v="120000"/>
    <n v="900000"/>
    <x v="48"/>
    <n v="180000"/>
    <n v="1592"/>
  </r>
  <r>
    <s v="2025-04-10"/>
    <x v="1"/>
    <s v="Thursday"/>
    <x v="3"/>
    <x v="1"/>
    <s v="Corporate"/>
    <s v="Store"/>
    <x v="0"/>
    <x v="0"/>
    <n v="85000"/>
    <n v="9"/>
    <x v="3"/>
    <n v="68000"/>
    <n v="765000"/>
    <x v="18"/>
    <n v="153000"/>
    <n v="1593"/>
  </r>
  <r>
    <s v="2025-02-18"/>
    <x v="2"/>
    <s v="Tuesday"/>
    <x v="0"/>
    <x v="0"/>
    <s v="Retail"/>
    <s v="Online"/>
    <x v="7"/>
    <x v="2"/>
    <n v="420000"/>
    <n v="7"/>
    <x v="0"/>
    <n v="336000"/>
    <n v="2940000"/>
    <x v="70"/>
    <n v="588000"/>
    <n v="1594"/>
  </r>
  <r>
    <s v="2025-01-26"/>
    <x v="0"/>
    <s v="Sunday"/>
    <x v="1"/>
    <x v="0"/>
    <s v="Retail"/>
    <s v="Online"/>
    <x v="1"/>
    <x v="1"/>
    <n v="30000"/>
    <n v="3"/>
    <x v="3"/>
    <n v="24000"/>
    <n v="90000"/>
    <x v="33"/>
    <n v="18000"/>
    <n v="1595"/>
  </r>
  <r>
    <s v="2025-04-30"/>
    <x v="1"/>
    <s v="Wednesday"/>
    <x v="1"/>
    <x v="1"/>
    <s v="Corporate"/>
    <s v="Store"/>
    <x v="1"/>
    <x v="1"/>
    <n v="30000"/>
    <n v="9"/>
    <x v="0"/>
    <n v="24000"/>
    <n v="270000"/>
    <x v="57"/>
    <n v="54000"/>
    <n v="1596"/>
  </r>
  <r>
    <s v="2025-01-19"/>
    <x v="0"/>
    <s v="Sunday"/>
    <x v="2"/>
    <x v="0"/>
    <s v="Corporate"/>
    <s v="Store"/>
    <x v="2"/>
    <x v="1"/>
    <n v="60000"/>
    <n v="1"/>
    <x v="4"/>
    <n v="48000"/>
    <n v="60000"/>
    <x v="41"/>
    <n v="12000"/>
    <n v="1597"/>
  </r>
  <r>
    <s v="2025-02-02"/>
    <x v="2"/>
    <s v="Sunday"/>
    <x v="3"/>
    <x v="0"/>
    <s v="Corporate"/>
    <s v="Online"/>
    <x v="8"/>
    <x v="2"/>
    <n v="250000"/>
    <n v="1"/>
    <x v="5"/>
    <n v="200000"/>
    <n v="250000"/>
    <x v="44"/>
    <n v="50000"/>
    <n v="1598"/>
  </r>
  <r>
    <s v="2025-02-14"/>
    <x v="2"/>
    <s v="Friday"/>
    <x v="3"/>
    <x v="1"/>
    <s v="Corporate"/>
    <s v="Online"/>
    <x v="6"/>
    <x v="2"/>
    <n v="150000"/>
    <n v="9"/>
    <x v="0"/>
    <n v="120000"/>
    <n v="1350000"/>
    <x v="63"/>
    <n v="270000"/>
    <n v="1599"/>
  </r>
  <r>
    <s v="2025-04-09"/>
    <x v="1"/>
    <s v="Wednesday"/>
    <x v="0"/>
    <x v="2"/>
    <s v="Corporate"/>
    <s v="Online"/>
    <x v="6"/>
    <x v="2"/>
    <n v="150000"/>
    <n v="8"/>
    <x v="1"/>
    <n v="120000"/>
    <n v="1200000"/>
    <x v="29"/>
    <n v="240000"/>
    <n v="1600"/>
  </r>
  <r>
    <s v="2025-02-19"/>
    <x v="2"/>
    <s v="Wednesday"/>
    <x v="2"/>
    <x v="0"/>
    <s v="Retail"/>
    <s v="Store"/>
    <x v="2"/>
    <x v="1"/>
    <n v="60000"/>
    <n v="4"/>
    <x v="1"/>
    <n v="48000"/>
    <n v="240000"/>
    <x v="1"/>
    <n v="48000"/>
    <n v="1601"/>
  </r>
  <r>
    <s v="2025-03-03"/>
    <x v="3"/>
    <s v="Monday"/>
    <x v="0"/>
    <x v="3"/>
    <s v="Retail"/>
    <s v="Store"/>
    <x v="1"/>
    <x v="1"/>
    <n v="30000"/>
    <n v="3"/>
    <x v="3"/>
    <n v="24000"/>
    <n v="90000"/>
    <x v="33"/>
    <n v="18000"/>
    <n v="1602"/>
  </r>
  <r>
    <s v="2025-04-06"/>
    <x v="1"/>
    <s v="Sunday"/>
    <x v="0"/>
    <x v="0"/>
    <s v="Retail"/>
    <s v="Store"/>
    <x v="5"/>
    <x v="0"/>
    <n v="320000"/>
    <n v="4"/>
    <x v="3"/>
    <n v="256000"/>
    <n v="1280000"/>
    <x v="6"/>
    <n v="256000"/>
    <n v="1603"/>
  </r>
  <r>
    <s v="2025-03-03"/>
    <x v="3"/>
    <s v="Monday"/>
    <x v="3"/>
    <x v="2"/>
    <s v="Corporate"/>
    <s v="Online"/>
    <x v="4"/>
    <x v="1"/>
    <n v="180000"/>
    <n v="8"/>
    <x v="2"/>
    <n v="144000"/>
    <n v="1440000"/>
    <x v="37"/>
    <n v="288000"/>
    <n v="1604"/>
  </r>
  <r>
    <s v="2025-04-30"/>
    <x v="1"/>
    <s v="Wednesday"/>
    <x v="1"/>
    <x v="3"/>
    <s v="Retail"/>
    <s v="Store"/>
    <x v="0"/>
    <x v="0"/>
    <n v="85000"/>
    <n v="4"/>
    <x v="1"/>
    <n v="68000"/>
    <n v="340000"/>
    <x v="74"/>
    <n v="68000"/>
    <n v="1605"/>
  </r>
  <r>
    <s v="2025-02-22"/>
    <x v="2"/>
    <s v="Saturday"/>
    <x v="3"/>
    <x v="1"/>
    <s v="Corporate"/>
    <s v="Store"/>
    <x v="9"/>
    <x v="1"/>
    <n v="220000"/>
    <n v="10"/>
    <x v="0"/>
    <n v="176000"/>
    <n v="2200000"/>
    <x v="61"/>
    <n v="440000"/>
    <n v="1606"/>
  </r>
  <r>
    <s v="2025-01-26"/>
    <x v="0"/>
    <s v="Sunday"/>
    <x v="2"/>
    <x v="0"/>
    <s v="Corporate"/>
    <s v="Store"/>
    <x v="0"/>
    <x v="0"/>
    <n v="85000"/>
    <n v="5"/>
    <x v="3"/>
    <n v="68000"/>
    <n v="425000"/>
    <x v="58"/>
    <n v="85000"/>
    <n v="1607"/>
  </r>
  <r>
    <s v="2025-01-17"/>
    <x v="0"/>
    <s v="Friday"/>
    <x v="0"/>
    <x v="1"/>
    <s v="Retail"/>
    <s v="Store"/>
    <x v="3"/>
    <x v="2"/>
    <n v="300000"/>
    <n v="2"/>
    <x v="4"/>
    <n v="240000"/>
    <n v="600000"/>
    <x v="4"/>
    <n v="120000"/>
    <n v="1608"/>
  </r>
  <r>
    <s v="2025-03-06"/>
    <x v="3"/>
    <s v="Thursday"/>
    <x v="1"/>
    <x v="3"/>
    <s v="Corporate"/>
    <s v="Online"/>
    <x v="4"/>
    <x v="1"/>
    <n v="180000"/>
    <n v="1"/>
    <x v="3"/>
    <n v="144000"/>
    <n v="180000"/>
    <x v="32"/>
    <n v="36000"/>
    <n v="1609"/>
  </r>
  <r>
    <s v="2025-01-24"/>
    <x v="0"/>
    <s v="Friday"/>
    <x v="2"/>
    <x v="3"/>
    <s v="Retail"/>
    <s v="Online"/>
    <x v="6"/>
    <x v="2"/>
    <n v="150000"/>
    <n v="3"/>
    <x v="3"/>
    <n v="120000"/>
    <n v="450000"/>
    <x v="34"/>
    <n v="90000"/>
    <n v="1610"/>
  </r>
  <r>
    <s v="2025-04-23"/>
    <x v="1"/>
    <s v="Wednesday"/>
    <x v="2"/>
    <x v="2"/>
    <s v="Corporate"/>
    <s v="Store"/>
    <x v="4"/>
    <x v="1"/>
    <n v="180000"/>
    <n v="3"/>
    <x v="2"/>
    <n v="144000"/>
    <n v="540000"/>
    <x v="46"/>
    <n v="108000"/>
    <n v="1611"/>
  </r>
  <r>
    <s v="2025-02-09"/>
    <x v="2"/>
    <s v="Sunday"/>
    <x v="3"/>
    <x v="2"/>
    <s v="Retail"/>
    <s v="Online"/>
    <x v="6"/>
    <x v="2"/>
    <n v="150000"/>
    <n v="5"/>
    <x v="1"/>
    <n v="120000"/>
    <n v="750000"/>
    <x v="56"/>
    <n v="150000"/>
    <n v="1612"/>
  </r>
  <r>
    <s v="2025-02-21"/>
    <x v="2"/>
    <s v="Friday"/>
    <x v="1"/>
    <x v="3"/>
    <s v="Corporate"/>
    <s v="Online"/>
    <x v="2"/>
    <x v="1"/>
    <n v="60000"/>
    <n v="8"/>
    <x v="1"/>
    <n v="48000"/>
    <n v="480000"/>
    <x v="47"/>
    <n v="96000"/>
    <n v="1613"/>
  </r>
  <r>
    <s v="2025-03-12"/>
    <x v="3"/>
    <s v="Wednesday"/>
    <x v="1"/>
    <x v="0"/>
    <s v="Retail"/>
    <s v="Store"/>
    <x v="8"/>
    <x v="2"/>
    <n v="250000"/>
    <n v="5"/>
    <x v="1"/>
    <n v="200000"/>
    <n v="1250000"/>
    <x v="21"/>
    <n v="250000"/>
    <n v="1614"/>
  </r>
  <r>
    <s v="2025-04-25"/>
    <x v="1"/>
    <s v="Friday"/>
    <x v="1"/>
    <x v="2"/>
    <s v="Retail"/>
    <s v="Online"/>
    <x v="4"/>
    <x v="1"/>
    <n v="180000"/>
    <n v="3"/>
    <x v="0"/>
    <n v="144000"/>
    <n v="540000"/>
    <x v="46"/>
    <n v="108000"/>
    <n v="1615"/>
  </r>
  <r>
    <s v="2025-03-15"/>
    <x v="3"/>
    <s v="Saturday"/>
    <x v="3"/>
    <x v="0"/>
    <s v="Corporate"/>
    <s v="Online"/>
    <x v="5"/>
    <x v="0"/>
    <n v="320000"/>
    <n v="9"/>
    <x v="0"/>
    <n v="256000"/>
    <n v="2880000"/>
    <x v="8"/>
    <n v="576000"/>
    <n v="1616"/>
  </r>
  <r>
    <s v="2025-02-19"/>
    <x v="2"/>
    <s v="Wednesday"/>
    <x v="0"/>
    <x v="0"/>
    <s v="Corporate"/>
    <s v="Store"/>
    <x v="0"/>
    <x v="0"/>
    <n v="85000"/>
    <n v="5"/>
    <x v="2"/>
    <n v="68000"/>
    <n v="425000"/>
    <x v="58"/>
    <n v="85000"/>
    <n v="1617"/>
  </r>
  <r>
    <s v="2025-01-04"/>
    <x v="0"/>
    <s v="Saturday"/>
    <x v="2"/>
    <x v="1"/>
    <s v="Retail"/>
    <s v="Online"/>
    <x v="9"/>
    <x v="1"/>
    <n v="220000"/>
    <n v="1"/>
    <x v="4"/>
    <n v="176000"/>
    <n v="220000"/>
    <x v="25"/>
    <n v="44000"/>
    <n v="1618"/>
  </r>
  <r>
    <s v="2025-02-25"/>
    <x v="2"/>
    <s v="Tuesday"/>
    <x v="1"/>
    <x v="1"/>
    <s v="Retail"/>
    <s v="Store"/>
    <x v="4"/>
    <x v="1"/>
    <n v="180000"/>
    <n v="2"/>
    <x v="2"/>
    <n v="144000"/>
    <n v="360000"/>
    <x v="50"/>
    <n v="72000"/>
    <n v="1619"/>
  </r>
  <r>
    <s v="2025-03-13"/>
    <x v="3"/>
    <s v="Thursday"/>
    <x v="1"/>
    <x v="1"/>
    <s v="Corporate"/>
    <s v="Store"/>
    <x v="6"/>
    <x v="2"/>
    <n v="150000"/>
    <n v="1"/>
    <x v="3"/>
    <n v="120000"/>
    <n v="150000"/>
    <x v="26"/>
    <n v="30000"/>
    <n v="1620"/>
  </r>
  <r>
    <s v="2025-03-28"/>
    <x v="3"/>
    <s v="Friday"/>
    <x v="0"/>
    <x v="2"/>
    <s v="Retail"/>
    <s v="Store"/>
    <x v="4"/>
    <x v="1"/>
    <n v="180000"/>
    <n v="2"/>
    <x v="1"/>
    <n v="144000"/>
    <n v="360000"/>
    <x v="50"/>
    <n v="72000"/>
    <n v="1621"/>
  </r>
  <r>
    <s v="2025-05-01"/>
    <x v="4"/>
    <s v="Thursday"/>
    <x v="3"/>
    <x v="3"/>
    <s v="Corporate"/>
    <s v="Online"/>
    <x v="5"/>
    <x v="0"/>
    <n v="320000"/>
    <n v="4"/>
    <x v="5"/>
    <n v="256000"/>
    <n v="1280000"/>
    <x v="6"/>
    <n v="256000"/>
    <n v="1622"/>
  </r>
  <r>
    <s v="2025-01-16"/>
    <x v="0"/>
    <s v="Thursday"/>
    <x v="3"/>
    <x v="3"/>
    <s v="Retail"/>
    <s v="Store"/>
    <x v="6"/>
    <x v="2"/>
    <n v="150000"/>
    <n v="10"/>
    <x v="0"/>
    <n v="120000"/>
    <n v="1500000"/>
    <x v="17"/>
    <n v="300000"/>
    <n v="1623"/>
  </r>
  <r>
    <s v="2025-02-15"/>
    <x v="2"/>
    <s v="Saturday"/>
    <x v="2"/>
    <x v="2"/>
    <s v="Corporate"/>
    <s v="Store"/>
    <x v="1"/>
    <x v="1"/>
    <n v="30000"/>
    <n v="3"/>
    <x v="3"/>
    <n v="24000"/>
    <n v="90000"/>
    <x v="33"/>
    <n v="18000"/>
    <n v="1624"/>
  </r>
  <r>
    <s v="2025-03-24"/>
    <x v="3"/>
    <s v="Monday"/>
    <x v="2"/>
    <x v="2"/>
    <s v="Retail"/>
    <s v="Store"/>
    <x v="0"/>
    <x v="0"/>
    <n v="85000"/>
    <n v="4"/>
    <x v="3"/>
    <n v="68000"/>
    <n v="340000"/>
    <x v="74"/>
    <n v="68000"/>
    <n v="1625"/>
  </r>
  <r>
    <s v="2025-04-26"/>
    <x v="1"/>
    <s v="Saturday"/>
    <x v="0"/>
    <x v="3"/>
    <s v="Retail"/>
    <s v="Store"/>
    <x v="4"/>
    <x v="1"/>
    <n v="180000"/>
    <n v="10"/>
    <x v="3"/>
    <n v="144000"/>
    <n v="1800000"/>
    <x v="5"/>
    <n v="360000"/>
    <n v="1626"/>
  </r>
  <r>
    <s v="2025-03-25"/>
    <x v="3"/>
    <s v="Tuesday"/>
    <x v="0"/>
    <x v="1"/>
    <s v="Corporate"/>
    <s v="Store"/>
    <x v="5"/>
    <x v="0"/>
    <n v="320000"/>
    <n v="9"/>
    <x v="4"/>
    <n v="256000"/>
    <n v="2880000"/>
    <x v="8"/>
    <n v="576000"/>
    <n v="1627"/>
  </r>
  <r>
    <s v="2025-04-15"/>
    <x v="1"/>
    <s v="Tuesday"/>
    <x v="2"/>
    <x v="1"/>
    <s v="Corporate"/>
    <s v="Online"/>
    <x v="6"/>
    <x v="2"/>
    <n v="150000"/>
    <n v="3"/>
    <x v="5"/>
    <n v="120000"/>
    <n v="450000"/>
    <x v="34"/>
    <n v="90000"/>
    <n v="1628"/>
  </r>
  <r>
    <s v="2025-04-22"/>
    <x v="1"/>
    <s v="Tuesday"/>
    <x v="3"/>
    <x v="1"/>
    <s v="Retail"/>
    <s v="Online"/>
    <x v="9"/>
    <x v="1"/>
    <n v="220000"/>
    <n v="5"/>
    <x v="5"/>
    <n v="176000"/>
    <n v="1100000"/>
    <x v="51"/>
    <n v="220000"/>
    <n v="1629"/>
  </r>
  <r>
    <s v="2025-01-25"/>
    <x v="0"/>
    <s v="Saturday"/>
    <x v="3"/>
    <x v="3"/>
    <s v="Corporate"/>
    <s v="Store"/>
    <x v="3"/>
    <x v="2"/>
    <n v="300000"/>
    <n v="2"/>
    <x v="0"/>
    <n v="240000"/>
    <n v="600000"/>
    <x v="4"/>
    <n v="120000"/>
    <n v="1630"/>
  </r>
  <r>
    <s v="2025-01-15"/>
    <x v="0"/>
    <s v="Wednesday"/>
    <x v="1"/>
    <x v="0"/>
    <s v="Corporate"/>
    <s v="Online"/>
    <x v="3"/>
    <x v="2"/>
    <n v="300000"/>
    <n v="6"/>
    <x v="5"/>
    <n v="240000"/>
    <n v="1800000"/>
    <x v="5"/>
    <n v="360000"/>
    <n v="1631"/>
  </r>
  <r>
    <s v="2025-03-13"/>
    <x v="3"/>
    <s v="Thursday"/>
    <x v="3"/>
    <x v="3"/>
    <s v="Corporate"/>
    <s v="Online"/>
    <x v="4"/>
    <x v="1"/>
    <n v="180000"/>
    <n v="7"/>
    <x v="5"/>
    <n v="144000"/>
    <n v="1260000"/>
    <x v="55"/>
    <n v="252000"/>
    <n v="1632"/>
  </r>
  <r>
    <s v="2025-03-06"/>
    <x v="3"/>
    <s v="Thursday"/>
    <x v="0"/>
    <x v="2"/>
    <s v="Corporate"/>
    <s v="Store"/>
    <x v="5"/>
    <x v="0"/>
    <n v="320000"/>
    <n v="6"/>
    <x v="0"/>
    <n v="256000"/>
    <n v="1920000"/>
    <x v="31"/>
    <n v="384000"/>
    <n v="1633"/>
  </r>
  <r>
    <s v="2025-03-13"/>
    <x v="3"/>
    <s v="Thursday"/>
    <x v="3"/>
    <x v="1"/>
    <s v="Retail"/>
    <s v="Store"/>
    <x v="8"/>
    <x v="2"/>
    <n v="250000"/>
    <n v="5"/>
    <x v="3"/>
    <n v="200000"/>
    <n v="1250000"/>
    <x v="21"/>
    <n v="250000"/>
    <n v="1634"/>
  </r>
  <r>
    <s v="2025-01-27"/>
    <x v="0"/>
    <s v="Monday"/>
    <x v="0"/>
    <x v="1"/>
    <s v="Retail"/>
    <s v="Online"/>
    <x v="3"/>
    <x v="2"/>
    <n v="300000"/>
    <n v="3"/>
    <x v="5"/>
    <n v="240000"/>
    <n v="900000"/>
    <x v="48"/>
    <n v="180000"/>
    <n v="1635"/>
  </r>
  <r>
    <s v="2025-01-19"/>
    <x v="0"/>
    <s v="Sunday"/>
    <x v="0"/>
    <x v="3"/>
    <s v="Retail"/>
    <s v="Store"/>
    <x v="4"/>
    <x v="1"/>
    <n v="180000"/>
    <n v="8"/>
    <x v="5"/>
    <n v="144000"/>
    <n v="1440000"/>
    <x v="37"/>
    <n v="288000"/>
    <n v="1636"/>
  </r>
  <r>
    <s v="2025-03-02"/>
    <x v="3"/>
    <s v="Sunday"/>
    <x v="1"/>
    <x v="3"/>
    <s v="Retail"/>
    <s v="Store"/>
    <x v="5"/>
    <x v="0"/>
    <n v="320000"/>
    <n v="5"/>
    <x v="1"/>
    <n v="256000"/>
    <n v="1600000"/>
    <x v="28"/>
    <n v="320000"/>
    <n v="1637"/>
  </r>
  <r>
    <s v="2025-03-08"/>
    <x v="3"/>
    <s v="Saturday"/>
    <x v="0"/>
    <x v="3"/>
    <s v="Retail"/>
    <s v="Online"/>
    <x v="8"/>
    <x v="2"/>
    <n v="250000"/>
    <n v="7"/>
    <x v="1"/>
    <n v="200000"/>
    <n v="1750000"/>
    <x v="59"/>
    <n v="350000"/>
    <n v="1638"/>
  </r>
  <r>
    <s v="2025-03-23"/>
    <x v="3"/>
    <s v="Sunday"/>
    <x v="0"/>
    <x v="1"/>
    <s v="Retail"/>
    <s v="Store"/>
    <x v="3"/>
    <x v="2"/>
    <n v="300000"/>
    <n v="8"/>
    <x v="0"/>
    <n v="240000"/>
    <n v="2400000"/>
    <x v="24"/>
    <n v="480000"/>
    <n v="1639"/>
  </r>
  <r>
    <s v="2025-01-17"/>
    <x v="0"/>
    <s v="Friday"/>
    <x v="0"/>
    <x v="1"/>
    <s v="Corporate"/>
    <s v="Online"/>
    <x v="7"/>
    <x v="2"/>
    <n v="420000"/>
    <n v="4"/>
    <x v="5"/>
    <n v="336000"/>
    <n v="1680000"/>
    <x v="45"/>
    <n v="336000"/>
    <n v="1640"/>
  </r>
  <r>
    <s v="2025-02-25"/>
    <x v="2"/>
    <s v="Tuesday"/>
    <x v="0"/>
    <x v="0"/>
    <s v="Corporate"/>
    <s v="Store"/>
    <x v="8"/>
    <x v="2"/>
    <n v="250000"/>
    <n v="6"/>
    <x v="2"/>
    <n v="200000"/>
    <n v="1500000"/>
    <x v="17"/>
    <n v="300000"/>
    <n v="1641"/>
  </r>
  <r>
    <s v="2025-02-08"/>
    <x v="2"/>
    <s v="Saturday"/>
    <x v="1"/>
    <x v="3"/>
    <s v="Retail"/>
    <s v="Online"/>
    <x v="6"/>
    <x v="2"/>
    <n v="150000"/>
    <n v="3"/>
    <x v="2"/>
    <n v="120000"/>
    <n v="450000"/>
    <x v="34"/>
    <n v="90000"/>
    <n v="1642"/>
  </r>
  <r>
    <s v="2025-02-25"/>
    <x v="2"/>
    <s v="Tuesday"/>
    <x v="3"/>
    <x v="0"/>
    <s v="Corporate"/>
    <s v="Store"/>
    <x v="3"/>
    <x v="2"/>
    <n v="300000"/>
    <n v="6"/>
    <x v="4"/>
    <n v="240000"/>
    <n v="1800000"/>
    <x v="5"/>
    <n v="360000"/>
    <n v="1643"/>
  </r>
  <r>
    <s v="2025-01-24"/>
    <x v="0"/>
    <s v="Friday"/>
    <x v="2"/>
    <x v="0"/>
    <s v="Retail"/>
    <s v="Store"/>
    <x v="4"/>
    <x v="1"/>
    <n v="180000"/>
    <n v="2"/>
    <x v="2"/>
    <n v="144000"/>
    <n v="360000"/>
    <x v="50"/>
    <n v="72000"/>
    <n v="1644"/>
  </r>
  <r>
    <s v="2025-02-21"/>
    <x v="2"/>
    <s v="Friday"/>
    <x v="1"/>
    <x v="1"/>
    <s v="Corporate"/>
    <s v="Store"/>
    <x v="6"/>
    <x v="2"/>
    <n v="150000"/>
    <n v="6"/>
    <x v="1"/>
    <n v="120000"/>
    <n v="900000"/>
    <x v="48"/>
    <n v="180000"/>
    <n v="1645"/>
  </r>
  <r>
    <s v="2025-03-31"/>
    <x v="3"/>
    <s v="Monday"/>
    <x v="2"/>
    <x v="2"/>
    <s v="Retail"/>
    <s v="Store"/>
    <x v="2"/>
    <x v="1"/>
    <n v="60000"/>
    <n v="8"/>
    <x v="4"/>
    <n v="48000"/>
    <n v="480000"/>
    <x v="47"/>
    <n v="96000"/>
    <n v="1646"/>
  </r>
  <r>
    <s v="2025-03-19"/>
    <x v="3"/>
    <s v="Wednesday"/>
    <x v="0"/>
    <x v="1"/>
    <s v="Retail"/>
    <s v="Store"/>
    <x v="9"/>
    <x v="1"/>
    <n v="220000"/>
    <n v="9"/>
    <x v="2"/>
    <n v="176000"/>
    <n v="1980000"/>
    <x v="64"/>
    <n v="396000"/>
    <n v="1647"/>
  </r>
  <r>
    <s v="2025-03-14"/>
    <x v="3"/>
    <s v="Friday"/>
    <x v="3"/>
    <x v="3"/>
    <s v="Corporate"/>
    <s v="Online"/>
    <x v="3"/>
    <x v="2"/>
    <n v="300000"/>
    <n v="9"/>
    <x v="3"/>
    <n v="240000"/>
    <n v="2700000"/>
    <x v="39"/>
    <n v="540000"/>
    <n v="1648"/>
  </r>
  <r>
    <s v="2025-01-11"/>
    <x v="0"/>
    <s v="Saturday"/>
    <x v="0"/>
    <x v="3"/>
    <s v="Retail"/>
    <s v="Online"/>
    <x v="7"/>
    <x v="2"/>
    <n v="420000"/>
    <n v="1"/>
    <x v="4"/>
    <n v="336000"/>
    <n v="420000"/>
    <x v="40"/>
    <n v="84000"/>
    <n v="1649"/>
  </r>
  <r>
    <s v="2025-03-28"/>
    <x v="3"/>
    <s v="Friday"/>
    <x v="2"/>
    <x v="3"/>
    <s v="Retail"/>
    <s v="Store"/>
    <x v="9"/>
    <x v="1"/>
    <n v="220000"/>
    <n v="6"/>
    <x v="3"/>
    <n v="176000"/>
    <n v="1320000"/>
    <x v="36"/>
    <n v="264000"/>
    <n v="1650"/>
  </r>
  <r>
    <s v="2025-03-13"/>
    <x v="3"/>
    <s v="Thursday"/>
    <x v="0"/>
    <x v="1"/>
    <s v="Retail"/>
    <s v="Store"/>
    <x v="1"/>
    <x v="1"/>
    <n v="30000"/>
    <n v="5"/>
    <x v="2"/>
    <n v="24000"/>
    <n v="150000"/>
    <x v="26"/>
    <n v="30000"/>
    <n v="1651"/>
  </r>
  <r>
    <s v="2025-03-29"/>
    <x v="3"/>
    <s v="Saturday"/>
    <x v="3"/>
    <x v="2"/>
    <s v="Corporate"/>
    <s v="Online"/>
    <x v="1"/>
    <x v="1"/>
    <n v="30000"/>
    <n v="9"/>
    <x v="2"/>
    <n v="24000"/>
    <n v="270000"/>
    <x v="57"/>
    <n v="54000"/>
    <n v="1652"/>
  </r>
  <r>
    <s v="2025-02-21"/>
    <x v="2"/>
    <s v="Friday"/>
    <x v="2"/>
    <x v="0"/>
    <s v="Retail"/>
    <s v="Online"/>
    <x v="8"/>
    <x v="2"/>
    <n v="250000"/>
    <n v="1"/>
    <x v="3"/>
    <n v="200000"/>
    <n v="250000"/>
    <x v="44"/>
    <n v="50000"/>
    <n v="1653"/>
  </r>
  <r>
    <s v="2025-03-30"/>
    <x v="3"/>
    <s v="Sunday"/>
    <x v="2"/>
    <x v="3"/>
    <s v="Retail"/>
    <s v="Online"/>
    <x v="9"/>
    <x v="1"/>
    <n v="220000"/>
    <n v="8"/>
    <x v="1"/>
    <n v="176000"/>
    <n v="1760000"/>
    <x v="42"/>
    <n v="352000"/>
    <n v="1654"/>
  </r>
  <r>
    <s v="2025-02-15"/>
    <x v="2"/>
    <s v="Saturday"/>
    <x v="1"/>
    <x v="1"/>
    <s v="Retail"/>
    <s v="Online"/>
    <x v="7"/>
    <x v="2"/>
    <n v="420000"/>
    <n v="8"/>
    <x v="5"/>
    <n v="336000"/>
    <n v="3360000"/>
    <x v="19"/>
    <n v="672000"/>
    <n v="1655"/>
  </r>
  <r>
    <s v="2025-03-10"/>
    <x v="3"/>
    <s v="Monday"/>
    <x v="3"/>
    <x v="2"/>
    <s v="Retail"/>
    <s v="Online"/>
    <x v="3"/>
    <x v="2"/>
    <n v="300000"/>
    <n v="10"/>
    <x v="3"/>
    <n v="240000"/>
    <n v="3000000"/>
    <x v="68"/>
    <n v="600000"/>
    <n v="1656"/>
  </r>
  <r>
    <s v="2025-04-14"/>
    <x v="1"/>
    <s v="Monday"/>
    <x v="3"/>
    <x v="3"/>
    <s v="Retail"/>
    <s v="Online"/>
    <x v="6"/>
    <x v="2"/>
    <n v="150000"/>
    <n v="1"/>
    <x v="3"/>
    <n v="120000"/>
    <n v="150000"/>
    <x v="26"/>
    <n v="30000"/>
    <n v="1657"/>
  </r>
  <r>
    <s v="2025-01-27"/>
    <x v="0"/>
    <s v="Monday"/>
    <x v="3"/>
    <x v="3"/>
    <s v="Retail"/>
    <s v="Store"/>
    <x v="9"/>
    <x v="1"/>
    <n v="220000"/>
    <n v="6"/>
    <x v="2"/>
    <n v="176000"/>
    <n v="1320000"/>
    <x v="36"/>
    <n v="264000"/>
    <n v="1658"/>
  </r>
  <r>
    <s v="2025-01-06"/>
    <x v="0"/>
    <s v="Monday"/>
    <x v="3"/>
    <x v="1"/>
    <s v="Corporate"/>
    <s v="Online"/>
    <x v="4"/>
    <x v="1"/>
    <n v="180000"/>
    <n v="3"/>
    <x v="5"/>
    <n v="144000"/>
    <n v="540000"/>
    <x v="46"/>
    <n v="108000"/>
    <n v="1659"/>
  </r>
  <r>
    <s v="2025-01-20"/>
    <x v="0"/>
    <s v="Monday"/>
    <x v="3"/>
    <x v="0"/>
    <s v="Retail"/>
    <s v="Store"/>
    <x v="2"/>
    <x v="1"/>
    <n v="60000"/>
    <n v="10"/>
    <x v="3"/>
    <n v="48000"/>
    <n v="600000"/>
    <x v="4"/>
    <n v="120000"/>
    <n v="1660"/>
  </r>
  <r>
    <s v="2025-04-16"/>
    <x v="1"/>
    <s v="Wednesday"/>
    <x v="2"/>
    <x v="0"/>
    <s v="Corporate"/>
    <s v="Online"/>
    <x v="9"/>
    <x v="1"/>
    <n v="220000"/>
    <n v="1"/>
    <x v="4"/>
    <n v="176000"/>
    <n v="220000"/>
    <x v="25"/>
    <n v="44000"/>
    <n v="1661"/>
  </r>
  <r>
    <s v="2025-04-19"/>
    <x v="1"/>
    <s v="Saturday"/>
    <x v="3"/>
    <x v="2"/>
    <s v="Retail"/>
    <s v="Store"/>
    <x v="8"/>
    <x v="2"/>
    <n v="250000"/>
    <n v="5"/>
    <x v="2"/>
    <n v="200000"/>
    <n v="1250000"/>
    <x v="21"/>
    <n v="250000"/>
    <n v="1662"/>
  </r>
  <r>
    <s v="2025-04-03"/>
    <x v="1"/>
    <s v="Thursday"/>
    <x v="2"/>
    <x v="1"/>
    <s v="Corporate"/>
    <s v="Store"/>
    <x v="8"/>
    <x v="2"/>
    <n v="250000"/>
    <n v="8"/>
    <x v="3"/>
    <n v="200000"/>
    <n v="2000000"/>
    <x v="52"/>
    <n v="400000"/>
    <n v="1663"/>
  </r>
  <r>
    <s v="2025-01-13"/>
    <x v="0"/>
    <s v="Monday"/>
    <x v="0"/>
    <x v="3"/>
    <s v="Corporate"/>
    <s v="Online"/>
    <x v="6"/>
    <x v="2"/>
    <n v="150000"/>
    <n v="4"/>
    <x v="1"/>
    <n v="120000"/>
    <n v="600000"/>
    <x v="4"/>
    <n v="120000"/>
    <n v="1664"/>
  </r>
  <r>
    <s v="2025-03-11"/>
    <x v="3"/>
    <s v="Tuesday"/>
    <x v="2"/>
    <x v="1"/>
    <s v="Retail"/>
    <s v="Online"/>
    <x v="9"/>
    <x v="1"/>
    <n v="220000"/>
    <n v="3"/>
    <x v="4"/>
    <n v="176000"/>
    <n v="660000"/>
    <x v="49"/>
    <n v="132000"/>
    <n v="1665"/>
  </r>
  <r>
    <s v="2025-01-20"/>
    <x v="0"/>
    <s v="Monday"/>
    <x v="2"/>
    <x v="2"/>
    <s v="Retail"/>
    <s v="Online"/>
    <x v="4"/>
    <x v="1"/>
    <n v="180000"/>
    <n v="7"/>
    <x v="4"/>
    <n v="144000"/>
    <n v="1260000"/>
    <x v="55"/>
    <n v="252000"/>
    <n v="1666"/>
  </r>
  <r>
    <s v="2025-01-08"/>
    <x v="0"/>
    <s v="Wednesday"/>
    <x v="2"/>
    <x v="1"/>
    <s v="Corporate"/>
    <s v="Store"/>
    <x v="6"/>
    <x v="2"/>
    <n v="150000"/>
    <n v="4"/>
    <x v="3"/>
    <n v="120000"/>
    <n v="600000"/>
    <x v="4"/>
    <n v="120000"/>
    <n v="1667"/>
  </r>
  <r>
    <s v="2025-02-24"/>
    <x v="2"/>
    <s v="Monday"/>
    <x v="1"/>
    <x v="2"/>
    <s v="Corporate"/>
    <s v="Online"/>
    <x v="6"/>
    <x v="2"/>
    <n v="150000"/>
    <n v="10"/>
    <x v="1"/>
    <n v="120000"/>
    <n v="1500000"/>
    <x v="17"/>
    <n v="300000"/>
    <n v="1668"/>
  </r>
  <r>
    <s v="2025-02-26"/>
    <x v="2"/>
    <s v="Wednesday"/>
    <x v="0"/>
    <x v="1"/>
    <s v="Retail"/>
    <s v="Online"/>
    <x v="6"/>
    <x v="2"/>
    <n v="150000"/>
    <n v="1"/>
    <x v="5"/>
    <n v="120000"/>
    <n v="150000"/>
    <x v="26"/>
    <n v="30000"/>
    <n v="1669"/>
  </r>
  <r>
    <s v="2025-02-24"/>
    <x v="2"/>
    <s v="Monday"/>
    <x v="3"/>
    <x v="2"/>
    <s v="Corporate"/>
    <s v="Store"/>
    <x v="6"/>
    <x v="2"/>
    <n v="150000"/>
    <n v="4"/>
    <x v="1"/>
    <n v="120000"/>
    <n v="600000"/>
    <x v="4"/>
    <n v="120000"/>
    <n v="1670"/>
  </r>
  <r>
    <s v="2025-03-26"/>
    <x v="3"/>
    <s v="Wednesday"/>
    <x v="0"/>
    <x v="2"/>
    <s v="Corporate"/>
    <s v="Online"/>
    <x v="2"/>
    <x v="1"/>
    <n v="60000"/>
    <n v="5"/>
    <x v="4"/>
    <n v="48000"/>
    <n v="300000"/>
    <x v="11"/>
    <n v="60000"/>
    <n v="1671"/>
  </r>
  <r>
    <s v="2025-02-22"/>
    <x v="2"/>
    <s v="Saturday"/>
    <x v="2"/>
    <x v="3"/>
    <s v="Retail"/>
    <s v="Store"/>
    <x v="9"/>
    <x v="1"/>
    <n v="220000"/>
    <n v="7"/>
    <x v="0"/>
    <n v="176000"/>
    <n v="1540000"/>
    <x v="67"/>
    <n v="308000"/>
    <n v="1672"/>
  </r>
  <r>
    <s v="2025-01-04"/>
    <x v="0"/>
    <s v="Saturday"/>
    <x v="3"/>
    <x v="1"/>
    <s v="Retail"/>
    <s v="Store"/>
    <x v="6"/>
    <x v="2"/>
    <n v="150000"/>
    <n v="4"/>
    <x v="5"/>
    <n v="120000"/>
    <n v="600000"/>
    <x v="4"/>
    <n v="120000"/>
    <n v="1673"/>
  </r>
  <r>
    <s v="2025-04-19"/>
    <x v="1"/>
    <s v="Saturday"/>
    <x v="1"/>
    <x v="2"/>
    <s v="Corporate"/>
    <s v="Online"/>
    <x v="5"/>
    <x v="0"/>
    <n v="320000"/>
    <n v="6"/>
    <x v="0"/>
    <n v="256000"/>
    <n v="1920000"/>
    <x v="31"/>
    <n v="384000"/>
    <n v="1674"/>
  </r>
  <r>
    <s v="2025-03-16"/>
    <x v="3"/>
    <s v="Sunday"/>
    <x v="2"/>
    <x v="0"/>
    <s v="Retail"/>
    <s v="Store"/>
    <x v="5"/>
    <x v="0"/>
    <n v="320000"/>
    <n v="6"/>
    <x v="4"/>
    <n v="256000"/>
    <n v="1920000"/>
    <x v="31"/>
    <n v="384000"/>
    <n v="1675"/>
  </r>
  <r>
    <s v="2025-02-27"/>
    <x v="2"/>
    <s v="Thursday"/>
    <x v="0"/>
    <x v="0"/>
    <s v="Corporate"/>
    <s v="Store"/>
    <x v="2"/>
    <x v="1"/>
    <n v="60000"/>
    <n v="4"/>
    <x v="4"/>
    <n v="48000"/>
    <n v="240000"/>
    <x v="1"/>
    <n v="48000"/>
    <n v="1676"/>
  </r>
  <r>
    <s v="2025-04-02"/>
    <x v="1"/>
    <s v="Wednesday"/>
    <x v="3"/>
    <x v="1"/>
    <s v="Retail"/>
    <s v="Online"/>
    <x v="0"/>
    <x v="0"/>
    <n v="85000"/>
    <n v="8"/>
    <x v="1"/>
    <n v="68000"/>
    <n v="680000"/>
    <x v="69"/>
    <n v="136000"/>
    <n v="1677"/>
  </r>
  <r>
    <s v="2025-02-28"/>
    <x v="2"/>
    <s v="Friday"/>
    <x v="2"/>
    <x v="2"/>
    <s v="Corporate"/>
    <s v="Online"/>
    <x v="0"/>
    <x v="0"/>
    <n v="85000"/>
    <n v="2"/>
    <x v="5"/>
    <n v="68000"/>
    <n v="170000"/>
    <x v="2"/>
    <n v="34000"/>
    <n v="1678"/>
  </r>
  <r>
    <s v="2025-02-09"/>
    <x v="2"/>
    <s v="Sunday"/>
    <x v="3"/>
    <x v="2"/>
    <s v="Corporate"/>
    <s v="Store"/>
    <x v="0"/>
    <x v="0"/>
    <n v="85000"/>
    <n v="9"/>
    <x v="0"/>
    <n v="68000"/>
    <n v="765000"/>
    <x v="18"/>
    <n v="153000"/>
    <n v="1679"/>
  </r>
  <r>
    <s v="2025-03-18"/>
    <x v="3"/>
    <s v="Tuesday"/>
    <x v="2"/>
    <x v="2"/>
    <s v="Retail"/>
    <s v="Store"/>
    <x v="7"/>
    <x v="2"/>
    <n v="420000"/>
    <n v="3"/>
    <x v="3"/>
    <n v="336000"/>
    <n v="1260000"/>
    <x v="55"/>
    <n v="252000"/>
    <n v="1680"/>
  </r>
  <r>
    <s v="2025-03-02"/>
    <x v="3"/>
    <s v="Sunday"/>
    <x v="3"/>
    <x v="1"/>
    <s v="Retail"/>
    <s v="Online"/>
    <x v="3"/>
    <x v="2"/>
    <n v="300000"/>
    <n v="5"/>
    <x v="3"/>
    <n v="240000"/>
    <n v="1500000"/>
    <x v="17"/>
    <n v="300000"/>
    <n v="1681"/>
  </r>
  <r>
    <s v="2025-03-19"/>
    <x v="3"/>
    <s v="Wednesday"/>
    <x v="1"/>
    <x v="2"/>
    <s v="Corporate"/>
    <s v="Store"/>
    <x v="1"/>
    <x v="1"/>
    <n v="30000"/>
    <n v="1"/>
    <x v="0"/>
    <n v="24000"/>
    <n v="30000"/>
    <x v="75"/>
    <n v="6000"/>
    <n v="1682"/>
  </r>
  <r>
    <s v="2025-01-27"/>
    <x v="0"/>
    <s v="Monday"/>
    <x v="0"/>
    <x v="3"/>
    <s v="Corporate"/>
    <s v="Store"/>
    <x v="9"/>
    <x v="1"/>
    <n v="220000"/>
    <n v="8"/>
    <x v="4"/>
    <n v="176000"/>
    <n v="1760000"/>
    <x v="42"/>
    <n v="352000"/>
    <n v="1683"/>
  </r>
  <r>
    <s v="2025-03-08"/>
    <x v="3"/>
    <s v="Saturday"/>
    <x v="3"/>
    <x v="0"/>
    <s v="Corporate"/>
    <s v="Online"/>
    <x v="5"/>
    <x v="0"/>
    <n v="320000"/>
    <n v="5"/>
    <x v="0"/>
    <n v="256000"/>
    <n v="1600000"/>
    <x v="28"/>
    <n v="320000"/>
    <n v="1684"/>
  </r>
  <r>
    <s v="2025-03-07"/>
    <x v="3"/>
    <s v="Friday"/>
    <x v="1"/>
    <x v="1"/>
    <s v="Corporate"/>
    <s v="Online"/>
    <x v="3"/>
    <x v="2"/>
    <n v="300000"/>
    <n v="10"/>
    <x v="3"/>
    <n v="240000"/>
    <n v="3000000"/>
    <x v="68"/>
    <n v="600000"/>
    <n v="1685"/>
  </r>
  <r>
    <s v="2025-03-30"/>
    <x v="3"/>
    <s v="Sunday"/>
    <x v="3"/>
    <x v="0"/>
    <s v="Retail"/>
    <s v="Store"/>
    <x v="9"/>
    <x v="1"/>
    <n v="220000"/>
    <n v="1"/>
    <x v="0"/>
    <n v="176000"/>
    <n v="220000"/>
    <x v="25"/>
    <n v="44000"/>
    <n v="1686"/>
  </r>
  <r>
    <s v="2025-01-05"/>
    <x v="0"/>
    <s v="Sunday"/>
    <x v="2"/>
    <x v="2"/>
    <s v="Corporate"/>
    <s v="Online"/>
    <x v="1"/>
    <x v="1"/>
    <n v="30000"/>
    <n v="6"/>
    <x v="1"/>
    <n v="24000"/>
    <n v="180000"/>
    <x v="32"/>
    <n v="36000"/>
    <n v="1687"/>
  </r>
  <r>
    <s v="2025-02-17"/>
    <x v="2"/>
    <s v="Monday"/>
    <x v="3"/>
    <x v="1"/>
    <s v="Retail"/>
    <s v="Online"/>
    <x v="7"/>
    <x v="2"/>
    <n v="420000"/>
    <n v="1"/>
    <x v="5"/>
    <n v="336000"/>
    <n v="420000"/>
    <x v="40"/>
    <n v="84000"/>
    <n v="1688"/>
  </r>
  <r>
    <s v="2025-01-08"/>
    <x v="0"/>
    <s v="Wednesday"/>
    <x v="2"/>
    <x v="3"/>
    <s v="Corporate"/>
    <s v="Store"/>
    <x v="7"/>
    <x v="2"/>
    <n v="420000"/>
    <n v="6"/>
    <x v="4"/>
    <n v="336000"/>
    <n v="2520000"/>
    <x v="76"/>
    <n v="504000"/>
    <n v="1689"/>
  </r>
  <r>
    <s v="2025-03-11"/>
    <x v="3"/>
    <s v="Tuesday"/>
    <x v="2"/>
    <x v="3"/>
    <s v="Retail"/>
    <s v="Store"/>
    <x v="0"/>
    <x v="0"/>
    <n v="85000"/>
    <n v="7"/>
    <x v="3"/>
    <n v="68000"/>
    <n v="595000"/>
    <x v="30"/>
    <n v="119000"/>
    <n v="1690"/>
  </r>
  <r>
    <s v="2025-01-03"/>
    <x v="0"/>
    <s v="Friday"/>
    <x v="2"/>
    <x v="1"/>
    <s v="Corporate"/>
    <s v="Store"/>
    <x v="6"/>
    <x v="2"/>
    <n v="150000"/>
    <n v="7"/>
    <x v="5"/>
    <n v="120000"/>
    <n v="1050000"/>
    <x v="16"/>
    <n v="210000"/>
    <n v="1691"/>
  </r>
  <r>
    <s v="2025-01-04"/>
    <x v="0"/>
    <s v="Saturday"/>
    <x v="0"/>
    <x v="1"/>
    <s v="Retail"/>
    <s v="Store"/>
    <x v="6"/>
    <x v="2"/>
    <n v="150000"/>
    <n v="10"/>
    <x v="0"/>
    <n v="120000"/>
    <n v="1500000"/>
    <x v="17"/>
    <n v="300000"/>
    <n v="1692"/>
  </r>
  <r>
    <s v="2025-03-07"/>
    <x v="3"/>
    <s v="Friday"/>
    <x v="1"/>
    <x v="0"/>
    <s v="Retail"/>
    <s v="Store"/>
    <x v="1"/>
    <x v="1"/>
    <n v="30000"/>
    <n v="9"/>
    <x v="0"/>
    <n v="24000"/>
    <n v="270000"/>
    <x v="57"/>
    <n v="54000"/>
    <n v="1693"/>
  </r>
  <r>
    <s v="2025-04-01"/>
    <x v="1"/>
    <s v="Tuesday"/>
    <x v="2"/>
    <x v="2"/>
    <s v="Corporate"/>
    <s v="Online"/>
    <x v="5"/>
    <x v="0"/>
    <n v="320000"/>
    <n v="8"/>
    <x v="4"/>
    <n v="256000"/>
    <n v="2560000"/>
    <x v="72"/>
    <n v="512000"/>
    <n v="1694"/>
  </r>
  <r>
    <s v="2025-03-03"/>
    <x v="3"/>
    <s v="Monday"/>
    <x v="1"/>
    <x v="3"/>
    <s v="Retail"/>
    <s v="Store"/>
    <x v="1"/>
    <x v="1"/>
    <n v="30000"/>
    <n v="9"/>
    <x v="2"/>
    <n v="24000"/>
    <n v="270000"/>
    <x v="57"/>
    <n v="54000"/>
    <n v="1695"/>
  </r>
  <r>
    <s v="2025-04-03"/>
    <x v="1"/>
    <s v="Thursday"/>
    <x v="1"/>
    <x v="2"/>
    <s v="Corporate"/>
    <s v="Online"/>
    <x v="8"/>
    <x v="2"/>
    <n v="250000"/>
    <n v="3"/>
    <x v="1"/>
    <n v="200000"/>
    <n v="750000"/>
    <x v="56"/>
    <n v="150000"/>
    <n v="1696"/>
  </r>
  <r>
    <s v="2025-01-07"/>
    <x v="0"/>
    <s v="Tuesday"/>
    <x v="1"/>
    <x v="1"/>
    <s v="Corporate"/>
    <s v="Online"/>
    <x v="2"/>
    <x v="1"/>
    <n v="60000"/>
    <n v="2"/>
    <x v="1"/>
    <n v="48000"/>
    <n v="120000"/>
    <x v="3"/>
    <n v="24000"/>
    <n v="1697"/>
  </r>
  <r>
    <s v="2025-03-28"/>
    <x v="3"/>
    <s v="Friday"/>
    <x v="0"/>
    <x v="3"/>
    <s v="Retail"/>
    <s v="Store"/>
    <x v="5"/>
    <x v="0"/>
    <n v="320000"/>
    <n v="3"/>
    <x v="2"/>
    <n v="256000"/>
    <n v="960000"/>
    <x v="9"/>
    <n v="192000"/>
    <n v="1698"/>
  </r>
  <r>
    <s v="2025-03-11"/>
    <x v="3"/>
    <s v="Tuesday"/>
    <x v="1"/>
    <x v="2"/>
    <s v="Retail"/>
    <s v="Online"/>
    <x v="3"/>
    <x v="2"/>
    <n v="300000"/>
    <n v="9"/>
    <x v="1"/>
    <n v="240000"/>
    <n v="2700000"/>
    <x v="39"/>
    <n v="540000"/>
    <n v="1699"/>
  </r>
  <r>
    <s v="2025-01-09"/>
    <x v="0"/>
    <s v="Thursday"/>
    <x v="1"/>
    <x v="3"/>
    <s v="Retail"/>
    <s v="Online"/>
    <x v="7"/>
    <x v="2"/>
    <n v="420000"/>
    <n v="4"/>
    <x v="5"/>
    <n v="336000"/>
    <n v="1680000"/>
    <x v="45"/>
    <n v="336000"/>
    <n v="1700"/>
  </r>
  <r>
    <s v="2025-03-01"/>
    <x v="3"/>
    <s v="Saturday"/>
    <x v="0"/>
    <x v="0"/>
    <s v="Retail"/>
    <s v="Store"/>
    <x v="5"/>
    <x v="0"/>
    <n v="320000"/>
    <n v="6"/>
    <x v="3"/>
    <n v="256000"/>
    <n v="1920000"/>
    <x v="31"/>
    <n v="384000"/>
    <n v="1701"/>
  </r>
  <r>
    <s v="2025-04-30"/>
    <x v="1"/>
    <s v="Wednesday"/>
    <x v="0"/>
    <x v="3"/>
    <s v="Retail"/>
    <s v="Store"/>
    <x v="9"/>
    <x v="1"/>
    <n v="220000"/>
    <n v="4"/>
    <x v="5"/>
    <n v="176000"/>
    <n v="880000"/>
    <x v="22"/>
    <n v="176000"/>
    <n v="1702"/>
  </r>
  <r>
    <s v="2025-04-02"/>
    <x v="1"/>
    <s v="Wednesday"/>
    <x v="2"/>
    <x v="3"/>
    <s v="Retail"/>
    <s v="Store"/>
    <x v="0"/>
    <x v="0"/>
    <n v="85000"/>
    <n v="8"/>
    <x v="1"/>
    <n v="68000"/>
    <n v="680000"/>
    <x v="69"/>
    <n v="136000"/>
    <n v="1703"/>
  </r>
  <r>
    <s v="2025-04-14"/>
    <x v="1"/>
    <s v="Monday"/>
    <x v="0"/>
    <x v="0"/>
    <s v="Retail"/>
    <s v="Store"/>
    <x v="7"/>
    <x v="2"/>
    <n v="420000"/>
    <n v="7"/>
    <x v="2"/>
    <n v="336000"/>
    <n v="2940000"/>
    <x v="70"/>
    <n v="588000"/>
    <n v="1704"/>
  </r>
  <r>
    <s v="2025-01-29"/>
    <x v="0"/>
    <s v="Wednesday"/>
    <x v="1"/>
    <x v="3"/>
    <s v="Corporate"/>
    <s v="Store"/>
    <x v="9"/>
    <x v="1"/>
    <n v="220000"/>
    <n v="2"/>
    <x v="0"/>
    <n v="176000"/>
    <n v="440000"/>
    <x v="15"/>
    <n v="88000"/>
    <n v="1705"/>
  </r>
  <r>
    <s v="2025-02-10"/>
    <x v="2"/>
    <s v="Monday"/>
    <x v="3"/>
    <x v="2"/>
    <s v="Retail"/>
    <s v="Online"/>
    <x v="6"/>
    <x v="2"/>
    <n v="150000"/>
    <n v="1"/>
    <x v="3"/>
    <n v="120000"/>
    <n v="150000"/>
    <x v="26"/>
    <n v="30000"/>
    <n v="1706"/>
  </r>
  <r>
    <s v="2025-02-01"/>
    <x v="2"/>
    <s v="Saturday"/>
    <x v="3"/>
    <x v="0"/>
    <s v="Corporate"/>
    <s v="Store"/>
    <x v="7"/>
    <x v="2"/>
    <n v="420000"/>
    <n v="4"/>
    <x v="4"/>
    <n v="336000"/>
    <n v="1680000"/>
    <x v="45"/>
    <n v="336000"/>
    <n v="1707"/>
  </r>
  <r>
    <s v="2025-01-15"/>
    <x v="0"/>
    <s v="Wednesday"/>
    <x v="2"/>
    <x v="1"/>
    <s v="Corporate"/>
    <s v="Online"/>
    <x v="3"/>
    <x v="2"/>
    <n v="300000"/>
    <n v="1"/>
    <x v="2"/>
    <n v="240000"/>
    <n v="300000"/>
    <x v="11"/>
    <n v="60000"/>
    <n v="1708"/>
  </r>
  <r>
    <s v="2025-02-05"/>
    <x v="2"/>
    <s v="Wednesday"/>
    <x v="0"/>
    <x v="1"/>
    <s v="Retail"/>
    <s v="Store"/>
    <x v="3"/>
    <x v="2"/>
    <n v="300000"/>
    <n v="9"/>
    <x v="1"/>
    <n v="240000"/>
    <n v="2700000"/>
    <x v="39"/>
    <n v="540000"/>
    <n v="1709"/>
  </r>
  <r>
    <s v="2025-02-19"/>
    <x v="2"/>
    <s v="Wednesday"/>
    <x v="2"/>
    <x v="3"/>
    <s v="Retail"/>
    <s v="Online"/>
    <x v="8"/>
    <x v="2"/>
    <n v="250000"/>
    <n v="6"/>
    <x v="1"/>
    <n v="200000"/>
    <n v="1500000"/>
    <x v="17"/>
    <n v="300000"/>
    <n v="1710"/>
  </r>
  <r>
    <s v="2025-02-22"/>
    <x v="2"/>
    <s v="Saturday"/>
    <x v="3"/>
    <x v="2"/>
    <s v="Retail"/>
    <s v="Store"/>
    <x v="1"/>
    <x v="1"/>
    <n v="30000"/>
    <n v="7"/>
    <x v="2"/>
    <n v="24000"/>
    <n v="210000"/>
    <x v="54"/>
    <n v="42000"/>
    <n v="1711"/>
  </r>
  <r>
    <s v="2025-01-01"/>
    <x v="0"/>
    <s v="Wednesday"/>
    <x v="2"/>
    <x v="0"/>
    <s v="Corporate"/>
    <s v="Online"/>
    <x v="0"/>
    <x v="0"/>
    <n v="85000"/>
    <n v="7"/>
    <x v="5"/>
    <n v="68000"/>
    <n v="595000"/>
    <x v="30"/>
    <n v="119000"/>
    <n v="1712"/>
  </r>
  <r>
    <s v="2025-03-24"/>
    <x v="3"/>
    <s v="Monday"/>
    <x v="0"/>
    <x v="3"/>
    <s v="Corporate"/>
    <s v="Online"/>
    <x v="0"/>
    <x v="0"/>
    <n v="85000"/>
    <n v="7"/>
    <x v="5"/>
    <n v="68000"/>
    <n v="595000"/>
    <x v="30"/>
    <n v="119000"/>
    <n v="1713"/>
  </r>
  <r>
    <s v="2025-01-26"/>
    <x v="0"/>
    <s v="Sunday"/>
    <x v="2"/>
    <x v="2"/>
    <s v="Retail"/>
    <s v="Online"/>
    <x v="1"/>
    <x v="1"/>
    <n v="30000"/>
    <n v="4"/>
    <x v="0"/>
    <n v="24000"/>
    <n v="120000"/>
    <x v="3"/>
    <n v="24000"/>
    <n v="1714"/>
  </r>
  <r>
    <s v="2025-03-27"/>
    <x v="3"/>
    <s v="Thursday"/>
    <x v="0"/>
    <x v="2"/>
    <s v="Retail"/>
    <s v="Online"/>
    <x v="6"/>
    <x v="2"/>
    <n v="150000"/>
    <n v="9"/>
    <x v="1"/>
    <n v="120000"/>
    <n v="1350000"/>
    <x v="63"/>
    <n v="270000"/>
    <n v="1715"/>
  </r>
  <r>
    <s v="2025-04-01"/>
    <x v="1"/>
    <s v="Tuesday"/>
    <x v="3"/>
    <x v="0"/>
    <s v="Corporate"/>
    <s v="Store"/>
    <x v="9"/>
    <x v="1"/>
    <n v="220000"/>
    <n v="9"/>
    <x v="5"/>
    <n v="176000"/>
    <n v="1980000"/>
    <x v="64"/>
    <n v="396000"/>
    <n v="1716"/>
  </r>
  <r>
    <s v="2025-01-06"/>
    <x v="0"/>
    <s v="Monday"/>
    <x v="1"/>
    <x v="2"/>
    <s v="Corporate"/>
    <s v="Online"/>
    <x v="1"/>
    <x v="1"/>
    <n v="30000"/>
    <n v="8"/>
    <x v="4"/>
    <n v="24000"/>
    <n v="240000"/>
    <x v="1"/>
    <n v="48000"/>
    <n v="1717"/>
  </r>
  <r>
    <s v="2025-01-04"/>
    <x v="0"/>
    <s v="Saturday"/>
    <x v="1"/>
    <x v="2"/>
    <s v="Retail"/>
    <s v="Online"/>
    <x v="0"/>
    <x v="0"/>
    <n v="85000"/>
    <n v="2"/>
    <x v="1"/>
    <n v="68000"/>
    <n v="170000"/>
    <x v="2"/>
    <n v="34000"/>
    <n v="1718"/>
  </r>
  <r>
    <s v="2025-03-31"/>
    <x v="3"/>
    <s v="Monday"/>
    <x v="2"/>
    <x v="1"/>
    <s v="Corporate"/>
    <s v="Online"/>
    <x v="4"/>
    <x v="1"/>
    <n v="180000"/>
    <n v="9"/>
    <x v="1"/>
    <n v="144000"/>
    <n v="1620000"/>
    <x v="27"/>
    <n v="324000"/>
    <n v="1719"/>
  </r>
  <r>
    <s v="2025-02-08"/>
    <x v="2"/>
    <s v="Saturday"/>
    <x v="1"/>
    <x v="2"/>
    <s v="Retail"/>
    <s v="Online"/>
    <x v="6"/>
    <x v="2"/>
    <n v="150000"/>
    <n v="8"/>
    <x v="5"/>
    <n v="120000"/>
    <n v="1200000"/>
    <x v="29"/>
    <n v="240000"/>
    <n v="1720"/>
  </r>
  <r>
    <s v="2025-01-28"/>
    <x v="0"/>
    <s v="Tuesday"/>
    <x v="3"/>
    <x v="0"/>
    <s v="Retail"/>
    <s v="Online"/>
    <x v="2"/>
    <x v="1"/>
    <n v="60000"/>
    <n v="8"/>
    <x v="4"/>
    <n v="48000"/>
    <n v="480000"/>
    <x v="47"/>
    <n v="96000"/>
    <n v="1721"/>
  </r>
  <r>
    <s v="2025-01-04"/>
    <x v="0"/>
    <s v="Saturday"/>
    <x v="0"/>
    <x v="0"/>
    <s v="Retail"/>
    <s v="Store"/>
    <x v="3"/>
    <x v="2"/>
    <n v="300000"/>
    <n v="5"/>
    <x v="2"/>
    <n v="240000"/>
    <n v="1500000"/>
    <x v="17"/>
    <n v="300000"/>
    <n v="1722"/>
  </r>
  <r>
    <s v="2025-02-14"/>
    <x v="2"/>
    <s v="Friday"/>
    <x v="3"/>
    <x v="1"/>
    <s v="Retail"/>
    <s v="Online"/>
    <x v="1"/>
    <x v="1"/>
    <n v="30000"/>
    <n v="8"/>
    <x v="3"/>
    <n v="24000"/>
    <n v="240000"/>
    <x v="1"/>
    <n v="48000"/>
    <n v="1723"/>
  </r>
  <r>
    <s v="2025-03-07"/>
    <x v="3"/>
    <s v="Friday"/>
    <x v="3"/>
    <x v="0"/>
    <s v="Corporate"/>
    <s v="Store"/>
    <x v="7"/>
    <x v="2"/>
    <n v="420000"/>
    <n v="3"/>
    <x v="1"/>
    <n v="336000"/>
    <n v="1260000"/>
    <x v="55"/>
    <n v="252000"/>
    <n v="1724"/>
  </r>
  <r>
    <s v="2025-02-20"/>
    <x v="2"/>
    <s v="Thursday"/>
    <x v="0"/>
    <x v="0"/>
    <s v="Corporate"/>
    <s v="Online"/>
    <x v="7"/>
    <x v="2"/>
    <n v="420000"/>
    <n v="7"/>
    <x v="5"/>
    <n v="336000"/>
    <n v="2940000"/>
    <x v="70"/>
    <n v="588000"/>
    <n v="1725"/>
  </r>
  <r>
    <s v="2025-03-30"/>
    <x v="3"/>
    <s v="Sunday"/>
    <x v="1"/>
    <x v="1"/>
    <s v="Corporate"/>
    <s v="Online"/>
    <x v="0"/>
    <x v="0"/>
    <n v="85000"/>
    <n v="9"/>
    <x v="5"/>
    <n v="68000"/>
    <n v="765000"/>
    <x v="18"/>
    <n v="153000"/>
    <n v="1726"/>
  </r>
  <r>
    <s v="2025-03-26"/>
    <x v="3"/>
    <s v="Wednesday"/>
    <x v="1"/>
    <x v="1"/>
    <s v="Corporate"/>
    <s v="Online"/>
    <x v="3"/>
    <x v="2"/>
    <n v="300000"/>
    <n v="8"/>
    <x v="2"/>
    <n v="240000"/>
    <n v="2400000"/>
    <x v="24"/>
    <n v="480000"/>
    <n v="1727"/>
  </r>
  <r>
    <s v="2025-04-13"/>
    <x v="1"/>
    <s v="Sunday"/>
    <x v="3"/>
    <x v="3"/>
    <s v="Retail"/>
    <s v="Store"/>
    <x v="7"/>
    <x v="2"/>
    <n v="420000"/>
    <n v="6"/>
    <x v="0"/>
    <n v="336000"/>
    <n v="2520000"/>
    <x v="76"/>
    <n v="504000"/>
    <n v="1728"/>
  </r>
  <r>
    <s v="2025-04-02"/>
    <x v="1"/>
    <s v="Wednesday"/>
    <x v="2"/>
    <x v="3"/>
    <s v="Corporate"/>
    <s v="Online"/>
    <x v="6"/>
    <x v="2"/>
    <n v="150000"/>
    <n v="9"/>
    <x v="3"/>
    <n v="120000"/>
    <n v="1350000"/>
    <x v="63"/>
    <n v="270000"/>
    <n v="1729"/>
  </r>
  <r>
    <s v="2025-01-30"/>
    <x v="0"/>
    <s v="Thursday"/>
    <x v="1"/>
    <x v="2"/>
    <s v="Retail"/>
    <s v="Store"/>
    <x v="1"/>
    <x v="1"/>
    <n v="30000"/>
    <n v="3"/>
    <x v="2"/>
    <n v="24000"/>
    <n v="90000"/>
    <x v="33"/>
    <n v="18000"/>
    <n v="1730"/>
  </r>
  <r>
    <s v="2025-03-27"/>
    <x v="3"/>
    <s v="Thursday"/>
    <x v="1"/>
    <x v="2"/>
    <s v="Retail"/>
    <s v="Store"/>
    <x v="1"/>
    <x v="1"/>
    <n v="30000"/>
    <n v="4"/>
    <x v="4"/>
    <n v="24000"/>
    <n v="120000"/>
    <x v="3"/>
    <n v="24000"/>
    <n v="1731"/>
  </r>
  <r>
    <s v="2025-03-28"/>
    <x v="3"/>
    <s v="Friday"/>
    <x v="3"/>
    <x v="1"/>
    <s v="Corporate"/>
    <s v="Online"/>
    <x v="2"/>
    <x v="1"/>
    <n v="60000"/>
    <n v="4"/>
    <x v="4"/>
    <n v="48000"/>
    <n v="240000"/>
    <x v="1"/>
    <n v="48000"/>
    <n v="1732"/>
  </r>
  <r>
    <s v="2025-02-10"/>
    <x v="2"/>
    <s v="Monday"/>
    <x v="3"/>
    <x v="2"/>
    <s v="Retail"/>
    <s v="Store"/>
    <x v="8"/>
    <x v="2"/>
    <n v="250000"/>
    <n v="8"/>
    <x v="0"/>
    <n v="200000"/>
    <n v="2000000"/>
    <x v="52"/>
    <n v="400000"/>
    <n v="1733"/>
  </r>
  <r>
    <s v="2025-03-29"/>
    <x v="3"/>
    <s v="Saturday"/>
    <x v="3"/>
    <x v="3"/>
    <s v="Corporate"/>
    <s v="Online"/>
    <x v="1"/>
    <x v="1"/>
    <n v="30000"/>
    <n v="6"/>
    <x v="2"/>
    <n v="24000"/>
    <n v="180000"/>
    <x v="32"/>
    <n v="36000"/>
    <n v="1734"/>
  </r>
  <r>
    <s v="2025-02-13"/>
    <x v="2"/>
    <s v="Thursday"/>
    <x v="2"/>
    <x v="1"/>
    <s v="Corporate"/>
    <s v="Store"/>
    <x v="8"/>
    <x v="2"/>
    <n v="250000"/>
    <n v="1"/>
    <x v="1"/>
    <n v="200000"/>
    <n v="250000"/>
    <x v="44"/>
    <n v="50000"/>
    <n v="1735"/>
  </r>
  <r>
    <s v="2025-03-05"/>
    <x v="3"/>
    <s v="Wednesday"/>
    <x v="0"/>
    <x v="0"/>
    <s v="Retail"/>
    <s v="Online"/>
    <x v="0"/>
    <x v="0"/>
    <n v="85000"/>
    <n v="1"/>
    <x v="3"/>
    <n v="68000"/>
    <n v="85000"/>
    <x v="0"/>
    <n v="17000"/>
    <n v="1736"/>
  </r>
  <r>
    <s v="2025-02-08"/>
    <x v="2"/>
    <s v="Saturday"/>
    <x v="3"/>
    <x v="0"/>
    <s v="Corporate"/>
    <s v="Store"/>
    <x v="1"/>
    <x v="1"/>
    <n v="30000"/>
    <n v="9"/>
    <x v="0"/>
    <n v="24000"/>
    <n v="270000"/>
    <x v="57"/>
    <n v="54000"/>
    <n v="1737"/>
  </r>
  <r>
    <s v="2025-04-10"/>
    <x v="1"/>
    <s v="Thursday"/>
    <x v="2"/>
    <x v="3"/>
    <s v="Corporate"/>
    <s v="Store"/>
    <x v="1"/>
    <x v="1"/>
    <n v="30000"/>
    <n v="3"/>
    <x v="0"/>
    <n v="24000"/>
    <n v="90000"/>
    <x v="33"/>
    <n v="18000"/>
    <n v="1738"/>
  </r>
  <r>
    <s v="2025-01-21"/>
    <x v="0"/>
    <s v="Tuesday"/>
    <x v="2"/>
    <x v="0"/>
    <s v="Corporate"/>
    <s v="Store"/>
    <x v="6"/>
    <x v="2"/>
    <n v="150000"/>
    <n v="8"/>
    <x v="2"/>
    <n v="120000"/>
    <n v="1200000"/>
    <x v="29"/>
    <n v="240000"/>
    <n v="1739"/>
  </r>
  <r>
    <s v="2025-02-19"/>
    <x v="2"/>
    <s v="Wednesday"/>
    <x v="3"/>
    <x v="2"/>
    <s v="Retail"/>
    <s v="Store"/>
    <x v="0"/>
    <x v="0"/>
    <n v="85000"/>
    <n v="4"/>
    <x v="1"/>
    <n v="68000"/>
    <n v="340000"/>
    <x v="74"/>
    <n v="68000"/>
    <n v="1740"/>
  </r>
  <r>
    <s v="2025-03-17"/>
    <x v="3"/>
    <s v="Monday"/>
    <x v="0"/>
    <x v="2"/>
    <s v="Corporate"/>
    <s v="Store"/>
    <x v="5"/>
    <x v="0"/>
    <n v="320000"/>
    <n v="3"/>
    <x v="2"/>
    <n v="256000"/>
    <n v="960000"/>
    <x v="9"/>
    <n v="192000"/>
    <n v="1741"/>
  </r>
  <r>
    <s v="2025-03-29"/>
    <x v="3"/>
    <s v="Saturday"/>
    <x v="1"/>
    <x v="3"/>
    <s v="Retail"/>
    <s v="Online"/>
    <x v="2"/>
    <x v="1"/>
    <n v="60000"/>
    <n v="7"/>
    <x v="1"/>
    <n v="48000"/>
    <n v="420000"/>
    <x v="40"/>
    <n v="84000"/>
    <n v="1742"/>
  </r>
  <r>
    <s v="2025-03-21"/>
    <x v="3"/>
    <s v="Friday"/>
    <x v="1"/>
    <x v="3"/>
    <s v="Corporate"/>
    <s v="Store"/>
    <x v="3"/>
    <x v="2"/>
    <n v="300000"/>
    <n v="6"/>
    <x v="1"/>
    <n v="240000"/>
    <n v="1800000"/>
    <x v="5"/>
    <n v="360000"/>
    <n v="1743"/>
  </r>
  <r>
    <s v="2025-03-03"/>
    <x v="3"/>
    <s v="Monday"/>
    <x v="2"/>
    <x v="3"/>
    <s v="Retail"/>
    <s v="Online"/>
    <x v="6"/>
    <x v="2"/>
    <n v="150000"/>
    <n v="6"/>
    <x v="3"/>
    <n v="120000"/>
    <n v="900000"/>
    <x v="48"/>
    <n v="180000"/>
    <n v="1744"/>
  </r>
  <r>
    <s v="2025-01-13"/>
    <x v="0"/>
    <s v="Monday"/>
    <x v="2"/>
    <x v="0"/>
    <s v="Corporate"/>
    <s v="Online"/>
    <x v="3"/>
    <x v="2"/>
    <n v="300000"/>
    <n v="10"/>
    <x v="2"/>
    <n v="240000"/>
    <n v="3000000"/>
    <x v="68"/>
    <n v="600000"/>
    <n v="1745"/>
  </r>
  <r>
    <s v="2025-02-19"/>
    <x v="2"/>
    <s v="Wednesday"/>
    <x v="1"/>
    <x v="1"/>
    <s v="Retail"/>
    <s v="Online"/>
    <x v="7"/>
    <x v="2"/>
    <n v="420000"/>
    <n v="1"/>
    <x v="0"/>
    <n v="336000"/>
    <n v="420000"/>
    <x v="40"/>
    <n v="84000"/>
    <n v="1746"/>
  </r>
  <r>
    <s v="2025-03-21"/>
    <x v="3"/>
    <s v="Friday"/>
    <x v="0"/>
    <x v="0"/>
    <s v="Retail"/>
    <s v="Store"/>
    <x v="2"/>
    <x v="1"/>
    <n v="60000"/>
    <n v="1"/>
    <x v="1"/>
    <n v="48000"/>
    <n v="60000"/>
    <x v="41"/>
    <n v="12000"/>
    <n v="1747"/>
  </r>
  <r>
    <s v="2025-02-23"/>
    <x v="2"/>
    <s v="Sunday"/>
    <x v="3"/>
    <x v="1"/>
    <s v="Retail"/>
    <s v="Online"/>
    <x v="6"/>
    <x v="2"/>
    <n v="150000"/>
    <n v="10"/>
    <x v="5"/>
    <n v="120000"/>
    <n v="1500000"/>
    <x v="17"/>
    <n v="300000"/>
    <n v="1748"/>
  </r>
  <r>
    <s v="2025-01-06"/>
    <x v="0"/>
    <s v="Monday"/>
    <x v="0"/>
    <x v="3"/>
    <s v="Retail"/>
    <s v="Online"/>
    <x v="4"/>
    <x v="1"/>
    <n v="180000"/>
    <n v="10"/>
    <x v="2"/>
    <n v="144000"/>
    <n v="1800000"/>
    <x v="5"/>
    <n v="360000"/>
    <n v="1749"/>
  </r>
  <r>
    <s v="2025-03-31"/>
    <x v="3"/>
    <s v="Monday"/>
    <x v="2"/>
    <x v="0"/>
    <s v="Corporate"/>
    <s v="Online"/>
    <x v="6"/>
    <x v="2"/>
    <n v="150000"/>
    <n v="10"/>
    <x v="1"/>
    <n v="120000"/>
    <n v="1500000"/>
    <x v="17"/>
    <n v="300000"/>
    <n v="1750"/>
  </r>
  <r>
    <s v="2025-01-08"/>
    <x v="0"/>
    <s v="Wednesday"/>
    <x v="1"/>
    <x v="0"/>
    <s v="Corporate"/>
    <s v="Store"/>
    <x v="2"/>
    <x v="1"/>
    <n v="60000"/>
    <n v="8"/>
    <x v="5"/>
    <n v="48000"/>
    <n v="480000"/>
    <x v="47"/>
    <n v="96000"/>
    <n v="1751"/>
  </r>
  <r>
    <s v="2025-01-09"/>
    <x v="0"/>
    <s v="Thursday"/>
    <x v="3"/>
    <x v="0"/>
    <s v="Retail"/>
    <s v="Online"/>
    <x v="9"/>
    <x v="1"/>
    <n v="220000"/>
    <n v="7"/>
    <x v="4"/>
    <n v="176000"/>
    <n v="1540000"/>
    <x v="67"/>
    <n v="308000"/>
    <n v="1752"/>
  </r>
  <r>
    <s v="2025-03-11"/>
    <x v="3"/>
    <s v="Tuesday"/>
    <x v="1"/>
    <x v="3"/>
    <s v="Retail"/>
    <s v="Online"/>
    <x v="1"/>
    <x v="1"/>
    <n v="30000"/>
    <n v="1"/>
    <x v="3"/>
    <n v="24000"/>
    <n v="30000"/>
    <x v="75"/>
    <n v="6000"/>
    <n v="1753"/>
  </r>
  <r>
    <s v="2025-03-01"/>
    <x v="3"/>
    <s v="Saturday"/>
    <x v="1"/>
    <x v="1"/>
    <s v="Corporate"/>
    <s v="Store"/>
    <x v="6"/>
    <x v="2"/>
    <n v="150000"/>
    <n v="6"/>
    <x v="0"/>
    <n v="120000"/>
    <n v="900000"/>
    <x v="48"/>
    <n v="180000"/>
    <n v="1754"/>
  </r>
  <r>
    <s v="2025-02-13"/>
    <x v="2"/>
    <s v="Thursday"/>
    <x v="2"/>
    <x v="3"/>
    <s v="Retail"/>
    <s v="Store"/>
    <x v="1"/>
    <x v="1"/>
    <n v="30000"/>
    <n v="4"/>
    <x v="0"/>
    <n v="24000"/>
    <n v="120000"/>
    <x v="3"/>
    <n v="24000"/>
    <n v="1755"/>
  </r>
  <r>
    <s v="2025-02-11"/>
    <x v="2"/>
    <s v="Tuesday"/>
    <x v="2"/>
    <x v="2"/>
    <s v="Corporate"/>
    <s v="Online"/>
    <x v="9"/>
    <x v="1"/>
    <n v="220000"/>
    <n v="1"/>
    <x v="2"/>
    <n v="176000"/>
    <n v="220000"/>
    <x v="25"/>
    <n v="44000"/>
    <n v="1756"/>
  </r>
  <r>
    <s v="2025-03-27"/>
    <x v="3"/>
    <s v="Thursday"/>
    <x v="2"/>
    <x v="1"/>
    <s v="Retail"/>
    <s v="Online"/>
    <x v="2"/>
    <x v="1"/>
    <n v="60000"/>
    <n v="6"/>
    <x v="1"/>
    <n v="48000"/>
    <n v="360000"/>
    <x v="50"/>
    <n v="72000"/>
    <n v="1757"/>
  </r>
  <r>
    <s v="2025-03-29"/>
    <x v="3"/>
    <s v="Saturday"/>
    <x v="2"/>
    <x v="0"/>
    <s v="Corporate"/>
    <s v="Store"/>
    <x v="8"/>
    <x v="2"/>
    <n v="250000"/>
    <n v="7"/>
    <x v="5"/>
    <n v="200000"/>
    <n v="1750000"/>
    <x v="59"/>
    <n v="350000"/>
    <n v="1758"/>
  </r>
  <r>
    <s v="2025-04-12"/>
    <x v="1"/>
    <s v="Saturday"/>
    <x v="1"/>
    <x v="2"/>
    <s v="Corporate"/>
    <s v="Online"/>
    <x v="9"/>
    <x v="1"/>
    <n v="220000"/>
    <n v="9"/>
    <x v="3"/>
    <n v="176000"/>
    <n v="1980000"/>
    <x v="64"/>
    <n v="396000"/>
    <n v="1759"/>
  </r>
  <r>
    <s v="2025-04-23"/>
    <x v="1"/>
    <s v="Wednesday"/>
    <x v="2"/>
    <x v="2"/>
    <s v="Corporate"/>
    <s v="Online"/>
    <x v="1"/>
    <x v="1"/>
    <n v="30000"/>
    <n v="10"/>
    <x v="2"/>
    <n v="24000"/>
    <n v="300000"/>
    <x v="11"/>
    <n v="60000"/>
    <n v="1760"/>
  </r>
  <r>
    <s v="2025-04-13"/>
    <x v="1"/>
    <s v="Sunday"/>
    <x v="1"/>
    <x v="2"/>
    <s v="Retail"/>
    <s v="Online"/>
    <x v="6"/>
    <x v="2"/>
    <n v="150000"/>
    <n v="1"/>
    <x v="1"/>
    <n v="120000"/>
    <n v="150000"/>
    <x v="26"/>
    <n v="30000"/>
    <n v="1761"/>
  </r>
  <r>
    <s v="2025-01-15"/>
    <x v="0"/>
    <s v="Wednesday"/>
    <x v="3"/>
    <x v="0"/>
    <s v="Retail"/>
    <s v="Online"/>
    <x v="4"/>
    <x v="1"/>
    <n v="180000"/>
    <n v="3"/>
    <x v="3"/>
    <n v="144000"/>
    <n v="540000"/>
    <x v="46"/>
    <n v="108000"/>
    <n v="1762"/>
  </r>
  <r>
    <s v="2025-03-27"/>
    <x v="3"/>
    <s v="Thursday"/>
    <x v="2"/>
    <x v="0"/>
    <s v="Corporate"/>
    <s v="Online"/>
    <x v="7"/>
    <x v="2"/>
    <n v="420000"/>
    <n v="10"/>
    <x v="3"/>
    <n v="336000"/>
    <n v="4200000"/>
    <x v="20"/>
    <n v="840000"/>
    <n v="1763"/>
  </r>
  <r>
    <s v="2025-05-01"/>
    <x v="4"/>
    <s v="Thursday"/>
    <x v="3"/>
    <x v="0"/>
    <s v="Corporate"/>
    <s v="Online"/>
    <x v="0"/>
    <x v="0"/>
    <n v="85000"/>
    <n v="2"/>
    <x v="4"/>
    <n v="68000"/>
    <n v="170000"/>
    <x v="2"/>
    <n v="34000"/>
    <n v="1764"/>
  </r>
  <r>
    <s v="2025-03-21"/>
    <x v="3"/>
    <s v="Friday"/>
    <x v="0"/>
    <x v="2"/>
    <s v="Corporate"/>
    <s v="Online"/>
    <x v="2"/>
    <x v="1"/>
    <n v="60000"/>
    <n v="4"/>
    <x v="4"/>
    <n v="48000"/>
    <n v="240000"/>
    <x v="1"/>
    <n v="48000"/>
    <n v="1765"/>
  </r>
  <r>
    <s v="2025-01-12"/>
    <x v="0"/>
    <s v="Sunday"/>
    <x v="3"/>
    <x v="1"/>
    <s v="Corporate"/>
    <s v="Online"/>
    <x v="6"/>
    <x v="2"/>
    <n v="150000"/>
    <n v="9"/>
    <x v="4"/>
    <n v="120000"/>
    <n v="1350000"/>
    <x v="63"/>
    <n v="270000"/>
    <n v="1766"/>
  </r>
  <r>
    <s v="2025-01-14"/>
    <x v="0"/>
    <s v="Tuesday"/>
    <x v="2"/>
    <x v="3"/>
    <s v="Retail"/>
    <s v="Store"/>
    <x v="7"/>
    <x v="2"/>
    <n v="420000"/>
    <n v="1"/>
    <x v="3"/>
    <n v="336000"/>
    <n v="420000"/>
    <x v="40"/>
    <n v="84000"/>
    <n v="1767"/>
  </r>
  <r>
    <s v="2025-04-12"/>
    <x v="1"/>
    <s v="Saturday"/>
    <x v="1"/>
    <x v="1"/>
    <s v="Retail"/>
    <s v="Online"/>
    <x v="7"/>
    <x v="2"/>
    <n v="420000"/>
    <n v="9"/>
    <x v="4"/>
    <n v="336000"/>
    <n v="3780000"/>
    <x v="12"/>
    <n v="756000"/>
    <n v="1768"/>
  </r>
  <r>
    <s v="2025-01-20"/>
    <x v="0"/>
    <s v="Monday"/>
    <x v="0"/>
    <x v="3"/>
    <s v="Corporate"/>
    <s v="Store"/>
    <x v="7"/>
    <x v="2"/>
    <n v="420000"/>
    <n v="9"/>
    <x v="5"/>
    <n v="336000"/>
    <n v="3780000"/>
    <x v="12"/>
    <n v="756000"/>
    <n v="1769"/>
  </r>
  <r>
    <s v="2025-01-04"/>
    <x v="0"/>
    <s v="Saturday"/>
    <x v="0"/>
    <x v="3"/>
    <s v="Retail"/>
    <s v="Store"/>
    <x v="0"/>
    <x v="0"/>
    <n v="85000"/>
    <n v="6"/>
    <x v="1"/>
    <n v="68000"/>
    <n v="510000"/>
    <x v="60"/>
    <n v="102000"/>
    <n v="1770"/>
  </r>
  <r>
    <s v="2025-03-17"/>
    <x v="3"/>
    <s v="Monday"/>
    <x v="3"/>
    <x v="3"/>
    <s v="Corporate"/>
    <s v="Online"/>
    <x v="5"/>
    <x v="0"/>
    <n v="320000"/>
    <n v="3"/>
    <x v="3"/>
    <n v="256000"/>
    <n v="960000"/>
    <x v="9"/>
    <n v="192000"/>
    <n v="1771"/>
  </r>
  <r>
    <s v="2025-02-06"/>
    <x v="2"/>
    <s v="Thursday"/>
    <x v="3"/>
    <x v="1"/>
    <s v="Corporate"/>
    <s v="Online"/>
    <x v="4"/>
    <x v="1"/>
    <n v="180000"/>
    <n v="8"/>
    <x v="2"/>
    <n v="144000"/>
    <n v="1440000"/>
    <x v="37"/>
    <n v="288000"/>
    <n v="1772"/>
  </r>
  <r>
    <s v="2025-01-11"/>
    <x v="0"/>
    <s v="Saturday"/>
    <x v="0"/>
    <x v="0"/>
    <s v="Retail"/>
    <s v="Online"/>
    <x v="0"/>
    <x v="0"/>
    <n v="85000"/>
    <n v="6"/>
    <x v="3"/>
    <n v="68000"/>
    <n v="510000"/>
    <x v="60"/>
    <n v="102000"/>
    <n v="1773"/>
  </r>
  <r>
    <s v="2025-01-27"/>
    <x v="0"/>
    <s v="Monday"/>
    <x v="0"/>
    <x v="3"/>
    <s v="Retail"/>
    <s v="Online"/>
    <x v="3"/>
    <x v="2"/>
    <n v="300000"/>
    <n v="3"/>
    <x v="0"/>
    <n v="240000"/>
    <n v="900000"/>
    <x v="48"/>
    <n v="180000"/>
    <n v="1774"/>
  </r>
  <r>
    <s v="2025-03-14"/>
    <x v="3"/>
    <s v="Friday"/>
    <x v="3"/>
    <x v="0"/>
    <s v="Corporate"/>
    <s v="Store"/>
    <x v="4"/>
    <x v="1"/>
    <n v="180000"/>
    <n v="1"/>
    <x v="2"/>
    <n v="144000"/>
    <n v="180000"/>
    <x v="32"/>
    <n v="36000"/>
    <n v="1775"/>
  </r>
  <r>
    <s v="2025-01-07"/>
    <x v="0"/>
    <s v="Tuesday"/>
    <x v="1"/>
    <x v="2"/>
    <s v="Retail"/>
    <s v="Online"/>
    <x v="9"/>
    <x v="1"/>
    <n v="220000"/>
    <n v="1"/>
    <x v="4"/>
    <n v="176000"/>
    <n v="220000"/>
    <x v="25"/>
    <n v="44000"/>
    <n v="1776"/>
  </r>
  <r>
    <s v="2025-01-24"/>
    <x v="0"/>
    <s v="Friday"/>
    <x v="2"/>
    <x v="3"/>
    <s v="Retail"/>
    <s v="Store"/>
    <x v="1"/>
    <x v="1"/>
    <n v="30000"/>
    <n v="1"/>
    <x v="4"/>
    <n v="24000"/>
    <n v="30000"/>
    <x v="75"/>
    <n v="6000"/>
    <n v="1777"/>
  </r>
  <r>
    <s v="2025-01-12"/>
    <x v="0"/>
    <s v="Sunday"/>
    <x v="1"/>
    <x v="0"/>
    <s v="Corporate"/>
    <s v="Store"/>
    <x v="2"/>
    <x v="1"/>
    <n v="60000"/>
    <n v="2"/>
    <x v="5"/>
    <n v="48000"/>
    <n v="120000"/>
    <x v="3"/>
    <n v="24000"/>
    <n v="1778"/>
  </r>
  <r>
    <s v="2025-03-03"/>
    <x v="3"/>
    <s v="Monday"/>
    <x v="0"/>
    <x v="1"/>
    <s v="Retail"/>
    <s v="Store"/>
    <x v="8"/>
    <x v="2"/>
    <n v="250000"/>
    <n v="7"/>
    <x v="4"/>
    <n v="200000"/>
    <n v="1750000"/>
    <x v="59"/>
    <n v="350000"/>
    <n v="1779"/>
  </r>
  <r>
    <s v="2025-01-25"/>
    <x v="0"/>
    <s v="Saturday"/>
    <x v="0"/>
    <x v="2"/>
    <s v="Corporate"/>
    <s v="Online"/>
    <x v="7"/>
    <x v="2"/>
    <n v="420000"/>
    <n v="10"/>
    <x v="2"/>
    <n v="336000"/>
    <n v="4200000"/>
    <x v="20"/>
    <n v="840000"/>
    <n v="1780"/>
  </r>
  <r>
    <s v="2025-03-26"/>
    <x v="3"/>
    <s v="Wednesday"/>
    <x v="0"/>
    <x v="0"/>
    <s v="Corporate"/>
    <s v="Online"/>
    <x v="5"/>
    <x v="0"/>
    <n v="320000"/>
    <n v="10"/>
    <x v="3"/>
    <n v="256000"/>
    <n v="3200000"/>
    <x v="35"/>
    <n v="640000"/>
    <n v="1781"/>
  </r>
  <r>
    <s v="2025-01-13"/>
    <x v="0"/>
    <s v="Monday"/>
    <x v="2"/>
    <x v="3"/>
    <s v="Retail"/>
    <s v="Online"/>
    <x v="3"/>
    <x v="2"/>
    <n v="300000"/>
    <n v="1"/>
    <x v="2"/>
    <n v="240000"/>
    <n v="300000"/>
    <x v="11"/>
    <n v="60000"/>
    <n v="1782"/>
  </r>
  <r>
    <s v="2025-03-10"/>
    <x v="3"/>
    <s v="Monday"/>
    <x v="2"/>
    <x v="2"/>
    <s v="Corporate"/>
    <s v="Store"/>
    <x v="6"/>
    <x v="2"/>
    <n v="150000"/>
    <n v="3"/>
    <x v="1"/>
    <n v="120000"/>
    <n v="450000"/>
    <x v="34"/>
    <n v="90000"/>
    <n v="1783"/>
  </r>
  <r>
    <s v="2025-01-14"/>
    <x v="0"/>
    <s v="Tuesday"/>
    <x v="0"/>
    <x v="2"/>
    <s v="Corporate"/>
    <s v="Online"/>
    <x v="8"/>
    <x v="2"/>
    <n v="250000"/>
    <n v="3"/>
    <x v="4"/>
    <n v="200000"/>
    <n v="750000"/>
    <x v="56"/>
    <n v="150000"/>
    <n v="1784"/>
  </r>
  <r>
    <s v="2025-01-20"/>
    <x v="0"/>
    <s v="Monday"/>
    <x v="3"/>
    <x v="1"/>
    <s v="Retail"/>
    <s v="Store"/>
    <x v="7"/>
    <x v="2"/>
    <n v="420000"/>
    <n v="4"/>
    <x v="1"/>
    <n v="336000"/>
    <n v="1680000"/>
    <x v="45"/>
    <n v="336000"/>
    <n v="1785"/>
  </r>
  <r>
    <s v="2025-02-23"/>
    <x v="2"/>
    <s v="Sunday"/>
    <x v="3"/>
    <x v="1"/>
    <s v="Corporate"/>
    <s v="Online"/>
    <x v="4"/>
    <x v="1"/>
    <n v="180000"/>
    <n v="1"/>
    <x v="0"/>
    <n v="144000"/>
    <n v="180000"/>
    <x v="32"/>
    <n v="36000"/>
    <n v="1786"/>
  </r>
  <r>
    <s v="2025-03-08"/>
    <x v="3"/>
    <s v="Saturday"/>
    <x v="3"/>
    <x v="0"/>
    <s v="Corporate"/>
    <s v="Store"/>
    <x v="6"/>
    <x v="2"/>
    <n v="150000"/>
    <n v="3"/>
    <x v="3"/>
    <n v="120000"/>
    <n v="450000"/>
    <x v="34"/>
    <n v="90000"/>
    <n v="1787"/>
  </r>
  <r>
    <s v="2025-01-02"/>
    <x v="0"/>
    <s v="Thursday"/>
    <x v="2"/>
    <x v="3"/>
    <s v="Corporate"/>
    <s v="Online"/>
    <x v="9"/>
    <x v="1"/>
    <n v="220000"/>
    <n v="9"/>
    <x v="2"/>
    <n v="176000"/>
    <n v="1980000"/>
    <x v="64"/>
    <n v="396000"/>
    <n v="1788"/>
  </r>
  <r>
    <s v="2025-02-04"/>
    <x v="2"/>
    <s v="Tuesday"/>
    <x v="3"/>
    <x v="2"/>
    <s v="Corporate"/>
    <s v="Online"/>
    <x v="7"/>
    <x v="2"/>
    <n v="420000"/>
    <n v="4"/>
    <x v="2"/>
    <n v="336000"/>
    <n v="1680000"/>
    <x v="45"/>
    <n v="336000"/>
    <n v="1789"/>
  </r>
  <r>
    <s v="2025-02-28"/>
    <x v="2"/>
    <s v="Friday"/>
    <x v="3"/>
    <x v="2"/>
    <s v="Corporate"/>
    <s v="Store"/>
    <x v="3"/>
    <x v="2"/>
    <n v="300000"/>
    <n v="2"/>
    <x v="5"/>
    <n v="240000"/>
    <n v="600000"/>
    <x v="4"/>
    <n v="120000"/>
    <n v="1790"/>
  </r>
  <r>
    <s v="2025-04-23"/>
    <x v="1"/>
    <s v="Wednesday"/>
    <x v="1"/>
    <x v="1"/>
    <s v="Corporate"/>
    <s v="Store"/>
    <x v="0"/>
    <x v="0"/>
    <n v="85000"/>
    <n v="8"/>
    <x v="1"/>
    <n v="68000"/>
    <n v="680000"/>
    <x v="69"/>
    <n v="136000"/>
    <n v="1791"/>
  </r>
  <r>
    <s v="2025-03-22"/>
    <x v="3"/>
    <s v="Saturday"/>
    <x v="2"/>
    <x v="3"/>
    <s v="Retail"/>
    <s v="Store"/>
    <x v="9"/>
    <x v="1"/>
    <n v="220000"/>
    <n v="10"/>
    <x v="2"/>
    <n v="176000"/>
    <n v="2200000"/>
    <x v="61"/>
    <n v="440000"/>
    <n v="1792"/>
  </r>
  <r>
    <s v="2025-01-08"/>
    <x v="0"/>
    <s v="Wednesday"/>
    <x v="0"/>
    <x v="0"/>
    <s v="Retail"/>
    <s v="Store"/>
    <x v="9"/>
    <x v="1"/>
    <n v="220000"/>
    <n v="7"/>
    <x v="2"/>
    <n v="176000"/>
    <n v="1540000"/>
    <x v="67"/>
    <n v="308000"/>
    <n v="1793"/>
  </r>
  <r>
    <s v="2025-04-06"/>
    <x v="1"/>
    <s v="Sunday"/>
    <x v="1"/>
    <x v="2"/>
    <s v="Retail"/>
    <s v="Store"/>
    <x v="5"/>
    <x v="0"/>
    <n v="320000"/>
    <n v="10"/>
    <x v="2"/>
    <n v="256000"/>
    <n v="3200000"/>
    <x v="35"/>
    <n v="640000"/>
    <n v="1794"/>
  </r>
  <r>
    <s v="2025-02-07"/>
    <x v="2"/>
    <s v="Friday"/>
    <x v="0"/>
    <x v="1"/>
    <s v="Corporate"/>
    <s v="Online"/>
    <x v="4"/>
    <x v="1"/>
    <n v="180000"/>
    <n v="9"/>
    <x v="4"/>
    <n v="144000"/>
    <n v="1620000"/>
    <x v="27"/>
    <n v="324000"/>
    <n v="1795"/>
  </r>
  <r>
    <s v="2025-04-01"/>
    <x v="1"/>
    <s v="Tuesday"/>
    <x v="3"/>
    <x v="2"/>
    <s v="Corporate"/>
    <s v="Online"/>
    <x v="2"/>
    <x v="1"/>
    <n v="60000"/>
    <n v="4"/>
    <x v="5"/>
    <n v="48000"/>
    <n v="240000"/>
    <x v="1"/>
    <n v="48000"/>
    <n v="1796"/>
  </r>
  <r>
    <s v="2025-02-25"/>
    <x v="2"/>
    <s v="Tuesday"/>
    <x v="2"/>
    <x v="2"/>
    <s v="Corporate"/>
    <s v="Store"/>
    <x v="8"/>
    <x v="2"/>
    <n v="250000"/>
    <n v="10"/>
    <x v="5"/>
    <n v="200000"/>
    <n v="2500000"/>
    <x v="66"/>
    <n v="500000"/>
    <n v="1797"/>
  </r>
  <r>
    <s v="2025-04-09"/>
    <x v="1"/>
    <s v="Wednesday"/>
    <x v="3"/>
    <x v="2"/>
    <s v="Corporate"/>
    <s v="Online"/>
    <x v="5"/>
    <x v="0"/>
    <n v="320000"/>
    <n v="2"/>
    <x v="2"/>
    <n v="256000"/>
    <n v="640000"/>
    <x v="38"/>
    <n v="128000"/>
    <n v="1798"/>
  </r>
  <r>
    <s v="2025-03-25"/>
    <x v="3"/>
    <s v="Tuesday"/>
    <x v="2"/>
    <x v="3"/>
    <s v="Corporate"/>
    <s v="Store"/>
    <x v="7"/>
    <x v="2"/>
    <n v="420000"/>
    <n v="7"/>
    <x v="3"/>
    <n v="336000"/>
    <n v="2940000"/>
    <x v="70"/>
    <n v="588000"/>
    <n v="1799"/>
  </r>
  <r>
    <s v="2025-01-04"/>
    <x v="0"/>
    <s v="Saturday"/>
    <x v="3"/>
    <x v="2"/>
    <s v="Corporate"/>
    <s v="Store"/>
    <x v="3"/>
    <x v="2"/>
    <n v="300000"/>
    <n v="5"/>
    <x v="3"/>
    <n v="240000"/>
    <n v="1500000"/>
    <x v="17"/>
    <n v="300000"/>
    <n v="1800"/>
  </r>
  <r>
    <s v="2025-04-04"/>
    <x v="1"/>
    <s v="Friday"/>
    <x v="2"/>
    <x v="0"/>
    <s v="Corporate"/>
    <s v="Store"/>
    <x v="2"/>
    <x v="1"/>
    <n v="60000"/>
    <n v="5"/>
    <x v="4"/>
    <n v="48000"/>
    <n v="300000"/>
    <x v="11"/>
    <n v="60000"/>
    <n v="1801"/>
  </r>
  <r>
    <s v="2025-03-11"/>
    <x v="3"/>
    <s v="Tuesday"/>
    <x v="1"/>
    <x v="0"/>
    <s v="Retail"/>
    <s v="Store"/>
    <x v="7"/>
    <x v="2"/>
    <n v="420000"/>
    <n v="9"/>
    <x v="2"/>
    <n v="336000"/>
    <n v="3780000"/>
    <x v="12"/>
    <n v="756000"/>
    <n v="1802"/>
  </r>
  <r>
    <s v="2025-01-11"/>
    <x v="0"/>
    <s v="Saturday"/>
    <x v="2"/>
    <x v="0"/>
    <s v="Retail"/>
    <s v="Store"/>
    <x v="8"/>
    <x v="2"/>
    <n v="250000"/>
    <n v="9"/>
    <x v="5"/>
    <n v="200000"/>
    <n v="2250000"/>
    <x v="71"/>
    <n v="450000"/>
    <n v="1803"/>
  </r>
  <r>
    <s v="2025-02-17"/>
    <x v="2"/>
    <s v="Monday"/>
    <x v="0"/>
    <x v="3"/>
    <s v="Retail"/>
    <s v="Store"/>
    <x v="9"/>
    <x v="1"/>
    <n v="220000"/>
    <n v="1"/>
    <x v="5"/>
    <n v="176000"/>
    <n v="220000"/>
    <x v="25"/>
    <n v="44000"/>
    <n v="1804"/>
  </r>
  <r>
    <s v="2025-01-19"/>
    <x v="0"/>
    <s v="Sunday"/>
    <x v="0"/>
    <x v="1"/>
    <s v="Retail"/>
    <s v="Store"/>
    <x v="9"/>
    <x v="1"/>
    <n v="220000"/>
    <n v="3"/>
    <x v="5"/>
    <n v="176000"/>
    <n v="660000"/>
    <x v="49"/>
    <n v="132000"/>
    <n v="1805"/>
  </r>
  <r>
    <s v="2025-03-10"/>
    <x v="3"/>
    <s v="Monday"/>
    <x v="0"/>
    <x v="1"/>
    <s v="Corporate"/>
    <s v="Store"/>
    <x v="8"/>
    <x v="2"/>
    <n v="250000"/>
    <n v="8"/>
    <x v="2"/>
    <n v="200000"/>
    <n v="2000000"/>
    <x v="52"/>
    <n v="400000"/>
    <n v="1806"/>
  </r>
  <r>
    <s v="2025-04-08"/>
    <x v="1"/>
    <s v="Tuesday"/>
    <x v="0"/>
    <x v="2"/>
    <s v="Retail"/>
    <s v="Store"/>
    <x v="1"/>
    <x v="1"/>
    <n v="30000"/>
    <n v="1"/>
    <x v="3"/>
    <n v="24000"/>
    <n v="30000"/>
    <x v="75"/>
    <n v="6000"/>
    <n v="1807"/>
  </r>
  <r>
    <s v="2025-01-03"/>
    <x v="0"/>
    <s v="Friday"/>
    <x v="0"/>
    <x v="3"/>
    <s v="Corporate"/>
    <s v="Store"/>
    <x v="1"/>
    <x v="1"/>
    <n v="30000"/>
    <n v="1"/>
    <x v="4"/>
    <n v="24000"/>
    <n v="30000"/>
    <x v="75"/>
    <n v="6000"/>
    <n v="1808"/>
  </r>
  <r>
    <s v="2025-02-24"/>
    <x v="2"/>
    <s v="Monday"/>
    <x v="3"/>
    <x v="2"/>
    <s v="Retail"/>
    <s v="Store"/>
    <x v="1"/>
    <x v="1"/>
    <n v="30000"/>
    <n v="8"/>
    <x v="0"/>
    <n v="24000"/>
    <n v="240000"/>
    <x v="1"/>
    <n v="48000"/>
    <n v="1809"/>
  </r>
  <r>
    <s v="2025-03-10"/>
    <x v="3"/>
    <s v="Monday"/>
    <x v="0"/>
    <x v="0"/>
    <s v="Retail"/>
    <s v="Store"/>
    <x v="2"/>
    <x v="1"/>
    <n v="60000"/>
    <n v="6"/>
    <x v="3"/>
    <n v="48000"/>
    <n v="360000"/>
    <x v="50"/>
    <n v="72000"/>
    <n v="1810"/>
  </r>
  <r>
    <s v="2025-01-17"/>
    <x v="0"/>
    <s v="Friday"/>
    <x v="0"/>
    <x v="0"/>
    <s v="Corporate"/>
    <s v="Store"/>
    <x v="8"/>
    <x v="2"/>
    <n v="250000"/>
    <n v="5"/>
    <x v="1"/>
    <n v="200000"/>
    <n v="1250000"/>
    <x v="21"/>
    <n v="250000"/>
    <n v="1811"/>
  </r>
  <r>
    <s v="2025-01-25"/>
    <x v="0"/>
    <s v="Saturday"/>
    <x v="2"/>
    <x v="3"/>
    <s v="Retail"/>
    <s v="Store"/>
    <x v="1"/>
    <x v="1"/>
    <n v="30000"/>
    <n v="1"/>
    <x v="4"/>
    <n v="24000"/>
    <n v="30000"/>
    <x v="75"/>
    <n v="6000"/>
    <n v="1812"/>
  </r>
  <r>
    <s v="2025-04-02"/>
    <x v="1"/>
    <s v="Wednesday"/>
    <x v="2"/>
    <x v="2"/>
    <s v="Corporate"/>
    <s v="Store"/>
    <x v="6"/>
    <x v="2"/>
    <n v="150000"/>
    <n v="9"/>
    <x v="4"/>
    <n v="120000"/>
    <n v="1350000"/>
    <x v="63"/>
    <n v="270000"/>
    <n v="1813"/>
  </r>
  <r>
    <s v="2025-01-22"/>
    <x v="0"/>
    <s v="Wednesday"/>
    <x v="1"/>
    <x v="3"/>
    <s v="Retail"/>
    <s v="Store"/>
    <x v="4"/>
    <x v="1"/>
    <n v="180000"/>
    <n v="2"/>
    <x v="4"/>
    <n v="144000"/>
    <n v="360000"/>
    <x v="50"/>
    <n v="72000"/>
    <n v="1814"/>
  </r>
  <r>
    <s v="2025-03-24"/>
    <x v="3"/>
    <s v="Monday"/>
    <x v="1"/>
    <x v="3"/>
    <s v="Retail"/>
    <s v="Store"/>
    <x v="7"/>
    <x v="2"/>
    <n v="420000"/>
    <n v="10"/>
    <x v="2"/>
    <n v="336000"/>
    <n v="4200000"/>
    <x v="20"/>
    <n v="840000"/>
    <n v="1815"/>
  </r>
  <r>
    <s v="2025-04-27"/>
    <x v="1"/>
    <s v="Sunday"/>
    <x v="0"/>
    <x v="2"/>
    <s v="Corporate"/>
    <s v="Store"/>
    <x v="3"/>
    <x v="2"/>
    <n v="300000"/>
    <n v="4"/>
    <x v="5"/>
    <n v="240000"/>
    <n v="1200000"/>
    <x v="29"/>
    <n v="240000"/>
    <n v="1816"/>
  </r>
  <r>
    <s v="2025-02-22"/>
    <x v="2"/>
    <s v="Saturday"/>
    <x v="0"/>
    <x v="0"/>
    <s v="Retail"/>
    <s v="Store"/>
    <x v="4"/>
    <x v="1"/>
    <n v="180000"/>
    <n v="8"/>
    <x v="4"/>
    <n v="144000"/>
    <n v="1440000"/>
    <x v="37"/>
    <n v="288000"/>
    <n v="1817"/>
  </r>
  <r>
    <s v="2025-02-11"/>
    <x v="2"/>
    <s v="Tuesday"/>
    <x v="1"/>
    <x v="3"/>
    <s v="Retail"/>
    <s v="Store"/>
    <x v="7"/>
    <x v="2"/>
    <n v="420000"/>
    <n v="5"/>
    <x v="4"/>
    <n v="336000"/>
    <n v="2100000"/>
    <x v="13"/>
    <n v="420000"/>
    <n v="1818"/>
  </r>
  <r>
    <s v="2025-02-28"/>
    <x v="2"/>
    <s v="Friday"/>
    <x v="2"/>
    <x v="1"/>
    <s v="Corporate"/>
    <s v="Store"/>
    <x v="4"/>
    <x v="1"/>
    <n v="180000"/>
    <n v="5"/>
    <x v="0"/>
    <n v="144000"/>
    <n v="900000"/>
    <x v="48"/>
    <n v="180000"/>
    <n v="1819"/>
  </r>
  <r>
    <s v="2025-03-09"/>
    <x v="3"/>
    <s v="Sunday"/>
    <x v="0"/>
    <x v="0"/>
    <s v="Corporate"/>
    <s v="Store"/>
    <x v="3"/>
    <x v="2"/>
    <n v="300000"/>
    <n v="1"/>
    <x v="4"/>
    <n v="240000"/>
    <n v="300000"/>
    <x v="11"/>
    <n v="60000"/>
    <n v="1820"/>
  </r>
  <r>
    <s v="2025-01-08"/>
    <x v="0"/>
    <s v="Wednesday"/>
    <x v="2"/>
    <x v="0"/>
    <s v="Retail"/>
    <s v="Store"/>
    <x v="4"/>
    <x v="1"/>
    <n v="180000"/>
    <n v="7"/>
    <x v="4"/>
    <n v="144000"/>
    <n v="1260000"/>
    <x v="55"/>
    <n v="252000"/>
    <n v="1821"/>
  </r>
  <r>
    <s v="2025-01-04"/>
    <x v="0"/>
    <s v="Saturday"/>
    <x v="1"/>
    <x v="2"/>
    <s v="Corporate"/>
    <s v="Store"/>
    <x v="1"/>
    <x v="1"/>
    <n v="30000"/>
    <n v="8"/>
    <x v="4"/>
    <n v="24000"/>
    <n v="240000"/>
    <x v="1"/>
    <n v="48000"/>
    <n v="1822"/>
  </r>
  <r>
    <s v="2025-01-28"/>
    <x v="0"/>
    <s v="Tuesday"/>
    <x v="3"/>
    <x v="0"/>
    <s v="Retail"/>
    <s v="Store"/>
    <x v="0"/>
    <x v="0"/>
    <n v="85000"/>
    <n v="10"/>
    <x v="2"/>
    <n v="68000"/>
    <n v="850000"/>
    <x v="43"/>
    <n v="170000"/>
    <n v="1823"/>
  </r>
  <r>
    <s v="2025-01-19"/>
    <x v="0"/>
    <s v="Sunday"/>
    <x v="1"/>
    <x v="2"/>
    <s v="Retail"/>
    <s v="Store"/>
    <x v="0"/>
    <x v="0"/>
    <n v="85000"/>
    <n v="1"/>
    <x v="0"/>
    <n v="68000"/>
    <n v="85000"/>
    <x v="0"/>
    <n v="17000"/>
    <n v="1824"/>
  </r>
  <r>
    <s v="2025-02-12"/>
    <x v="2"/>
    <s v="Wednesday"/>
    <x v="3"/>
    <x v="1"/>
    <s v="Corporate"/>
    <s v="Store"/>
    <x v="6"/>
    <x v="2"/>
    <n v="150000"/>
    <n v="8"/>
    <x v="4"/>
    <n v="120000"/>
    <n v="1200000"/>
    <x v="29"/>
    <n v="240000"/>
    <n v="1825"/>
  </r>
  <r>
    <s v="2025-03-14"/>
    <x v="3"/>
    <s v="Friday"/>
    <x v="0"/>
    <x v="1"/>
    <s v="Corporate"/>
    <s v="Store"/>
    <x v="7"/>
    <x v="2"/>
    <n v="420000"/>
    <n v="6"/>
    <x v="3"/>
    <n v="336000"/>
    <n v="2520000"/>
    <x v="76"/>
    <n v="504000"/>
    <n v="1826"/>
  </r>
  <r>
    <s v="2025-03-22"/>
    <x v="3"/>
    <s v="Saturday"/>
    <x v="2"/>
    <x v="3"/>
    <s v="Retail"/>
    <s v="Store"/>
    <x v="2"/>
    <x v="1"/>
    <n v="60000"/>
    <n v="8"/>
    <x v="3"/>
    <n v="48000"/>
    <n v="480000"/>
    <x v="47"/>
    <n v="96000"/>
    <n v="1827"/>
  </r>
  <r>
    <s v="2025-04-29"/>
    <x v="1"/>
    <s v="Tuesday"/>
    <x v="2"/>
    <x v="0"/>
    <s v="Retail"/>
    <s v="Store"/>
    <x v="3"/>
    <x v="2"/>
    <n v="300000"/>
    <n v="7"/>
    <x v="2"/>
    <n v="240000"/>
    <n v="2100000"/>
    <x v="13"/>
    <n v="420000"/>
    <n v="1828"/>
  </r>
  <r>
    <s v="2025-02-10"/>
    <x v="2"/>
    <s v="Monday"/>
    <x v="1"/>
    <x v="1"/>
    <s v="Corporate"/>
    <s v="Store"/>
    <x v="6"/>
    <x v="2"/>
    <n v="150000"/>
    <n v="8"/>
    <x v="4"/>
    <n v="120000"/>
    <n v="1200000"/>
    <x v="29"/>
    <n v="240000"/>
    <n v="1829"/>
  </r>
  <r>
    <s v="2025-04-13"/>
    <x v="1"/>
    <s v="Sunday"/>
    <x v="1"/>
    <x v="0"/>
    <s v="Corporate"/>
    <s v="Store"/>
    <x v="2"/>
    <x v="1"/>
    <n v="60000"/>
    <n v="10"/>
    <x v="0"/>
    <n v="48000"/>
    <n v="600000"/>
    <x v="4"/>
    <n v="120000"/>
    <n v="1830"/>
  </r>
  <r>
    <s v="2025-03-08"/>
    <x v="3"/>
    <s v="Saturday"/>
    <x v="3"/>
    <x v="2"/>
    <s v="Retail"/>
    <s v="Store"/>
    <x v="5"/>
    <x v="0"/>
    <n v="320000"/>
    <n v="9"/>
    <x v="3"/>
    <n v="256000"/>
    <n v="2880000"/>
    <x v="8"/>
    <n v="576000"/>
    <n v="1831"/>
  </r>
  <r>
    <s v="2025-03-27"/>
    <x v="3"/>
    <s v="Thursday"/>
    <x v="0"/>
    <x v="0"/>
    <s v="Retail"/>
    <s v="Store"/>
    <x v="8"/>
    <x v="2"/>
    <n v="250000"/>
    <n v="9"/>
    <x v="2"/>
    <n v="200000"/>
    <n v="2250000"/>
    <x v="71"/>
    <n v="450000"/>
    <n v="1832"/>
  </r>
  <r>
    <s v="2025-01-10"/>
    <x v="0"/>
    <s v="Friday"/>
    <x v="2"/>
    <x v="2"/>
    <s v="Retail"/>
    <s v="Store"/>
    <x v="9"/>
    <x v="1"/>
    <n v="220000"/>
    <n v="7"/>
    <x v="3"/>
    <n v="176000"/>
    <n v="1540000"/>
    <x v="67"/>
    <n v="308000"/>
    <n v="1833"/>
  </r>
  <r>
    <s v="2025-03-10"/>
    <x v="3"/>
    <s v="Monday"/>
    <x v="2"/>
    <x v="1"/>
    <s v="Retail"/>
    <s v="Store"/>
    <x v="5"/>
    <x v="0"/>
    <n v="320000"/>
    <n v="4"/>
    <x v="1"/>
    <n v="256000"/>
    <n v="1280000"/>
    <x v="6"/>
    <n v="256000"/>
    <n v="1834"/>
  </r>
  <r>
    <s v="2025-04-16"/>
    <x v="1"/>
    <s v="Wednesday"/>
    <x v="2"/>
    <x v="1"/>
    <s v="Corporate"/>
    <s v="Store"/>
    <x v="9"/>
    <x v="1"/>
    <n v="220000"/>
    <n v="1"/>
    <x v="4"/>
    <n v="176000"/>
    <n v="220000"/>
    <x v="25"/>
    <n v="44000"/>
    <n v="1835"/>
  </r>
  <r>
    <s v="2025-02-28"/>
    <x v="2"/>
    <s v="Friday"/>
    <x v="0"/>
    <x v="1"/>
    <s v="Retail"/>
    <s v="Store"/>
    <x v="1"/>
    <x v="1"/>
    <n v="30000"/>
    <n v="9"/>
    <x v="4"/>
    <n v="24000"/>
    <n v="270000"/>
    <x v="57"/>
    <n v="54000"/>
    <n v="1836"/>
  </r>
  <r>
    <s v="2025-04-28"/>
    <x v="1"/>
    <s v="Monday"/>
    <x v="3"/>
    <x v="1"/>
    <s v="Corporate"/>
    <s v="Store"/>
    <x v="1"/>
    <x v="1"/>
    <n v="30000"/>
    <n v="8"/>
    <x v="4"/>
    <n v="24000"/>
    <n v="240000"/>
    <x v="1"/>
    <n v="48000"/>
    <n v="1837"/>
  </r>
  <r>
    <s v="2025-01-18"/>
    <x v="0"/>
    <s v="Saturday"/>
    <x v="2"/>
    <x v="1"/>
    <s v="Corporate"/>
    <s v="Store"/>
    <x v="2"/>
    <x v="1"/>
    <n v="60000"/>
    <n v="7"/>
    <x v="1"/>
    <n v="48000"/>
    <n v="420000"/>
    <x v="40"/>
    <n v="84000"/>
    <n v="1838"/>
  </r>
  <r>
    <s v="2025-03-11"/>
    <x v="3"/>
    <s v="Tuesday"/>
    <x v="0"/>
    <x v="2"/>
    <s v="Retail"/>
    <s v="Store"/>
    <x v="1"/>
    <x v="1"/>
    <n v="30000"/>
    <n v="7"/>
    <x v="5"/>
    <n v="24000"/>
    <n v="210000"/>
    <x v="54"/>
    <n v="42000"/>
    <n v="1839"/>
  </r>
  <r>
    <s v="2025-01-01"/>
    <x v="0"/>
    <s v="Wednesday"/>
    <x v="0"/>
    <x v="0"/>
    <s v="Retail"/>
    <s v="Store"/>
    <x v="3"/>
    <x v="2"/>
    <n v="300000"/>
    <n v="6"/>
    <x v="4"/>
    <n v="240000"/>
    <n v="1800000"/>
    <x v="5"/>
    <n v="360000"/>
    <n v="1840"/>
  </r>
  <r>
    <s v="2025-02-26"/>
    <x v="2"/>
    <s v="Wednesday"/>
    <x v="3"/>
    <x v="3"/>
    <s v="Corporate"/>
    <s v="Store"/>
    <x v="3"/>
    <x v="2"/>
    <n v="300000"/>
    <n v="4"/>
    <x v="5"/>
    <n v="240000"/>
    <n v="1200000"/>
    <x v="29"/>
    <n v="240000"/>
    <n v="1841"/>
  </r>
  <r>
    <s v="2025-02-14"/>
    <x v="2"/>
    <s v="Friday"/>
    <x v="2"/>
    <x v="2"/>
    <s v="Retail"/>
    <s v="Store"/>
    <x v="0"/>
    <x v="0"/>
    <n v="85000"/>
    <n v="2"/>
    <x v="0"/>
    <n v="68000"/>
    <n v="170000"/>
    <x v="2"/>
    <n v="34000"/>
    <n v="1842"/>
  </r>
  <r>
    <s v="2025-05-01"/>
    <x v="4"/>
    <s v="Thursday"/>
    <x v="3"/>
    <x v="2"/>
    <s v="Corporate"/>
    <s v="Store"/>
    <x v="6"/>
    <x v="2"/>
    <n v="150000"/>
    <n v="3"/>
    <x v="1"/>
    <n v="120000"/>
    <n v="450000"/>
    <x v="34"/>
    <n v="90000"/>
    <n v="1843"/>
  </r>
  <r>
    <s v="2025-03-29"/>
    <x v="3"/>
    <s v="Saturday"/>
    <x v="0"/>
    <x v="3"/>
    <s v="Corporate"/>
    <s v="Store"/>
    <x v="8"/>
    <x v="2"/>
    <n v="250000"/>
    <n v="4"/>
    <x v="2"/>
    <n v="200000"/>
    <n v="1000000"/>
    <x v="14"/>
    <n v="200000"/>
    <n v="1844"/>
  </r>
  <r>
    <s v="2025-01-20"/>
    <x v="0"/>
    <s v="Monday"/>
    <x v="3"/>
    <x v="0"/>
    <s v="Retail"/>
    <s v="Store"/>
    <x v="8"/>
    <x v="2"/>
    <n v="250000"/>
    <n v="7"/>
    <x v="0"/>
    <n v="200000"/>
    <n v="1750000"/>
    <x v="59"/>
    <n v="350000"/>
    <n v="1845"/>
  </r>
  <r>
    <s v="2025-01-05"/>
    <x v="0"/>
    <s v="Sunday"/>
    <x v="0"/>
    <x v="1"/>
    <s v="Retail"/>
    <s v="Store"/>
    <x v="8"/>
    <x v="2"/>
    <n v="250000"/>
    <n v="3"/>
    <x v="1"/>
    <n v="200000"/>
    <n v="750000"/>
    <x v="56"/>
    <n v="150000"/>
    <n v="1846"/>
  </r>
  <r>
    <s v="2025-03-14"/>
    <x v="3"/>
    <s v="Friday"/>
    <x v="1"/>
    <x v="2"/>
    <s v="Retail"/>
    <s v="Store"/>
    <x v="6"/>
    <x v="2"/>
    <n v="150000"/>
    <n v="8"/>
    <x v="0"/>
    <n v="120000"/>
    <n v="1200000"/>
    <x v="29"/>
    <n v="240000"/>
    <n v="1847"/>
  </r>
  <r>
    <s v="2025-02-14"/>
    <x v="2"/>
    <s v="Friday"/>
    <x v="1"/>
    <x v="2"/>
    <s v="Corporate"/>
    <s v="Store"/>
    <x v="0"/>
    <x v="0"/>
    <n v="85000"/>
    <n v="1"/>
    <x v="4"/>
    <n v="68000"/>
    <n v="85000"/>
    <x v="0"/>
    <n v="17000"/>
    <n v="1848"/>
  </r>
  <r>
    <s v="2025-01-06"/>
    <x v="0"/>
    <s v="Monday"/>
    <x v="1"/>
    <x v="3"/>
    <s v="Retail"/>
    <s v="Store"/>
    <x v="9"/>
    <x v="1"/>
    <n v="220000"/>
    <n v="6"/>
    <x v="0"/>
    <n v="176000"/>
    <n v="1320000"/>
    <x v="36"/>
    <n v="264000"/>
    <n v="1849"/>
  </r>
  <r>
    <s v="2025-02-14"/>
    <x v="2"/>
    <s v="Friday"/>
    <x v="1"/>
    <x v="0"/>
    <s v="Corporate"/>
    <s v="Store"/>
    <x v="1"/>
    <x v="1"/>
    <n v="30000"/>
    <n v="3"/>
    <x v="0"/>
    <n v="24000"/>
    <n v="90000"/>
    <x v="33"/>
    <n v="18000"/>
    <n v="1850"/>
  </r>
  <r>
    <s v="2025-02-27"/>
    <x v="2"/>
    <s v="Thursday"/>
    <x v="3"/>
    <x v="3"/>
    <s v="Corporate"/>
    <s v="Store"/>
    <x v="3"/>
    <x v="2"/>
    <n v="300000"/>
    <n v="3"/>
    <x v="1"/>
    <n v="240000"/>
    <n v="900000"/>
    <x v="48"/>
    <n v="180000"/>
    <n v="1851"/>
  </r>
  <r>
    <s v="2025-04-26"/>
    <x v="1"/>
    <s v="Saturday"/>
    <x v="1"/>
    <x v="2"/>
    <s v="Retail"/>
    <s v="Store"/>
    <x v="8"/>
    <x v="2"/>
    <n v="250000"/>
    <n v="10"/>
    <x v="4"/>
    <n v="200000"/>
    <n v="2500000"/>
    <x v="66"/>
    <n v="500000"/>
    <n v="1852"/>
  </r>
  <r>
    <s v="2025-03-12"/>
    <x v="3"/>
    <s v="Wednesday"/>
    <x v="1"/>
    <x v="1"/>
    <s v="Retail"/>
    <s v="Store"/>
    <x v="3"/>
    <x v="2"/>
    <n v="300000"/>
    <n v="4"/>
    <x v="3"/>
    <n v="240000"/>
    <n v="1200000"/>
    <x v="29"/>
    <n v="240000"/>
    <n v="1853"/>
  </r>
  <r>
    <s v="2025-04-22"/>
    <x v="1"/>
    <s v="Tuesday"/>
    <x v="2"/>
    <x v="2"/>
    <s v="Retail"/>
    <s v="Store"/>
    <x v="5"/>
    <x v="0"/>
    <n v="320000"/>
    <n v="5"/>
    <x v="5"/>
    <n v="256000"/>
    <n v="1600000"/>
    <x v="28"/>
    <n v="320000"/>
    <n v="1854"/>
  </r>
  <r>
    <s v="2025-04-23"/>
    <x v="1"/>
    <s v="Wednesday"/>
    <x v="2"/>
    <x v="1"/>
    <s v="Retail"/>
    <s v="Store"/>
    <x v="5"/>
    <x v="0"/>
    <n v="320000"/>
    <n v="1"/>
    <x v="1"/>
    <n v="256000"/>
    <n v="320000"/>
    <x v="7"/>
    <n v="64000"/>
    <n v="1855"/>
  </r>
  <r>
    <s v="2025-01-20"/>
    <x v="0"/>
    <s v="Monday"/>
    <x v="3"/>
    <x v="0"/>
    <s v="Retail"/>
    <s v="Store"/>
    <x v="7"/>
    <x v="2"/>
    <n v="420000"/>
    <n v="4"/>
    <x v="4"/>
    <n v="336000"/>
    <n v="1680000"/>
    <x v="45"/>
    <n v="336000"/>
    <n v="1856"/>
  </r>
  <r>
    <s v="2025-04-05"/>
    <x v="1"/>
    <s v="Saturday"/>
    <x v="2"/>
    <x v="2"/>
    <s v="Corporate"/>
    <s v="Store"/>
    <x v="0"/>
    <x v="0"/>
    <n v="85000"/>
    <n v="5"/>
    <x v="2"/>
    <n v="68000"/>
    <n v="425000"/>
    <x v="58"/>
    <n v="85000"/>
    <n v="1857"/>
  </r>
  <r>
    <s v="2025-03-13"/>
    <x v="3"/>
    <s v="Thursday"/>
    <x v="1"/>
    <x v="1"/>
    <s v="Corporate"/>
    <s v="Store"/>
    <x v="2"/>
    <x v="1"/>
    <n v="60000"/>
    <n v="3"/>
    <x v="0"/>
    <n v="48000"/>
    <n v="180000"/>
    <x v="32"/>
    <n v="36000"/>
    <n v="1858"/>
  </r>
  <r>
    <s v="2025-01-15"/>
    <x v="0"/>
    <s v="Wednesday"/>
    <x v="0"/>
    <x v="3"/>
    <s v="Retail"/>
    <s v="Store"/>
    <x v="8"/>
    <x v="2"/>
    <n v="250000"/>
    <n v="4"/>
    <x v="4"/>
    <n v="200000"/>
    <n v="1000000"/>
    <x v="14"/>
    <n v="200000"/>
    <n v="1859"/>
  </r>
  <r>
    <s v="2025-03-31"/>
    <x v="3"/>
    <s v="Monday"/>
    <x v="1"/>
    <x v="0"/>
    <s v="Retail"/>
    <s v="Store"/>
    <x v="7"/>
    <x v="2"/>
    <n v="420000"/>
    <n v="5"/>
    <x v="0"/>
    <n v="336000"/>
    <n v="2100000"/>
    <x v="13"/>
    <n v="420000"/>
    <n v="1860"/>
  </r>
  <r>
    <s v="2025-03-26"/>
    <x v="3"/>
    <s v="Wednesday"/>
    <x v="0"/>
    <x v="2"/>
    <s v="Retail"/>
    <s v="Store"/>
    <x v="6"/>
    <x v="2"/>
    <n v="150000"/>
    <n v="5"/>
    <x v="2"/>
    <n v="120000"/>
    <n v="750000"/>
    <x v="56"/>
    <n v="150000"/>
    <n v="1861"/>
  </r>
  <r>
    <s v="2025-01-31"/>
    <x v="0"/>
    <s v="Friday"/>
    <x v="3"/>
    <x v="1"/>
    <s v="Corporate"/>
    <s v="Store"/>
    <x v="4"/>
    <x v="1"/>
    <n v="180000"/>
    <n v="1"/>
    <x v="3"/>
    <n v="144000"/>
    <n v="180000"/>
    <x v="32"/>
    <n v="36000"/>
    <n v="1862"/>
  </r>
  <r>
    <s v="2025-04-20"/>
    <x v="1"/>
    <s v="Sunday"/>
    <x v="2"/>
    <x v="3"/>
    <s v="Corporate"/>
    <s v="Store"/>
    <x v="4"/>
    <x v="1"/>
    <n v="180000"/>
    <n v="1"/>
    <x v="2"/>
    <n v="144000"/>
    <n v="180000"/>
    <x v="32"/>
    <n v="36000"/>
    <n v="1863"/>
  </r>
  <r>
    <s v="2025-04-13"/>
    <x v="1"/>
    <s v="Sunday"/>
    <x v="0"/>
    <x v="1"/>
    <s v="Retail"/>
    <s v="Store"/>
    <x v="8"/>
    <x v="2"/>
    <n v="250000"/>
    <n v="9"/>
    <x v="0"/>
    <n v="200000"/>
    <n v="2250000"/>
    <x v="71"/>
    <n v="450000"/>
    <n v="1864"/>
  </r>
  <r>
    <s v="2025-01-18"/>
    <x v="0"/>
    <s v="Saturday"/>
    <x v="3"/>
    <x v="0"/>
    <s v="Retail"/>
    <s v="Store"/>
    <x v="0"/>
    <x v="0"/>
    <n v="85000"/>
    <n v="4"/>
    <x v="3"/>
    <n v="68000"/>
    <n v="340000"/>
    <x v="74"/>
    <n v="68000"/>
    <n v="1865"/>
  </r>
  <r>
    <s v="2025-02-12"/>
    <x v="2"/>
    <s v="Wednesday"/>
    <x v="0"/>
    <x v="3"/>
    <s v="Corporate"/>
    <s v="Store"/>
    <x v="7"/>
    <x v="2"/>
    <n v="420000"/>
    <n v="8"/>
    <x v="1"/>
    <n v="336000"/>
    <n v="3360000"/>
    <x v="19"/>
    <n v="672000"/>
    <n v="1866"/>
  </r>
  <r>
    <s v="2025-03-08"/>
    <x v="3"/>
    <s v="Saturday"/>
    <x v="2"/>
    <x v="3"/>
    <s v="Corporate"/>
    <s v="Store"/>
    <x v="5"/>
    <x v="0"/>
    <n v="320000"/>
    <n v="6"/>
    <x v="1"/>
    <n v="256000"/>
    <n v="1920000"/>
    <x v="31"/>
    <n v="384000"/>
    <n v="1867"/>
  </r>
  <r>
    <s v="2025-03-20"/>
    <x v="3"/>
    <s v="Thursday"/>
    <x v="3"/>
    <x v="1"/>
    <s v="Retail"/>
    <s v="Store"/>
    <x v="6"/>
    <x v="2"/>
    <n v="150000"/>
    <n v="3"/>
    <x v="4"/>
    <n v="120000"/>
    <n v="450000"/>
    <x v="34"/>
    <n v="90000"/>
    <n v="1868"/>
  </r>
  <r>
    <s v="2025-01-20"/>
    <x v="0"/>
    <s v="Monday"/>
    <x v="0"/>
    <x v="3"/>
    <s v="Retail"/>
    <s v="Store"/>
    <x v="0"/>
    <x v="0"/>
    <n v="85000"/>
    <n v="3"/>
    <x v="2"/>
    <n v="68000"/>
    <n v="255000"/>
    <x v="23"/>
    <n v="51000"/>
    <n v="1869"/>
  </r>
  <r>
    <s v="2025-03-16"/>
    <x v="3"/>
    <s v="Sunday"/>
    <x v="3"/>
    <x v="1"/>
    <s v="Retail"/>
    <s v="Store"/>
    <x v="3"/>
    <x v="2"/>
    <n v="300000"/>
    <n v="1"/>
    <x v="2"/>
    <n v="240000"/>
    <n v="300000"/>
    <x v="11"/>
    <n v="60000"/>
    <n v="1870"/>
  </r>
  <r>
    <s v="2025-03-29"/>
    <x v="3"/>
    <s v="Saturday"/>
    <x v="2"/>
    <x v="1"/>
    <s v="Corporate"/>
    <s v="Online"/>
    <x v="4"/>
    <x v="1"/>
    <n v="180000"/>
    <n v="4"/>
    <x v="4"/>
    <n v="144000"/>
    <n v="720000"/>
    <x v="65"/>
    <n v="144000"/>
    <n v="1871"/>
  </r>
  <r>
    <s v="2025-03-12"/>
    <x v="3"/>
    <s v="Wednesday"/>
    <x v="0"/>
    <x v="1"/>
    <s v="Retail"/>
    <s v="Online"/>
    <x v="7"/>
    <x v="2"/>
    <n v="420000"/>
    <n v="10"/>
    <x v="3"/>
    <n v="336000"/>
    <n v="4200000"/>
    <x v="20"/>
    <n v="840000"/>
    <n v="1872"/>
  </r>
  <r>
    <s v="2025-04-03"/>
    <x v="1"/>
    <s v="Thursday"/>
    <x v="3"/>
    <x v="3"/>
    <s v="Corporate"/>
    <s v="Online"/>
    <x v="6"/>
    <x v="2"/>
    <n v="150000"/>
    <n v="4"/>
    <x v="5"/>
    <n v="120000"/>
    <n v="600000"/>
    <x v="4"/>
    <n v="120000"/>
    <n v="1873"/>
  </r>
  <r>
    <s v="2025-04-23"/>
    <x v="1"/>
    <s v="Wednesday"/>
    <x v="1"/>
    <x v="2"/>
    <s v="Retail"/>
    <s v="Online"/>
    <x v="0"/>
    <x v="0"/>
    <n v="85000"/>
    <n v="6"/>
    <x v="5"/>
    <n v="68000"/>
    <n v="510000"/>
    <x v="60"/>
    <n v="102000"/>
    <n v="1874"/>
  </r>
  <r>
    <s v="2025-01-22"/>
    <x v="0"/>
    <s v="Wednesday"/>
    <x v="2"/>
    <x v="0"/>
    <s v="Corporate"/>
    <s v="Store"/>
    <x v="3"/>
    <x v="2"/>
    <n v="300000"/>
    <n v="10"/>
    <x v="0"/>
    <n v="240000"/>
    <n v="3000000"/>
    <x v="68"/>
    <n v="600000"/>
    <n v="1875"/>
  </r>
  <r>
    <s v="2025-05-01"/>
    <x v="4"/>
    <s v="Thursday"/>
    <x v="1"/>
    <x v="1"/>
    <s v="Corporate"/>
    <s v="Store"/>
    <x v="6"/>
    <x v="2"/>
    <n v="150000"/>
    <n v="6"/>
    <x v="5"/>
    <n v="120000"/>
    <n v="900000"/>
    <x v="48"/>
    <n v="180000"/>
    <n v="1876"/>
  </r>
  <r>
    <s v="2025-04-07"/>
    <x v="1"/>
    <s v="Monday"/>
    <x v="2"/>
    <x v="0"/>
    <s v="Corporate"/>
    <s v="Store"/>
    <x v="6"/>
    <x v="2"/>
    <n v="150000"/>
    <n v="1"/>
    <x v="5"/>
    <n v="120000"/>
    <n v="150000"/>
    <x v="26"/>
    <n v="30000"/>
    <n v="1877"/>
  </r>
  <r>
    <s v="2025-01-26"/>
    <x v="0"/>
    <s v="Sunday"/>
    <x v="3"/>
    <x v="0"/>
    <s v="Retail"/>
    <s v="Store"/>
    <x v="3"/>
    <x v="2"/>
    <n v="300000"/>
    <n v="3"/>
    <x v="2"/>
    <n v="240000"/>
    <n v="900000"/>
    <x v="48"/>
    <n v="180000"/>
    <n v="1878"/>
  </r>
  <r>
    <s v="2025-01-26"/>
    <x v="0"/>
    <s v="Sunday"/>
    <x v="3"/>
    <x v="0"/>
    <s v="Retail"/>
    <s v="Online"/>
    <x v="3"/>
    <x v="2"/>
    <n v="300000"/>
    <n v="8"/>
    <x v="4"/>
    <n v="240000"/>
    <n v="2400000"/>
    <x v="24"/>
    <n v="480000"/>
    <n v="1879"/>
  </r>
  <r>
    <s v="2025-01-02"/>
    <x v="0"/>
    <s v="Thursday"/>
    <x v="1"/>
    <x v="0"/>
    <s v="Corporate"/>
    <s v="Online"/>
    <x v="3"/>
    <x v="2"/>
    <n v="300000"/>
    <n v="9"/>
    <x v="0"/>
    <n v="240000"/>
    <n v="2700000"/>
    <x v="39"/>
    <n v="540000"/>
    <n v="1880"/>
  </r>
  <r>
    <s v="2025-01-11"/>
    <x v="0"/>
    <s v="Saturday"/>
    <x v="3"/>
    <x v="1"/>
    <s v="Retail"/>
    <s v="Online"/>
    <x v="3"/>
    <x v="2"/>
    <n v="300000"/>
    <n v="2"/>
    <x v="3"/>
    <n v="240000"/>
    <n v="600000"/>
    <x v="4"/>
    <n v="120000"/>
    <n v="1881"/>
  </r>
  <r>
    <s v="2025-03-10"/>
    <x v="3"/>
    <s v="Monday"/>
    <x v="3"/>
    <x v="0"/>
    <s v="Corporate"/>
    <s v="Store"/>
    <x v="3"/>
    <x v="2"/>
    <n v="300000"/>
    <n v="10"/>
    <x v="2"/>
    <n v="240000"/>
    <n v="3000000"/>
    <x v="68"/>
    <n v="600000"/>
    <n v="1882"/>
  </r>
  <r>
    <s v="2025-01-06"/>
    <x v="0"/>
    <s v="Monday"/>
    <x v="0"/>
    <x v="2"/>
    <s v="Corporate"/>
    <s v="Store"/>
    <x v="9"/>
    <x v="1"/>
    <n v="220000"/>
    <n v="4"/>
    <x v="4"/>
    <n v="176000"/>
    <n v="880000"/>
    <x v="22"/>
    <n v="176000"/>
    <n v="1883"/>
  </r>
  <r>
    <s v="2025-04-25"/>
    <x v="1"/>
    <s v="Friday"/>
    <x v="3"/>
    <x v="1"/>
    <s v="Corporate"/>
    <s v="Online"/>
    <x v="0"/>
    <x v="0"/>
    <n v="85000"/>
    <n v="6"/>
    <x v="4"/>
    <n v="68000"/>
    <n v="510000"/>
    <x v="60"/>
    <n v="102000"/>
    <n v="1884"/>
  </r>
  <r>
    <s v="2025-03-22"/>
    <x v="3"/>
    <s v="Saturday"/>
    <x v="0"/>
    <x v="2"/>
    <s v="Corporate"/>
    <s v="Store"/>
    <x v="2"/>
    <x v="1"/>
    <n v="60000"/>
    <n v="4"/>
    <x v="2"/>
    <n v="48000"/>
    <n v="240000"/>
    <x v="1"/>
    <n v="48000"/>
    <n v="1885"/>
  </r>
  <r>
    <s v="2025-04-22"/>
    <x v="1"/>
    <s v="Tuesday"/>
    <x v="1"/>
    <x v="0"/>
    <s v="Retail"/>
    <s v="Store"/>
    <x v="9"/>
    <x v="1"/>
    <n v="220000"/>
    <n v="2"/>
    <x v="1"/>
    <n v="176000"/>
    <n v="440000"/>
    <x v="15"/>
    <n v="88000"/>
    <n v="1886"/>
  </r>
  <r>
    <s v="2025-03-17"/>
    <x v="3"/>
    <s v="Monday"/>
    <x v="1"/>
    <x v="3"/>
    <s v="Corporate"/>
    <s v="Online"/>
    <x v="3"/>
    <x v="2"/>
    <n v="300000"/>
    <n v="3"/>
    <x v="0"/>
    <n v="240000"/>
    <n v="900000"/>
    <x v="48"/>
    <n v="180000"/>
    <n v="1887"/>
  </r>
  <r>
    <s v="2025-04-12"/>
    <x v="1"/>
    <s v="Saturday"/>
    <x v="2"/>
    <x v="0"/>
    <s v="Corporate"/>
    <s v="Online"/>
    <x v="9"/>
    <x v="1"/>
    <n v="220000"/>
    <n v="8"/>
    <x v="5"/>
    <n v="176000"/>
    <n v="1760000"/>
    <x v="42"/>
    <n v="352000"/>
    <n v="1888"/>
  </r>
  <r>
    <s v="2025-04-05"/>
    <x v="1"/>
    <s v="Saturday"/>
    <x v="0"/>
    <x v="0"/>
    <s v="Retail"/>
    <s v="Online"/>
    <x v="8"/>
    <x v="2"/>
    <n v="250000"/>
    <n v="8"/>
    <x v="4"/>
    <n v="200000"/>
    <n v="2000000"/>
    <x v="52"/>
    <n v="400000"/>
    <n v="1889"/>
  </r>
  <r>
    <s v="2025-03-22"/>
    <x v="3"/>
    <s v="Saturday"/>
    <x v="2"/>
    <x v="0"/>
    <s v="Retail"/>
    <s v="Online"/>
    <x v="0"/>
    <x v="0"/>
    <n v="85000"/>
    <n v="2"/>
    <x v="0"/>
    <n v="68000"/>
    <n v="170000"/>
    <x v="2"/>
    <n v="34000"/>
    <n v="1890"/>
  </r>
  <r>
    <s v="2025-04-30"/>
    <x v="1"/>
    <s v="Wednesday"/>
    <x v="3"/>
    <x v="2"/>
    <s v="Corporate"/>
    <s v="Store"/>
    <x v="6"/>
    <x v="2"/>
    <n v="150000"/>
    <n v="7"/>
    <x v="4"/>
    <n v="120000"/>
    <n v="1050000"/>
    <x v="16"/>
    <n v="210000"/>
    <n v="1891"/>
  </r>
  <r>
    <s v="2025-03-14"/>
    <x v="3"/>
    <s v="Friday"/>
    <x v="2"/>
    <x v="2"/>
    <s v="Retail"/>
    <s v="Online"/>
    <x v="1"/>
    <x v="1"/>
    <n v="30000"/>
    <n v="8"/>
    <x v="2"/>
    <n v="24000"/>
    <n v="240000"/>
    <x v="1"/>
    <n v="48000"/>
    <n v="1892"/>
  </r>
  <r>
    <s v="2025-01-27"/>
    <x v="0"/>
    <s v="Monday"/>
    <x v="0"/>
    <x v="0"/>
    <s v="Corporate"/>
    <s v="Online"/>
    <x v="0"/>
    <x v="0"/>
    <n v="85000"/>
    <n v="2"/>
    <x v="4"/>
    <n v="68000"/>
    <n v="170000"/>
    <x v="2"/>
    <n v="34000"/>
    <n v="1893"/>
  </r>
  <r>
    <s v="2025-03-28"/>
    <x v="3"/>
    <s v="Friday"/>
    <x v="0"/>
    <x v="3"/>
    <s v="Retail"/>
    <s v="Online"/>
    <x v="4"/>
    <x v="1"/>
    <n v="180000"/>
    <n v="5"/>
    <x v="1"/>
    <n v="144000"/>
    <n v="900000"/>
    <x v="48"/>
    <n v="180000"/>
    <n v="1894"/>
  </r>
  <r>
    <s v="2025-03-10"/>
    <x v="3"/>
    <s v="Monday"/>
    <x v="0"/>
    <x v="2"/>
    <s v="Retail"/>
    <s v="Online"/>
    <x v="0"/>
    <x v="0"/>
    <n v="85000"/>
    <n v="9"/>
    <x v="4"/>
    <n v="68000"/>
    <n v="765000"/>
    <x v="18"/>
    <n v="153000"/>
    <n v="1895"/>
  </r>
  <r>
    <s v="2025-01-07"/>
    <x v="0"/>
    <s v="Tuesday"/>
    <x v="0"/>
    <x v="3"/>
    <s v="Corporate"/>
    <s v="Online"/>
    <x v="7"/>
    <x v="2"/>
    <n v="420000"/>
    <n v="9"/>
    <x v="1"/>
    <n v="336000"/>
    <n v="3780000"/>
    <x v="12"/>
    <n v="756000"/>
    <n v="1896"/>
  </r>
  <r>
    <s v="2025-03-12"/>
    <x v="3"/>
    <s v="Wednesday"/>
    <x v="3"/>
    <x v="3"/>
    <s v="Retail"/>
    <s v="Online"/>
    <x v="5"/>
    <x v="0"/>
    <n v="320000"/>
    <n v="5"/>
    <x v="0"/>
    <n v="256000"/>
    <n v="1600000"/>
    <x v="28"/>
    <n v="320000"/>
    <n v="1897"/>
  </r>
  <r>
    <s v="2025-04-22"/>
    <x v="1"/>
    <s v="Tuesday"/>
    <x v="0"/>
    <x v="1"/>
    <s v="Retail"/>
    <s v="Online"/>
    <x v="5"/>
    <x v="0"/>
    <n v="320000"/>
    <n v="1"/>
    <x v="4"/>
    <n v="256000"/>
    <n v="320000"/>
    <x v="7"/>
    <n v="64000"/>
    <n v="1898"/>
  </r>
  <r>
    <s v="2025-03-17"/>
    <x v="3"/>
    <s v="Monday"/>
    <x v="3"/>
    <x v="2"/>
    <s v="Retail"/>
    <s v="Online"/>
    <x v="1"/>
    <x v="1"/>
    <n v="30000"/>
    <n v="10"/>
    <x v="3"/>
    <n v="24000"/>
    <n v="300000"/>
    <x v="11"/>
    <n v="60000"/>
    <n v="1899"/>
  </r>
  <r>
    <s v="2025-02-14"/>
    <x v="2"/>
    <s v="Friday"/>
    <x v="1"/>
    <x v="0"/>
    <s v="Retail"/>
    <s v="Store"/>
    <x v="4"/>
    <x v="1"/>
    <n v="180000"/>
    <n v="10"/>
    <x v="5"/>
    <n v="144000"/>
    <n v="1800000"/>
    <x v="5"/>
    <n v="360000"/>
    <n v="1900"/>
  </r>
  <r>
    <s v="2025-03-16"/>
    <x v="3"/>
    <s v="Sunday"/>
    <x v="0"/>
    <x v="2"/>
    <s v="Corporate"/>
    <s v="Online"/>
    <x v="5"/>
    <x v="0"/>
    <n v="320000"/>
    <n v="9"/>
    <x v="2"/>
    <n v="256000"/>
    <n v="2880000"/>
    <x v="8"/>
    <n v="576000"/>
    <n v="1901"/>
  </r>
  <r>
    <s v="2025-01-02"/>
    <x v="0"/>
    <s v="Thursday"/>
    <x v="0"/>
    <x v="3"/>
    <s v="Corporate"/>
    <s v="Online"/>
    <x v="7"/>
    <x v="2"/>
    <n v="420000"/>
    <n v="2"/>
    <x v="4"/>
    <n v="336000"/>
    <n v="840000"/>
    <x v="62"/>
    <n v="168000"/>
    <n v="1902"/>
  </r>
  <r>
    <s v="2025-01-27"/>
    <x v="0"/>
    <s v="Monday"/>
    <x v="3"/>
    <x v="0"/>
    <s v="Retail"/>
    <s v="Online"/>
    <x v="3"/>
    <x v="2"/>
    <n v="300000"/>
    <n v="6"/>
    <x v="2"/>
    <n v="240000"/>
    <n v="1800000"/>
    <x v="5"/>
    <n v="360000"/>
    <n v="1903"/>
  </r>
  <r>
    <s v="2025-01-27"/>
    <x v="0"/>
    <s v="Monday"/>
    <x v="3"/>
    <x v="2"/>
    <s v="Corporate"/>
    <s v="Store"/>
    <x v="1"/>
    <x v="1"/>
    <n v="30000"/>
    <n v="4"/>
    <x v="1"/>
    <n v="24000"/>
    <n v="120000"/>
    <x v="3"/>
    <n v="24000"/>
    <n v="1904"/>
  </r>
  <r>
    <s v="2025-02-01"/>
    <x v="2"/>
    <s v="Saturday"/>
    <x v="2"/>
    <x v="3"/>
    <s v="Corporate"/>
    <s v="Store"/>
    <x v="5"/>
    <x v="0"/>
    <n v="320000"/>
    <n v="7"/>
    <x v="2"/>
    <n v="256000"/>
    <n v="2240000"/>
    <x v="10"/>
    <n v="448000"/>
    <n v="1905"/>
  </r>
  <r>
    <s v="2025-01-11"/>
    <x v="0"/>
    <s v="Saturday"/>
    <x v="3"/>
    <x v="2"/>
    <s v="Corporate"/>
    <s v="Store"/>
    <x v="5"/>
    <x v="0"/>
    <n v="320000"/>
    <n v="1"/>
    <x v="4"/>
    <n v="256000"/>
    <n v="320000"/>
    <x v="7"/>
    <n v="64000"/>
    <n v="1906"/>
  </r>
  <r>
    <s v="2025-04-13"/>
    <x v="1"/>
    <s v="Sunday"/>
    <x v="3"/>
    <x v="2"/>
    <s v="Corporate"/>
    <s v="Online"/>
    <x v="3"/>
    <x v="2"/>
    <n v="300000"/>
    <n v="3"/>
    <x v="3"/>
    <n v="240000"/>
    <n v="900000"/>
    <x v="48"/>
    <n v="180000"/>
    <n v="1907"/>
  </r>
  <r>
    <s v="2025-02-04"/>
    <x v="2"/>
    <s v="Tuesday"/>
    <x v="3"/>
    <x v="1"/>
    <s v="Corporate"/>
    <s v="Online"/>
    <x v="1"/>
    <x v="1"/>
    <n v="30000"/>
    <n v="6"/>
    <x v="2"/>
    <n v="24000"/>
    <n v="180000"/>
    <x v="32"/>
    <n v="36000"/>
    <n v="1908"/>
  </r>
  <r>
    <s v="2025-03-05"/>
    <x v="3"/>
    <s v="Wednesday"/>
    <x v="1"/>
    <x v="2"/>
    <s v="Corporate"/>
    <s v="Store"/>
    <x v="9"/>
    <x v="1"/>
    <n v="220000"/>
    <n v="1"/>
    <x v="2"/>
    <n v="176000"/>
    <n v="220000"/>
    <x v="25"/>
    <n v="44000"/>
    <n v="1909"/>
  </r>
  <r>
    <s v="2025-01-08"/>
    <x v="0"/>
    <s v="Wednesday"/>
    <x v="3"/>
    <x v="3"/>
    <s v="Retail"/>
    <s v="Online"/>
    <x v="1"/>
    <x v="1"/>
    <n v="30000"/>
    <n v="9"/>
    <x v="3"/>
    <n v="24000"/>
    <n v="270000"/>
    <x v="57"/>
    <n v="54000"/>
    <n v="1910"/>
  </r>
  <r>
    <s v="2025-03-21"/>
    <x v="3"/>
    <s v="Friday"/>
    <x v="0"/>
    <x v="0"/>
    <s v="Corporate"/>
    <s v="Online"/>
    <x v="9"/>
    <x v="1"/>
    <n v="220000"/>
    <n v="10"/>
    <x v="3"/>
    <n v="176000"/>
    <n v="2200000"/>
    <x v="61"/>
    <n v="440000"/>
    <n v="1911"/>
  </r>
  <r>
    <s v="2025-04-07"/>
    <x v="1"/>
    <s v="Monday"/>
    <x v="1"/>
    <x v="2"/>
    <s v="Retail"/>
    <s v="Online"/>
    <x v="9"/>
    <x v="1"/>
    <n v="220000"/>
    <n v="9"/>
    <x v="0"/>
    <n v="176000"/>
    <n v="1980000"/>
    <x v="64"/>
    <n v="396000"/>
    <n v="1912"/>
  </r>
  <r>
    <s v="2025-03-02"/>
    <x v="3"/>
    <s v="Sunday"/>
    <x v="0"/>
    <x v="3"/>
    <s v="Corporate"/>
    <s v="Online"/>
    <x v="2"/>
    <x v="1"/>
    <n v="60000"/>
    <n v="4"/>
    <x v="1"/>
    <n v="48000"/>
    <n v="240000"/>
    <x v="1"/>
    <n v="48000"/>
    <n v="1913"/>
  </r>
  <r>
    <s v="2025-04-13"/>
    <x v="1"/>
    <s v="Sunday"/>
    <x v="2"/>
    <x v="2"/>
    <s v="Corporate"/>
    <s v="Store"/>
    <x v="9"/>
    <x v="1"/>
    <n v="220000"/>
    <n v="7"/>
    <x v="1"/>
    <n v="176000"/>
    <n v="1540000"/>
    <x v="67"/>
    <n v="308000"/>
    <n v="1914"/>
  </r>
  <r>
    <s v="2025-03-05"/>
    <x v="3"/>
    <s v="Wednesday"/>
    <x v="0"/>
    <x v="2"/>
    <s v="Retail"/>
    <s v="Store"/>
    <x v="5"/>
    <x v="0"/>
    <n v="320000"/>
    <n v="9"/>
    <x v="2"/>
    <n v="256000"/>
    <n v="2880000"/>
    <x v="8"/>
    <n v="576000"/>
    <n v="1915"/>
  </r>
  <r>
    <s v="2025-04-24"/>
    <x v="1"/>
    <s v="Thursday"/>
    <x v="0"/>
    <x v="1"/>
    <s v="Corporate"/>
    <s v="Store"/>
    <x v="0"/>
    <x v="0"/>
    <n v="85000"/>
    <n v="5"/>
    <x v="5"/>
    <n v="68000"/>
    <n v="425000"/>
    <x v="58"/>
    <n v="85000"/>
    <n v="1916"/>
  </r>
  <r>
    <s v="2025-01-05"/>
    <x v="0"/>
    <s v="Sunday"/>
    <x v="3"/>
    <x v="3"/>
    <s v="Retail"/>
    <s v="Online"/>
    <x v="8"/>
    <x v="2"/>
    <n v="250000"/>
    <n v="10"/>
    <x v="4"/>
    <n v="200000"/>
    <n v="2500000"/>
    <x v="66"/>
    <n v="500000"/>
    <n v="1917"/>
  </r>
  <r>
    <s v="2025-04-21"/>
    <x v="1"/>
    <s v="Monday"/>
    <x v="1"/>
    <x v="3"/>
    <s v="Retail"/>
    <s v="Store"/>
    <x v="5"/>
    <x v="0"/>
    <n v="320000"/>
    <n v="8"/>
    <x v="2"/>
    <n v="256000"/>
    <n v="2560000"/>
    <x v="72"/>
    <n v="512000"/>
    <n v="1918"/>
  </r>
  <r>
    <s v="2025-01-04"/>
    <x v="0"/>
    <s v="Saturday"/>
    <x v="3"/>
    <x v="0"/>
    <s v="Corporate"/>
    <s v="Store"/>
    <x v="6"/>
    <x v="2"/>
    <n v="150000"/>
    <n v="7"/>
    <x v="3"/>
    <n v="120000"/>
    <n v="1050000"/>
    <x v="16"/>
    <n v="210000"/>
    <n v="1919"/>
  </r>
  <r>
    <s v="2025-01-05"/>
    <x v="0"/>
    <s v="Sunday"/>
    <x v="3"/>
    <x v="2"/>
    <s v="Retail"/>
    <s v="Store"/>
    <x v="4"/>
    <x v="1"/>
    <n v="180000"/>
    <n v="8"/>
    <x v="3"/>
    <n v="144000"/>
    <n v="1440000"/>
    <x v="37"/>
    <n v="288000"/>
    <n v="1920"/>
  </r>
  <r>
    <s v="2025-04-06"/>
    <x v="1"/>
    <s v="Sunday"/>
    <x v="0"/>
    <x v="3"/>
    <s v="Retail"/>
    <s v="Online"/>
    <x v="5"/>
    <x v="0"/>
    <n v="320000"/>
    <n v="10"/>
    <x v="2"/>
    <n v="256000"/>
    <n v="3200000"/>
    <x v="35"/>
    <n v="640000"/>
    <n v="1921"/>
  </r>
  <r>
    <s v="2025-02-05"/>
    <x v="2"/>
    <s v="Wednesday"/>
    <x v="3"/>
    <x v="0"/>
    <s v="Corporate"/>
    <s v="Store"/>
    <x v="6"/>
    <x v="2"/>
    <n v="150000"/>
    <n v="7"/>
    <x v="5"/>
    <n v="120000"/>
    <n v="1050000"/>
    <x v="16"/>
    <n v="210000"/>
    <n v="1922"/>
  </r>
  <r>
    <s v="2025-03-18"/>
    <x v="3"/>
    <s v="Tuesday"/>
    <x v="2"/>
    <x v="1"/>
    <s v="Corporate"/>
    <s v="Store"/>
    <x v="9"/>
    <x v="1"/>
    <n v="220000"/>
    <n v="1"/>
    <x v="1"/>
    <n v="176000"/>
    <n v="220000"/>
    <x v="25"/>
    <n v="44000"/>
    <n v="1923"/>
  </r>
  <r>
    <s v="2025-01-30"/>
    <x v="0"/>
    <s v="Thursday"/>
    <x v="3"/>
    <x v="3"/>
    <s v="Corporate"/>
    <s v="Online"/>
    <x v="9"/>
    <x v="1"/>
    <n v="220000"/>
    <n v="7"/>
    <x v="1"/>
    <n v="176000"/>
    <n v="1540000"/>
    <x v="67"/>
    <n v="308000"/>
    <n v="1924"/>
  </r>
  <r>
    <s v="2025-02-28"/>
    <x v="2"/>
    <s v="Friday"/>
    <x v="2"/>
    <x v="3"/>
    <s v="Corporate"/>
    <s v="Store"/>
    <x v="6"/>
    <x v="2"/>
    <n v="150000"/>
    <n v="6"/>
    <x v="1"/>
    <n v="120000"/>
    <n v="900000"/>
    <x v="48"/>
    <n v="180000"/>
    <n v="1925"/>
  </r>
  <r>
    <s v="2025-02-06"/>
    <x v="2"/>
    <s v="Thursday"/>
    <x v="1"/>
    <x v="0"/>
    <s v="Retail"/>
    <s v="Online"/>
    <x v="3"/>
    <x v="2"/>
    <n v="300000"/>
    <n v="8"/>
    <x v="2"/>
    <n v="240000"/>
    <n v="2400000"/>
    <x v="24"/>
    <n v="480000"/>
    <n v="1926"/>
  </r>
  <r>
    <s v="2025-01-15"/>
    <x v="0"/>
    <s v="Wednesday"/>
    <x v="1"/>
    <x v="3"/>
    <s v="Corporate"/>
    <s v="Store"/>
    <x v="7"/>
    <x v="2"/>
    <n v="420000"/>
    <n v="10"/>
    <x v="5"/>
    <n v="336000"/>
    <n v="4200000"/>
    <x v="20"/>
    <n v="840000"/>
    <n v="1927"/>
  </r>
  <r>
    <s v="2025-04-24"/>
    <x v="1"/>
    <s v="Thursday"/>
    <x v="3"/>
    <x v="1"/>
    <s v="Retail"/>
    <s v="Store"/>
    <x v="1"/>
    <x v="1"/>
    <n v="30000"/>
    <n v="1"/>
    <x v="1"/>
    <n v="24000"/>
    <n v="30000"/>
    <x v="75"/>
    <n v="6000"/>
    <n v="1928"/>
  </r>
  <r>
    <s v="2025-01-17"/>
    <x v="0"/>
    <s v="Friday"/>
    <x v="1"/>
    <x v="0"/>
    <s v="Corporate"/>
    <s v="Online"/>
    <x v="7"/>
    <x v="2"/>
    <n v="420000"/>
    <n v="7"/>
    <x v="0"/>
    <n v="336000"/>
    <n v="2940000"/>
    <x v="70"/>
    <n v="588000"/>
    <n v="1929"/>
  </r>
  <r>
    <s v="2025-02-02"/>
    <x v="2"/>
    <s v="Sunday"/>
    <x v="3"/>
    <x v="0"/>
    <s v="Corporate"/>
    <s v="Store"/>
    <x v="4"/>
    <x v="1"/>
    <n v="180000"/>
    <n v="6"/>
    <x v="3"/>
    <n v="144000"/>
    <n v="1080000"/>
    <x v="53"/>
    <n v="216000"/>
    <n v="1930"/>
  </r>
  <r>
    <s v="2025-03-24"/>
    <x v="3"/>
    <s v="Monday"/>
    <x v="2"/>
    <x v="2"/>
    <s v="Retail"/>
    <s v="Online"/>
    <x v="1"/>
    <x v="1"/>
    <n v="30000"/>
    <n v="10"/>
    <x v="5"/>
    <n v="24000"/>
    <n v="300000"/>
    <x v="11"/>
    <n v="60000"/>
    <n v="1931"/>
  </r>
  <r>
    <s v="2025-02-01"/>
    <x v="2"/>
    <s v="Saturday"/>
    <x v="0"/>
    <x v="0"/>
    <s v="Retail"/>
    <s v="Store"/>
    <x v="9"/>
    <x v="1"/>
    <n v="220000"/>
    <n v="1"/>
    <x v="5"/>
    <n v="176000"/>
    <n v="220000"/>
    <x v="25"/>
    <n v="44000"/>
    <n v="1932"/>
  </r>
  <r>
    <s v="2025-04-02"/>
    <x v="1"/>
    <s v="Wednesday"/>
    <x v="2"/>
    <x v="2"/>
    <s v="Retail"/>
    <s v="Online"/>
    <x v="5"/>
    <x v="0"/>
    <n v="320000"/>
    <n v="6"/>
    <x v="3"/>
    <n v="256000"/>
    <n v="1920000"/>
    <x v="31"/>
    <n v="384000"/>
    <n v="1933"/>
  </r>
  <r>
    <s v="2025-03-28"/>
    <x v="3"/>
    <s v="Friday"/>
    <x v="2"/>
    <x v="3"/>
    <s v="Corporate"/>
    <s v="Store"/>
    <x v="2"/>
    <x v="1"/>
    <n v="60000"/>
    <n v="10"/>
    <x v="1"/>
    <n v="48000"/>
    <n v="600000"/>
    <x v="4"/>
    <n v="120000"/>
    <n v="1934"/>
  </r>
  <r>
    <s v="2025-04-10"/>
    <x v="1"/>
    <s v="Thursday"/>
    <x v="0"/>
    <x v="3"/>
    <s v="Retail"/>
    <s v="Online"/>
    <x v="0"/>
    <x v="0"/>
    <n v="85000"/>
    <n v="7"/>
    <x v="5"/>
    <n v="68000"/>
    <n v="595000"/>
    <x v="30"/>
    <n v="119000"/>
    <n v="1935"/>
  </r>
  <r>
    <s v="2025-04-01"/>
    <x v="1"/>
    <s v="Tuesday"/>
    <x v="1"/>
    <x v="3"/>
    <s v="Corporate"/>
    <s v="Online"/>
    <x v="8"/>
    <x v="2"/>
    <n v="250000"/>
    <n v="1"/>
    <x v="5"/>
    <n v="200000"/>
    <n v="250000"/>
    <x v="44"/>
    <n v="50000"/>
    <n v="1936"/>
  </r>
  <r>
    <s v="2025-04-19"/>
    <x v="1"/>
    <s v="Saturday"/>
    <x v="3"/>
    <x v="3"/>
    <s v="Corporate"/>
    <s v="Store"/>
    <x v="9"/>
    <x v="1"/>
    <n v="220000"/>
    <n v="8"/>
    <x v="1"/>
    <n v="176000"/>
    <n v="1760000"/>
    <x v="42"/>
    <n v="352000"/>
    <n v="1937"/>
  </r>
  <r>
    <s v="2025-02-19"/>
    <x v="2"/>
    <s v="Wednesday"/>
    <x v="3"/>
    <x v="1"/>
    <s v="Retail"/>
    <s v="Online"/>
    <x v="8"/>
    <x v="2"/>
    <n v="250000"/>
    <n v="6"/>
    <x v="3"/>
    <n v="200000"/>
    <n v="1500000"/>
    <x v="17"/>
    <n v="300000"/>
    <n v="1938"/>
  </r>
  <r>
    <s v="2025-03-15"/>
    <x v="3"/>
    <s v="Saturday"/>
    <x v="3"/>
    <x v="3"/>
    <s v="Retail"/>
    <s v="Online"/>
    <x v="0"/>
    <x v="0"/>
    <n v="85000"/>
    <n v="7"/>
    <x v="3"/>
    <n v="68000"/>
    <n v="595000"/>
    <x v="30"/>
    <n v="119000"/>
    <n v="1939"/>
  </r>
  <r>
    <s v="2025-02-16"/>
    <x v="2"/>
    <s v="Sunday"/>
    <x v="2"/>
    <x v="2"/>
    <s v="Retail"/>
    <s v="Store"/>
    <x v="0"/>
    <x v="0"/>
    <n v="85000"/>
    <n v="4"/>
    <x v="2"/>
    <n v="68000"/>
    <n v="340000"/>
    <x v="74"/>
    <n v="68000"/>
    <n v="1940"/>
  </r>
  <r>
    <s v="2025-02-03"/>
    <x v="2"/>
    <s v="Monday"/>
    <x v="1"/>
    <x v="3"/>
    <s v="Corporate"/>
    <s v="Store"/>
    <x v="7"/>
    <x v="2"/>
    <n v="420000"/>
    <n v="6"/>
    <x v="0"/>
    <n v="336000"/>
    <n v="2520000"/>
    <x v="76"/>
    <n v="504000"/>
    <n v="1941"/>
  </r>
  <r>
    <s v="2025-02-06"/>
    <x v="2"/>
    <s v="Thursday"/>
    <x v="1"/>
    <x v="0"/>
    <s v="Corporate"/>
    <s v="Store"/>
    <x v="8"/>
    <x v="2"/>
    <n v="250000"/>
    <n v="4"/>
    <x v="2"/>
    <n v="200000"/>
    <n v="1000000"/>
    <x v="14"/>
    <n v="200000"/>
    <n v="1942"/>
  </r>
  <r>
    <s v="2025-03-18"/>
    <x v="3"/>
    <s v="Tuesday"/>
    <x v="0"/>
    <x v="0"/>
    <s v="Retail"/>
    <s v="Store"/>
    <x v="1"/>
    <x v="1"/>
    <n v="30000"/>
    <n v="3"/>
    <x v="4"/>
    <n v="24000"/>
    <n v="90000"/>
    <x v="33"/>
    <n v="18000"/>
    <n v="1943"/>
  </r>
  <r>
    <s v="2025-01-07"/>
    <x v="0"/>
    <s v="Tuesday"/>
    <x v="3"/>
    <x v="3"/>
    <s v="Corporate"/>
    <s v="Online"/>
    <x v="5"/>
    <x v="0"/>
    <n v="320000"/>
    <n v="9"/>
    <x v="3"/>
    <n v="256000"/>
    <n v="2880000"/>
    <x v="8"/>
    <n v="576000"/>
    <n v="1944"/>
  </r>
  <r>
    <s v="2025-01-19"/>
    <x v="0"/>
    <s v="Sunday"/>
    <x v="3"/>
    <x v="0"/>
    <s v="Retail"/>
    <s v="Store"/>
    <x v="9"/>
    <x v="1"/>
    <n v="220000"/>
    <n v="7"/>
    <x v="2"/>
    <n v="176000"/>
    <n v="1540000"/>
    <x v="67"/>
    <n v="308000"/>
    <n v="1945"/>
  </r>
  <r>
    <s v="2025-03-27"/>
    <x v="3"/>
    <s v="Thursday"/>
    <x v="2"/>
    <x v="1"/>
    <s v="Corporate"/>
    <s v="Online"/>
    <x v="6"/>
    <x v="2"/>
    <n v="150000"/>
    <n v="5"/>
    <x v="0"/>
    <n v="120000"/>
    <n v="750000"/>
    <x v="56"/>
    <n v="150000"/>
    <n v="1946"/>
  </r>
  <r>
    <s v="2025-03-11"/>
    <x v="3"/>
    <s v="Tuesday"/>
    <x v="2"/>
    <x v="0"/>
    <s v="Corporate"/>
    <s v="Store"/>
    <x v="0"/>
    <x v="0"/>
    <n v="85000"/>
    <n v="9"/>
    <x v="3"/>
    <n v="68000"/>
    <n v="765000"/>
    <x v="18"/>
    <n v="153000"/>
    <n v="1947"/>
  </r>
  <r>
    <s v="2025-01-26"/>
    <x v="0"/>
    <s v="Sunday"/>
    <x v="3"/>
    <x v="3"/>
    <s v="Corporate"/>
    <s v="Online"/>
    <x v="8"/>
    <x v="2"/>
    <n v="250000"/>
    <n v="10"/>
    <x v="0"/>
    <n v="200000"/>
    <n v="2500000"/>
    <x v="66"/>
    <n v="500000"/>
    <n v="1948"/>
  </r>
  <r>
    <s v="2025-04-10"/>
    <x v="1"/>
    <s v="Thursday"/>
    <x v="1"/>
    <x v="0"/>
    <s v="Corporate"/>
    <s v="Online"/>
    <x v="0"/>
    <x v="0"/>
    <n v="85000"/>
    <n v="7"/>
    <x v="1"/>
    <n v="68000"/>
    <n v="595000"/>
    <x v="30"/>
    <n v="119000"/>
    <n v="1949"/>
  </r>
  <r>
    <s v="2025-03-02"/>
    <x v="3"/>
    <s v="Sunday"/>
    <x v="1"/>
    <x v="1"/>
    <s v="Retail"/>
    <s v="Online"/>
    <x v="3"/>
    <x v="2"/>
    <n v="300000"/>
    <n v="6"/>
    <x v="4"/>
    <n v="240000"/>
    <n v="1800000"/>
    <x v="5"/>
    <n v="360000"/>
    <n v="1950"/>
  </r>
  <r>
    <s v="2025-03-20"/>
    <x v="3"/>
    <s v="Thursday"/>
    <x v="0"/>
    <x v="0"/>
    <s v="Retail"/>
    <s v="Store"/>
    <x v="3"/>
    <x v="2"/>
    <n v="300000"/>
    <n v="10"/>
    <x v="1"/>
    <n v="240000"/>
    <n v="3000000"/>
    <x v="68"/>
    <n v="600000"/>
    <n v="1951"/>
  </r>
  <r>
    <s v="2025-03-30"/>
    <x v="3"/>
    <s v="Sunday"/>
    <x v="1"/>
    <x v="1"/>
    <s v="Corporate"/>
    <s v="Online"/>
    <x v="4"/>
    <x v="1"/>
    <n v="180000"/>
    <n v="1"/>
    <x v="2"/>
    <n v="144000"/>
    <n v="180000"/>
    <x v="32"/>
    <n v="36000"/>
    <n v="1952"/>
  </r>
  <r>
    <s v="2025-01-07"/>
    <x v="0"/>
    <s v="Tuesday"/>
    <x v="2"/>
    <x v="3"/>
    <s v="Retail"/>
    <s v="Online"/>
    <x v="6"/>
    <x v="2"/>
    <n v="150000"/>
    <n v="7"/>
    <x v="4"/>
    <n v="120000"/>
    <n v="1050000"/>
    <x v="16"/>
    <n v="210000"/>
    <n v="1953"/>
  </r>
  <r>
    <s v="2025-03-07"/>
    <x v="3"/>
    <s v="Friday"/>
    <x v="3"/>
    <x v="0"/>
    <s v="Retail"/>
    <s v="Online"/>
    <x v="9"/>
    <x v="1"/>
    <n v="220000"/>
    <n v="5"/>
    <x v="1"/>
    <n v="176000"/>
    <n v="1100000"/>
    <x v="51"/>
    <n v="220000"/>
    <n v="1954"/>
  </r>
  <r>
    <s v="2025-02-01"/>
    <x v="2"/>
    <s v="Saturday"/>
    <x v="1"/>
    <x v="0"/>
    <s v="Retail"/>
    <s v="Online"/>
    <x v="7"/>
    <x v="2"/>
    <n v="420000"/>
    <n v="2"/>
    <x v="4"/>
    <n v="336000"/>
    <n v="840000"/>
    <x v="62"/>
    <n v="168000"/>
    <n v="1955"/>
  </r>
  <r>
    <s v="2025-01-25"/>
    <x v="0"/>
    <s v="Saturday"/>
    <x v="0"/>
    <x v="2"/>
    <s v="Retail"/>
    <s v="Online"/>
    <x v="4"/>
    <x v="1"/>
    <n v="180000"/>
    <n v="9"/>
    <x v="3"/>
    <n v="144000"/>
    <n v="1620000"/>
    <x v="27"/>
    <n v="324000"/>
    <n v="1956"/>
  </r>
  <r>
    <s v="2025-01-14"/>
    <x v="0"/>
    <s v="Tuesday"/>
    <x v="3"/>
    <x v="3"/>
    <s v="Retail"/>
    <s v="Online"/>
    <x v="9"/>
    <x v="1"/>
    <n v="220000"/>
    <n v="5"/>
    <x v="3"/>
    <n v="176000"/>
    <n v="1100000"/>
    <x v="51"/>
    <n v="220000"/>
    <n v="1957"/>
  </r>
  <r>
    <s v="2025-04-09"/>
    <x v="1"/>
    <s v="Wednesday"/>
    <x v="3"/>
    <x v="2"/>
    <s v="Retail"/>
    <s v="Online"/>
    <x v="4"/>
    <x v="1"/>
    <n v="180000"/>
    <n v="1"/>
    <x v="5"/>
    <n v="144000"/>
    <n v="180000"/>
    <x v="32"/>
    <n v="36000"/>
    <n v="1958"/>
  </r>
  <r>
    <s v="2025-04-10"/>
    <x v="1"/>
    <s v="Thursday"/>
    <x v="1"/>
    <x v="2"/>
    <s v="Corporate"/>
    <s v="Store"/>
    <x v="2"/>
    <x v="1"/>
    <n v="60000"/>
    <n v="2"/>
    <x v="5"/>
    <n v="48000"/>
    <n v="120000"/>
    <x v="3"/>
    <n v="24000"/>
    <n v="1959"/>
  </r>
  <r>
    <s v="2025-03-11"/>
    <x v="3"/>
    <s v="Tuesday"/>
    <x v="3"/>
    <x v="2"/>
    <s v="Retail"/>
    <s v="Online"/>
    <x v="3"/>
    <x v="2"/>
    <n v="300000"/>
    <n v="5"/>
    <x v="1"/>
    <n v="240000"/>
    <n v="1500000"/>
    <x v="17"/>
    <n v="300000"/>
    <n v="1960"/>
  </r>
  <r>
    <s v="2025-01-17"/>
    <x v="0"/>
    <s v="Friday"/>
    <x v="3"/>
    <x v="2"/>
    <s v="Retail"/>
    <s v="Store"/>
    <x v="3"/>
    <x v="2"/>
    <n v="300000"/>
    <n v="9"/>
    <x v="4"/>
    <n v="240000"/>
    <n v="2700000"/>
    <x v="39"/>
    <n v="540000"/>
    <n v="1961"/>
  </r>
  <r>
    <s v="2025-03-13"/>
    <x v="3"/>
    <s v="Thursday"/>
    <x v="2"/>
    <x v="3"/>
    <s v="Retail"/>
    <s v="Online"/>
    <x v="9"/>
    <x v="1"/>
    <n v="220000"/>
    <n v="1"/>
    <x v="4"/>
    <n v="176000"/>
    <n v="220000"/>
    <x v="25"/>
    <n v="44000"/>
    <n v="1962"/>
  </r>
  <r>
    <s v="2025-03-20"/>
    <x v="3"/>
    <s v="Thursday"/>
    <x v="0"/>
    <x v="3"/>
    <s v="Corporate"/>
    <s v="Store"/>
    <x v="1"/>
    <x v="1"/>
    <n v="30000"/>
    <n v="5"/>
    <x v="4"/>
    <n v="24000"/>
    <n v="150000"/>
    <x v="26"/>
    <n v="30000"/>
    <n v="1963"/>
  </r>
  <r>
    <s v="2025-03-31"/>
    <x v="3"/>
    <s v="Monday"/>
    <x v="2"/>
    <x v="0"/>
    <s v="Corporate"/>
    <s v="Online"/>
    <x v="4"/>
    <x v="1"/>
    <n v="180000"/>
    <n v="1"/>
    <x v="0"/>
    <n v="144000"/>
    <n v="180000"/>
    <x v="32"/>
    <n v="36000"/>
    <n v="1964"/>
  </r>
  <r>
    <s v="2025-04-30"/>
    <x v="1"/>
    <s v="Wednesday"/>
    <x v="3"/>
    <x v="2"/>
    <s v="Retail"/>
    <s v="Online"/>
    <x v="3"/>
    <x v="2"/>
    <n v="300000"/>
    <n v="6"/>
    <x v="4"/>
    <n v="240000"/>
    <n v="1800000"/>
    <x v="5"/>
    <n v="360000"/>
    <n v="1965"/>
  </r>
  <r>
    <s v="2025-01-01"/>
    <x v="0"/>
    <s v="Wednesday"/>
    <x v="0"/>
    <x v="2"/>
    <s v="Retail"/>
    <s v="Store"/>
    <x v="9"/>
    <x v="1"/>
    <n v="220000"/>
    <n v="3"/>
    <x v="5"/>
    <n v="176000"/>
    <n v="660000"/>
    <x v="49"/>
    <n v="132000"/>
    <n v="1966"/>
  </r>
  <r>
    <s v="2025-04-03"/>
    <x v="1"/>
    <s v="Thursday"/>
    <x v="3"/>
    <x v="0"/>
    <s v="Retail"/>
    <s v="Store"/>
    <x v="5"/>
    <x v="0"/>
    <n v="320000"/>
    <n v="5"/>
    <x v="3"/>
    <n v="256000"/>
    <n v="1600000"/>
    <x v="28"/>
    <n v="320000"/>
    <n v="1967"/>
  </r>
  <r>
    <s v="2025-03-02"/>
    <x v="3"/>
    <s v="Sunday"/>
    <x v="2"/>
    <x v="2"/>
    <s v="Retail"/>
    <s v="Online"/>
    <x v="6"/>
    <x v="2"/>
    <n v="150000"/>
    <n v="2"/>
    <x v="3"/>
    <n v="120000"/>
    <n v="300000"/>
    <x v="11"/>
    <n v="60000"/>
    <n v="1968"/>
  </r>
  <r>
    <s v="2025-02-18"/>
    <x v="2"/>
    <s v="Tuesday"/>
    <x v="0"/>
    <x v="0"/>
    <s v="Retail"/>
    <s v="Online"/>
    <x v="4"/>
    <x v="1"/>
    <n v="180000"/>
    <n v="1"/>
    <x v="1"/>
    <n v="144000"/>
    <n v="180000"/>
    <x v="32"/>
    <n v="36000"/>
    <n v="1969"/>
  </r>
  <r>
    <s v="2025-04-17"/>
    <x v="1"/>
    <s v="Thursday"/>
    <x v="0"/>
    <x v="1"/>
    <s v="Corporate"/>
    <s v="Store"/>
    <x v="1"/>
    <x v="1"/>
    <n v="30000"/>
    <n v="10"/>
    <x v="4"/>
    <n v="24000"/>
    <n v="300000"/>
    <x v="11"/>
    <n v="60000"/>
    <n v="1970"/>
  </r>
  <r>
    <s v="2025-01-03"/>
    <x v="0"/>
    <s v="Friday"/>
    <x v="3"/>
    <x v="1"/>
    <s v="Retail"/>
    <s v="Store"/>
    <x v="6"/>
    <x v="2"/>
    <n v="150000"/>
    <n v="4"/>
    <x v="1"/>
    <n v="120000"/>
    <n v="600000"/>
    <x v="4"/>
    <n v="120000"/>
    <n v="1971"/>
  </r>
  <r>
    <s v="2025-01-01"/>
    <x v="0"/>
    <s v="Wednesday"/>
    <x v="3"/>
    <x v="2"/>
    <s v="Retail"/>
    <s v="Online"/>
    <x v="1"/>
    <x v="1"/>
    <n v="30000"/>
    <n v="1"/>
    <x v="1"/>
    <n v="24000"/>
    <n v="30000"/>
    <x v="75"/>
    <n v="6000"/>
    <n v="1972"/>
  </r>
  <r>
    <s v="2025-03-26"/>
    <x v="3"/>
    <s v="Wednesday"/>
    <x v="3"/>
    <x v="1"/>
    <s v="Retail"/>
    <s v="Online"/>
    <x v="1"/>
    <x v="1"/>
    <n v="30000"/>
    <n v="6"/>
    <x v="3"/>
    <n v="24000"/>
    <n v="180000"/>
    <x v="32"/>
    <n v="36000"/>
    <n v="1973"/>
  </r>
  <r>
    <s v="2025-04-17"/>
    <x v="1"/>
    <s v="Thursday"/>
    <x v="2"/>
    <x v="0"/>
    <s v="Corporate"/>
    <s v="Online"/>
    <x v="4"/>
    <x v="1"/>
    <n v="180000"/>
    <n v="7"/>
    <x v="0"/>
    <n v="144000"/>
    <n v="1260000"/>
    <x v="55"/>
    <n v="252000"/>
    <n v="1974"/>
  </r>
  <r>
    <s v="2025-01-27"/>
    <x v="0"/>
    <s v="Monday"/>
    <x v="2"/>
    <x v="3"/>
    <s v="Retail"/>
    <s v="Online"/>
    <x v="2"/>
    <x v="1"/>
    <n v="60000"/>
    <n v="8"/>
    <x v="5"/>
    <n v="48000"/>
    <n v="480000"/>
    <x v="47"/>
    <n v="96000"/>
    <n v="1975"/>
  </r>
  <r>
    <s v="2025-04-21"/>
    <x v="1"/>
    <s v="Monday"/>
    <x v="2"/>
    <x v="1"/>
    <s v="Retail"/>
    <s v="Online"/>
    <x v="2"/>
    <x v="1"/>
    <n v="60000"/>
    <n v="2"/>
    <x v="4"/>
    <n v="48000"/>
    <n v="120000"/>
    <x v="3"/>
    <n v="24000"/>
    <n v="1976"/>
  </r>
  <r>
    <s v="2025-02-17"/>
    <x v="2"/>
    <s v="Monday"/>
    <x v="2"/>
    <x v="2"/>
    <s v="Retail"/>
    <s v="Store"/>
    <x v="0"/>
    <x v="0"/>
    <n v="85000"/>
    <n v="1"/>
    <x v="3"/>
    <n v="68000"/>
    <n v="85000"/>
    <x v="0"/>
    <n v="17000"/>
    <n v="1977"/>
  </r>
  <r>
    <s v="2025-04-03"/>
    <x v="1"/>
    <s v="Thursday"/>
    <x v="3"/>
    <x v="2"/>
    <s v="Corporate"/>
    <s v="Online"/>
    <x v="1"/>
    <x v="1"/>
    <n v="30000"/>
    <n v="8"/>
    <x v="4"/>
    <n v="24000"/>
    <n v="240000"/>
    <x v="1"/>
    <n v="48000"/>
    <n v="1978"/>
  </r>
  <r>
    <s v="2025-02-28"/>
    <x v="2"/>
    <s v="Friday"/>
    <x v="3"/>
    <x v="3"/>
    <s v="Retail"/>
    <s v="Store"/>
    <x v="2"/>
    <x v="1"/>
    <n v="60000"/>
    <n v="10"/>
    <x v="4"/>
    <n v="48000"/>
    <n v="600000"/>
    <x v="4"/>
    <n v="120000"/>
    <n v="1979"/>
  </r>
  <r>
    <s v="2025-04-04"/>
    <x v="1"/>
    <s v="Friday"/>
    <x v="0"/>
    <x v="0"/>
    <s v="Corporate"/>
    <s v="Store"/>
    <x v="6"/>
    <x v="2"/>
    <n v="150000"/>
    <n v="1"/>
    <x v="0"/>
    <n v="120000"/>
    <n v="150000"/>
    <x v="26"/>
    <n v="30000"/>
    <n v="1980"/>
  </r>
  <r>
    <s v="2025-03-31"/>
    <x v="3"/>
    <s v="Monday"/>
    <x v="2"/>
    <x v="0"/>
    <s v="Corporate"/>
    <s v="Store"/>
    <x v="2"/>
    <x v="1"/>
    <n v="60000"/>
    <n v="9"/>
    <x v="5"/>
    <n v="48000"/>
    <n v="540000"/>
    <x v="46"/>
    <n v="108000"/>
    <n v="1981"/>
  </r>
  <r>
    <s v="2025-04-11"/>
    <x v="1"/>
    <s v="Friday"/>
    <x v="3"/>
    <x v="3"/>
    <s v="Retail"/>
    <s v="Online"/>
    <x v="2"/>
    <x v="1"/>
    <n v="60000"/>
    <n v="5"/>
    <x v="5"/>
    <n v="48000"/>
    <n v="300000"/>
    <x v="11"/>
    <n v="60000"/>
    <n v="1982"/>
  </r>
  <r>
    <s v="2025-04-22"/>
    <x v="1"/>
    <s v="Tuesday"/>
    <x v="1"/>
    <x v="0"/>
    <s v="Retail"/>
    <s v="Store"/>
    <x v="9"/>
    <x v="1"/>
    <n v="220000"/>
    <n v="8"/>
    <x v="0"/>
    <n v="176000"/>
    <n v="1760000"/>
    <x v="42"/>
    <n v="352000"/>
    <n v="1983"/>
  </r>
  <r>
    <s v="2025-02-18"/>
    <x v="2"/>
    <s v="Tuesday"/>
    <x v="0"/>
    <x v="0"/>
    <s v="Retail"/>
    <s v="Store"/>
    <x v="0"/>
    <x v="0"/>
    <n v="85000"/>
    <n v="2"/>
    <x v="4"/>
    <n v="68000"/>
    <n v="170000"/>
    <x v="2"/>
    <n v="34000"/>
    <n v="1984"/>
  </r>
  <r>
    <s v="2025-04-27"/>
    <x v="1"/>
    <s v="Sunday"/>
    <x v="2"/>
    <x v="3"/>
    <s v="Retail"/>
    <s v="Store"/>
    <x v="5"/>
    <x v="0"/>
    <n v="320000"/>
    <n v="7"/>
    <x v="4"/>
    <n v="256000"/>
    <n v="2240000"/>
    <x v="10"/>
    <n v="448000"/>
    <n v="1985"/>
  </r>
  <r>
    <s v="2025-02-10"/>
    <x v="2"/>
    <s v="Monday"/>
    <x v="2"/>
    <x v="3"/>
    <s v="Retail"/>
    <s v="Online"/>
    <x v="8"/>
    <x v="2"/>
    <n v="250000"/>
    <n v="4"/>
    <x v="0"/>
    <n v="200000"/>
    <n v="1000000"/>
    <x v="14"/>
    <n v="200000"/>
    <n v="1986"/>
  </r>
  <r>
    <s v="2025-04-26"/>
    <x v="1"/>
    <s v="Saturday"/>
    <x v="1"/>
    <x v="0"/>
    <s v="Corporate"/>
    <s v="Store"/>
    <x v="6"/>
    <x v="2"/>
    <n v="150000"/>
    <n v="6"/>
    <x v="1"/>
    <n v="120000"/>
    <n v="900000"/>
    <x v="48"/>
    <n v="180000"/>
    <n v="1987"/>
  </r>
  <r>
    <s v="2025-03-22"/>
    <x v="3"/>
    <s v="Saturday"/>
    <x v="3"/>
    <x v="3"/>
    <s v="Retail"/>
    <s v="Online"/>
    <x v="3"/>
    <x v="2"/>
    <n v="300000"/>
    <n v="8"/>
    <x v="1"/>
    <n v="240000"/>
    <n v="2400000"/>
    <x v="24"/>
    <n v="480000"/>
    <n v="1988"/>
  </r>
  <r>
    <s v="2025-03-08"/>
    <x v="3"/>
    <s v="Saturday"/>
    <x v="0"/>
    <x v="1"/>
    <s v="Retail"/>
    <s v="Store"/>
    <x v="3"/>
    <x v="2"/>
    <n v="300000"/>
    <n v="10"/>
    <x v="0"/>
    <n v="240000"/>
    <n v="3000000"/>
    <x v="68"/>
    <n v="600000"/>
    <n v="1989"/>
  </r>
  <r>
    <s v="2025-04-11"/>
    <x v="1"/>
    <s v="Friday"/>
    <x v="3"/>
    <x v="2"/>
    <s v="Corporate"/>
    <s v="Store"/>
    <x v="5"/>
    <x v="0"/>
    <n v="320000"/>
    <n v="1"/>
    <x v="2"/>
    <n v="256000"/>
    <n v="320000"/>
    <x v="7"/>
    <n v="64000"/>
    <n v="1990"/>
  </r>
  <r>
    <s v="2025-04-17"/>
    <x v="1"/>
    <s v="Thursday"/>
    <x v="2"/>
    <x v="1"/>
    <s v="Corporate"/>
    <s v="Store"/>
    <x v="5"/>
    <x v="0"/>
    <n v="320000"/>
    <n v="3"/>
    <x v="2"/>
    <n v="256000"/>
    <n v="960000"/>
    <x v="9"/>
    <n v="192000"/>
    <n v="1991"/>
  </r>
  <r>
    <s v="2025-03-05"/>
    <x v="3"/>
    <s v="Wednesday"/>
    <x v="0"/>
    <x v="0"/>
    <s v="Corporate"/>
    <s v="Online"/>
    <x v="6"/>
    <x v="2"/>
    <n v="150000"/>
    <n v="6"/>
    <x v="3"/>
    <n v="120000"/>
    <n v="900000"/>
    <x v="48"/>
    <n v="180000"/>
    <n v="1992"/>
  </r>
  <r>
    <s v="2025-01-29"/>
    <x v="0"/>
    <s v="Wednesday"/>
    <x v="1"/>
    <x v="1"/>
    <s v="Retail"/>
    <s v="Online"/>
    <x v="4"/>
    <x v="1"/>
    <n v="180000"/>
    <n v="9"/>
    <x v="5"/>
    <n v="144000"/>
    <n v="1620000"/>
    <x v="27"/>
    <n v="324000"/>
    <n v="1993"/>
  </r>
  <r>
    <s v="2025-03-31"/>
    <x v="3"/>
    <s v="Monday"/>
    <x v="2"/>
    <x v="3"/>
    <s v="Retail"/>
    <s v="Online"/>
    <x v="2"/>
    <x v="1"/>
    <n v="60000"/>
    <n v="2"/>
    <x v="3"/>
    <n v="48000"/>
    <n v="120000"/>
    <x v="3"/>
    <n v="24000"/>
    <n v="1994"/>
  </r>
  <r>
    <s v="2025-02-11"/>
    <x v="2"/>
    <s v="Tuesday"/>
    <x v="1"/>
    <x v="2"/>
    <s v="Retail"/>
    <s v="Store"/>
    <x v="6"/>
    <x v="2"/>
    <n v="150000"/>
    <n v="5"/>
    <x v="3"/>
    <n v="120000"/>
    <n v="750000"/>
    <x v="56"/>
    <n v="150000"/>
    <n v="1995"/>
  </r>
  <r>
    <s v="2025-04-11"/>
    <x v="1"/>
    <s v="Friday"/>
    <x v="1"/>
    <x v="2"/>
    <s v="Retail"/>
    <s v="Store"/>
    <x v="4"/>
    <x v="1"/>
    <n v="180000"/>
    <n v="10"/>
    <x v="3"/>
    <n v="144000"/>
    <n v="1800000"/>
    <x v="5"/>
    <n v="360000"/>
    <n v="1996"/>
  </r>
  <r>
    <s v="2025-02-05"/>
    <x v="2"/>
    <s v="Wednesday"/>
    <x v="0"/>
    <x v="0"/>
    <s v="Retail"/>
    <s v="Online"/>
    <x v="0"/>
    <x v="0"/>
    <n v="85000"/>
    <n v="7"/>
    <x v="4"/>
    <n v="68000"/>
    <n v="595000"/>
    <x v="30"/>
    <n v="119000"/>
    <n v="1997"/>
  </r>
  <r>
    <s v="2025-01-19"/>
    <x v="0"/>
    <s v="Sunday"/>
    <x v="1"/>
    <x v="3"/>
    <s v="Corporate"/>
    <s v="Store"/>
    <x v="7"/>
    <x v="2"/>
    <n v="420000"/>
    <n v="3"/>
    <x v="1"/>
    <n v="336000"/>
    <n v="1260000"/>
    <x v="55"/>
    <n v="252000"/>
    <n v="1998"/>
  </r>
  <r>
    <s v="2025-03-02"/>
    <x v="3"/>
    <s v="Sunday"/>
    <x v="1"/>
    <x v="3"/>
    <s v="Corporate"/>
    <s v="Online"/>
    <x v="3"/>
    <x v="2"/>
    <n v="300000"/>
    <n v="2"/>
    <x v="4"/>
    <n v="240000"/>
    <n v="600000"/>
    <x v="4"/>
    <n v="120000"/>
    <n v="1999"/>
  </r>
  <r>
    <s v="2025-04-03"/>
    <x v="1"/>
    <s v="Thursday"/>
    <x v="1"/>
    <x v="1"/>
    <s v="Corporate"/>
    <s v="Online"/>
    <x v="8"/>
    <x v="2"/>
    <n v="250000"/>
    <n v="3"/>
    <x v="4"/>
    <n v="200000"/>
    <n v="750000"/>
    <x v="56"/>
    <n v="150000"/>
    <n v="2000"/>
  </r>
  <r>
    <s v="2025-02-14"/>
    <x v="2"/>
    <s v="Friday"/>
    <x v="1"/>
    <x v="0"/>
    <s v="Retail"/>
    <s v="Store"/>
    <x v="6"/>
    <x v="2"/>
    <n v="150000"/>
    <n v="7"/>
    <x v="1"/>
    <n v="120000"/>
    <n v="1050000"/>
    <x v="16"/>
    <n v="210000"/>
    <n v="2001"/>
  </r>
  <r>
    <s v="2025-04-09"/>
    <x v="1"/>
    <s v="Wednesday"/>
    <x v="0"/>
    <x v="0"/>
    <s v="Corporate"/>
    <s v="Online"/>
    <x v="7"/>
    <x v="2"/>
    <n v="420000"/>
    <n v="7"/>
    <x v="3"/>
    <n v="336000"/>
    <n v="2940000"/>
    <x v="70"/>
    <n v="588000"/>
    <n v="2002"/>
  </r>
  <r>
    <s v="2025-02-12"/>
    <x v="2"/>
    <s v="Wednesday"/>
    <x v="2"/>
    <x v="1"/>
    <s v="Retail"/>
    <s v="Store"/>
    <x v="4"/>
    <x v="1"/>
    <n v="180000"/>
    <n v="7"/>
    <x v="2"/>
    <n v="144000"/>
    <n v="1260000"/>
    <x v="55"/>
    <n v="252000"/>
    <n v="2003"/>
  </r>
  <r>
    <s v="2025-01-13"/>
    <x v="0"/>
    <s v="Monday"/>
    <x v="0"/>
    <x v="0"/>
    <s v="Retail"/>
    <s v="Store"/>
    <x v="5"/>
    <x v="0"/>
    <n v="320000"/>
    <n v="2"/>
    <x v="5"/>
    <n v="256000"/>
    <n v="640000"/>
    <x v="38"/>
    <n v="128000"/>
    <n v="2004"/>
  </r>
  <r>
    <s v="2025-03-20"/>
    <x v="3"/>
    <s v="Thursday"/>
    <x v="3"/>
    <x v="0"/>
    <s v="Corporate"/>
    <s v="Store"/>
    <x v="5"/>
    <x v="0"/>
    <n v="320000"/>
    <n v="6"/>
    <x v="5"/>
    <n v="256000"/>
    <n v="1920000"/>
    <x v="31"/>
    <n v="384000"/>
    <n v="2005"/>
  </r>
  <r>
    <s v="2025-03-14"/>
    <x v="3"/>
    <s v="Friday"/>
    <x v="1"/>
    <x v="2"/>
    <s v="Corporate"/>
    <s v="Online"/>
    <x v="1"/>
    <x v="1"/>
    <n v="30000"/>
    <n v="3"/>
    <x v="4"/>
    <n v="24000"/>
    <n v="90000"/>
    <x v="33"/>
    <n v="18000"/>
    <n v="2006"/>
  </r>
  <r>
    <s v="2025-01-21"/>
    <x v="0"/>
    <s v="Tuesday"/>
    <x v="3"/>
    <x v="0"/>
    <s v="Retail"/>
    <s v="Online"/>
    <x v="7"/>
    <x v="2"/>
    <n v="420000"/>
    <n v="3"/>
    <x v="0"/>
    <n v="336000"/>
    <n v="1260000"/>
    <x v="55"/>
    <n v="252000"/>
    <n v="2007"/>
  </r>
  <r>
    <s v="2025-04-07"/>
    <x v="1"/>
    <s v="Monday"/>
    <x v="2"/>
    <x v="1"/>
    <s v="Retail"/>
    <s v="Store"/>
    <x v="1"/>
    <x v="1"/>
    <n v="30000"/>
    <n v="9"/>
    <x v="3"/>
    <n v="24000"/>
    <n v="270000"/>
    <x v="57"/>
    <n v="54000"/>
    <n v="2008"/>
  </r>
  <r>
    <s v="2025-04-18"/>
    <x v="1"/>
    <s v="Friday"/>
    <x v="1"/>
    <x v="0"/>
    <s v="Corporate"/>
    <s v="Store"/>
    <x v="5"/>
    <x v="0"/>
    <n v="320000"/>
    <n v="4"/>
    <x v="0"/>
    <n v="256000"/>
    <n v="1280000"/>
    <x v="6"/>
    <n v="256000"/>
    <n v="2009"/>
  </r>
  <r>
    <s v="2025-04-03"/>
    <x v="1"/>
    <s v="Thursday"/>
    <x v="3"/>
    <x v="3"/>
    <s v="Corporate"/>
    <s v="Store"/>
    <x v="6"/>
    <x v="2"/>
    <n v="150000"/>
    <n v="5"/>
    <x v="1"/>
    <n v="120000"/>
    <n v="750000"/>
    <x v="56"/>
    <n v="150000"/>
    <n v="2010"/>
  </r>
  <r>
    <s v="2025-02-14"/>
    <x v="2"/>
    <s v="Friday"/>
    <x v="2"/>
    <x v="0"/>
    <s v="Corporate"/>
    <s v="Store"/>
    <x v="0"/>
    <x v="0"/>
    <n v="85000"/>
    <n v="8"/>
    <x v="3"/>
    <n v="68000"/>
    <n v="680000"/>
    <x v="69"/>
    <n v="136000"/>
    <n v="2011"/>
  </r>
  <r>
    <s v="2025-04-13"/>
    <x v="1"/>
    <s v="Sunday"/>
    <x v="3"/>
    <x v="3"/>
    <s v="Retail"/>
    <s v="Store"/>
    <x v="2"/>
    <x v="1"/>
    <n v="60000"/>
    <n v="1"/>
    <x v="0"/>
    <n v="48000"/>
    <n v="60000"/>
    <x v="41"/>
    <n v="12000"/>
    <n v="2012"/>
  </r>
  <r>
    <s v="2025-03-31"/>
    <x v="3"/>
    <s v="Monday"/>
    <x v="2"/>
    <x v="1"/>
    <s v="Retail"/>
    <s v="Online"/>
    <x v="9"/>
    <x v="1"/>
    <n v="220000"/>
    <n v="3"/>
    <x v="2"/>
    <n v="176000"/>
    <n v="660000"/>
    <x v="49"/>
    <n v="132000"/>
    <n v="2013"/>
  </r>
  <r>
    <s v="2025-02-11"/>
    <x v="2"/>
    <s v="Tuesday"/>
    <x v="0"/>
    <x v="3"/>
    <s v="Corporate"/>
    <s v="Online"/>
    <x v="4"/>
    <x v="1"/>
    <n v="180000"/>
    <n v="2"/>
    <x v="4"/>
    <n v="144000"/>
    <n v="360000"/>
    <x v="50"/>
    <n v="72000"/>
    <n v="2014"/>
  </r>
  <r>
    <s v="2025-03-17"/>
    <x v="3"/>
    <s v="Monday"/>
    <x v="2"/>
    <x v="0"/>
    <s v="Corporate"/>
    <s v="Online"/>
    <x v="8"/>
    <x v="2"/>
    <n v="250000"/>
    <n v="9"/>
    <x v="1"/>
    <n v="200000"/>
    <n v="2250000"/>
    <x v="71"/>
    <n v="450000"/>
    <n v="2015"/>
  </r>
  <r>
    <s v="2025-04-22"/>
    <x v="1"/>
    <s v="Tuesday"/>
    <x v="0"/>
    <x v="0"/>
    <s v="Corporate"/>
    <s v="Online"/>
    <x v="3"/>
    <x v="2"/>
    <n v="300000"/>
    <n v="8"/>
    <x v="4"/>
    <n v="240000"/>
    <n v="2400000"/>
    <x v="24"/>
    <n v="480000"/>
    <n v="2016"/>
  </r>
  <r>
    <s v="2025-04-28"/>
    <x v="1"/>
    <s v="Monday"/>
    <x v="0"/>
    <x v="1"/>
    <s v="Retail"/>
    <s v="Online"/>
    <x v="6"/>
    <x v="2"/>
    <n v="150000"/>
    <n v="6"/>
    <x v="0"/>
    <n v="120000"/>
    <n v="900000"/>
    <x v="48"/>
    <n v="180000"/>
    <n v="2017"/>
  </r>
  <r>
    <s v="2025-02-13"/>
    <x v="2"/>
    <s v="Thursday"/>
    <x v="3"/>
    <x v="3"/>
    <s v="Corporate"/>
    <s v="Store"/>
    <x v="0"/>
    <x v="0"/>
    <n v="85000"/>
    <n v="9"/>
    <x v="2"/>
    <n v="68000"/>
    <n v="765000"/>
    <x v="18"/>
    <n v="153000"/>
    <n v="2018"/>
  </r>
  <r>
    <s v="2025-02-13"/>
    <x v="2"/>
    <s v="Thursday"/>
    <x v="3"/>
    <x v="2"/>
    <s v="Corporate"/>
    <s v="Online"/>
    <x v="2"/>
    <x v="1"/>
    <n v="60000"/>
    <n v="3"/>
    <x v="1"/>
    <n v="48000"/>
    <n v="180000"/>
    <x v="32"/>
    <n v="36000"/>
    <n v="2019"/>
  </r>
  <r>
    <s v="2025-04-07"/>
    <x v="1"/>
    <s v="Monday"/>
    <x v="2"/>
    <x v="3"/>
    <s v="Retail"/>
    <s v="Store"/>
    <x v="7"/>
    <x v="2"/>
    <n v="420000"/>
    <n v="7"/>
    <x v="3"/>
    <n v="336000"/>
    <n v="2940000"/>
    <x v="70"/>
    <n v="588000"/>
    <n v="2020"/>
  </r>
  <r>
    <s v="2025-04-03"/>
    <x v="1"/>
    <s v="Thursday"/>
    <x v="2"/>
    <x v="0"/>
    <s v="Corporate"/>
    <s v="Online"/>
    <x v="0"/>
    <x v="0"/>
    <n v="85000"/>
    <n v="5"/>
    <x v="1"/>
    <n v="68000"/>
    <n v="425000"/>
    <x v="58"/>
    <n v="85000"/>
    <n v="2021"/>
  </r>
  <r>
    <s v="2025-03-02"/>
    <x v="3"/>
    <s v="Sunday"/>
    <x v="1"/>
    <x v="0"/>
    <s v="Corporate"/>
    <s v="Online"/>
    <x v="2"/>
    <x v="1"/>
    <n v="60000"/>
    <n v="7"/>
    <x v="1"/>
    <n v="48000"/>
    <n v="420000"/>
    <x v="40"/>
    <n v="84000"/>
    <n v="2022"/>
  </r>
  <r>
    <s v="2025-01-30"/>
    <x v="0"/>
    <s v="Thursday"/>
    <x v="1"/>
    <x v="3"/>
    <s v="Retail"/>
    <s v="Online"/>
    <x v="4"/>
    <x v="1"/>
    <n v="180000"/>
    <n v="2"/>
    <x v="3"/>
    <n v="144000"/>
    <n v="360000"/>
    <x v="50"/>
    <n v="72000"/>
    <n v="2023"/>
  </r>
  <r>
    <s v="2025-01-21"/>
    <x v="0"/>
    <s v="Tuesday"/>
    <x v="0"/>
    <x v="0"/>
    <s v="Corporate"/>
    <s v="Store"/>
    <x v="8"/>
    <x v="2"/>
    <n v="250000"/>
    <n v="3"/>
    <x v="4"/>
    <n v="200000"/>
    <n v="750000"/>
    <x v="56"/>
    <n v="150000"/>
    <n v="2024"/>
  </r>
  <r>
    <s v="2025-01-16"/>
    <x v="0"/>
    <s v="Thursday"/>
    <x v="1"/>
    <x v="2"/>
    <s v="Corporate"/>
    <s v="Online"/>
    <x v="4"/>
    <x v="1"/>
    <n v="180000"/>
    <n v="6"/>
    <x v="5"/>
    <n v="144000"/>
    <n v="1080000"/>
    <x v="53"/>
    <n v="216000"/>
    <n v="2025"/>
  </r>
  <r>
    <s v="2025-04-02"/>
    <x v="1"/>
    <s v="Wednesday"/>
    <x v="1"/>
    <x v="3"/>
    <s v="Retail"/>
    <s v="Store"/>
    <x v="0"/>
    <x v="0"/>
    <n v="85000"/>
    <n v="2"/>
    <x v="5"/>
    <n v="68000"/>
    <n v="170000"/>
    <x v="2"/>
    <n v="34000"/>
    <n v="2026"/>
  </r>
  <r>
    <s v="2025-02-14"/>
    <x v="2"/>
    <s v="Friday"/>
    <x v="3"/>
    <x v="3"/>
    <s v="Corporate"/>
    <s v="Store"/>
    <x v="8"/>
    <x v="2"/>
    <n v="250000"/>
    <n v="5"/>
    <x v="2"/>
    <n v="200000"/>
    <n v="1250000"/>
    <x v="21"/>
    <n v="250000"/>
    <n v="2027"/>
  </r>
  <r>
    <s v="2025-02-09"/>
    <x v="2"/>
    <s v="Sunday"/>
    <x v="0"/>
    <x v="0"/>
    <s v="Corporate"/>
    <s v="Store"/>
    <x v="9"/>
    <x v="1"/>
    <n v="220000"/>
    <n v="2"/>
    <x v="4"/>
    <n v="176000"/>
    <n v="440000"/>
    <x v="15"/>
    <n v="88000"/>
    <n v="2028"/>
  </r>
  <r>
    <s v="2025-04-14"/>
    <x v="1"/>
    <s v="Monday"/>
    <x v="2"/>
    <x v="3"/>
    <s v="Retail"/>
    <s v="Online"/>
    <x v="1"/>
    <x v="1"/>
    <n v="30000"/>
    <n v="2"/>
    <x v="1"/>
    <n v="24000"/>
    <n v="60000"/>
    <x v="41"/>
    <n v="12000"/>
    <n v="2029"/>
  </r>
  <r>
    <s v="2025-03-22"/>
    <x v="3"/>
    <s v="Saturday"/>
    <x v="1"/>
    <x v="2"/>
    <s v="Corporate"/>
    <s v="Store"/>
    <x v="7"/>
    <x v="2"/>
    <n v="420000"/>
    <n v="10"/>
    <x v="4"/>
    <n v="336000"/>
    <n v="4200000"/>
    <x v="20"/>
    <n v="840000"/>
    <n v="2030"/>
  </r>
  <r>
    <s v="2025-02-10"/>
    <x v="2"/>
    <s v="Monday"/>
    <x v="3"/>
    <x v="3"/>
    <s v="Corporate"/>
    <s v="Online"/>
    <x v="9"/>
    <x v="1"/>
    <n v="220000"/>
    <n v="2"/>
    <x v="3"/>
    <n v="176000"/>
    <n v="440000"/>
    <x v="15"/>
    <n v="88000"/>
    <n v="2031"/>
  </r>
  <r>
    <s v="2025-02-06"/>
    <x v="2"/>
    <s v="Thursday"/>
    <x v="2"/>
    <x v="2"/>
    <s v="Corporate"/>
    <s v="Store"/>
    <x v="9"/>
    <x v="1"/>
    <n v="220000"/>
    <n v="10"/>
    <x v="1"/>
    <n v="176000"/>
    <n v="2200000"/>
    <x v="61"/>
    <n v="440000"/>
    <n v="2032"/>
  </r>
  <r>
    <s v="2025-02-27"/>
    <x v="2"/>
    <s v="Thursday"/>
    <x v="0"/>
    <x v="1"/>
    <s v="Corporate"/>
    <s v="Store"/>
    <x v="5"/>
    <x v="0"/>
    <n v="320000"/>
    <n v="6"/>
    <x v="3"/>
    <n v="256000"/>
    <n v="1920000"/>
    <x v="31"/>
    <n v="384000"/>
    <n v="2033"/>
  </r>
  <r>
    <s v="2025-03-10"/>
    <x v="3"/>
    <s v="Monday"/>
    <x v="3"/>
    <x v="0"/>
    <s v="Corporate"/>
    <s v="Store"/>
    <x v="7"/>
    <x v="2"/>
    <n v="420000"/>
    <n v="8"/>
    <x v="3"/>
    <n v="336000"/>
    <n v="3360000"/>
    <x v="19"/>
    <n v="672000"/>
    <n v="2034"/>
  </r>
  <r>
    <s v="2025-04-13"/>
    <x v="1"/>
    <s v="Sunday"/>
    <x v="1"/>
    <x v="3"/>
    <s v="Retail"/>
    <s v="Store"/>
    <x v="9"/>
    <x v="1"/>
    <n v="220000"/>
    <n v="9"/>
    <x v="3"/>
    <n v="176000"/>
    <n v="1980000"/>
    <x v="64"/>
    <n v="396000"/>
    <n v="2035"/>
  </r>
  <r>
    <s v="2025-02-27"/>
    <x v="2"/>
    <s v="Thursday"/>
    <x v="3"/>
    <x v="1"/>
    <s v="Corporate"/>
    <s v="Online"/>
    <x v="9"/>
    <x v="1"/>
    <n v="220000"/>
    <n v="2"/>
    <x v="5"/>
    <n v="176000"/>
    <n v="440000"/>
    <x v="15"/>
    <n v="88000"/>
    <n v="2036"/>
  </r>
  <r>
    <s v="2025-03-06"/>
    <x v="3"/>
    <s v="Thursday"/>
    <x v="2"/>
    <x v="3"/>
    <s v="Retail"/>
    <s v="Online"/>
    <x v="6"/>
    <x v="2"/>
    <n v="150000"/>
    <n v="4"/>
    <x v="4"/>
    <n v="120000"/>
    <n v="600000"/>
    <x v="4"/>
    <n v="120000"/>
    <n v="2037"/>
  </r>
  <r>
    <s v="2025-02-24"/>
    <x v="2"/>
    <s v="Monday"/>
    <x v="1"/>
    <x v="2"/>
    <s v="Retail"/>
    <s v="Store"/>
    <x v="3"/>
    <x v="2"/>
    <n v="300000"/>
    <n v="7"/>
    <x v="5"/>
    <n v="240000"/>
    <n v="2100000"/>
    <x v="13"/>
    <n v="420000"/>
    <n v="2038"/>
  </r>
  <r>
    <s v="2025-01-10"/>
    <x v="0"/>
    <s v="Friday"/>
    <x v="2"/>
    <x v="1"/>
    <s v="Corporate"/>
    <s v="Online"/>
    <x v="7"/>
    <x v="2"/>
    <n v="420000"/>
    <n v="4"/>
    <x v="5"/>
    <n v="336000"/>
    <n v="1680000"/>
    <x v="45"/>
    <n v="336000"/>
    <n v="2039"/>
  </r>
  <r>
    <s v="2025-02-17"/>
    <x v="2"/>
    <s v="Monday"/>
    <x v="0"/>
    <x v="2"/>
    <s v="Corporate"/>
    <s v="Store"/>
    <x v="2"/>
    <x v="1"/>
    <n v="60000"/>
    <n v="4"/>
    <x v="4"/>
    <n v="48000"/>
    <n v="240000"/>
    <x v="1"/>
    <n v="48000"/>
    <n v="2040"/>
  </r>
  <r>
    <s v="2025-02-05"/>
    <x v="2"/>
    <s v="Wednesday"/>
    <x v="3"/>
    <x v="2"/>
    <s v="Retail"/>
    <s v="Online"/>
    <x v="4"/>
    <x v="1"/>
    <n v="180000"/>
    <n v="6"/>
    <x v="0"/>
    <n v="144000"/>
    <n v="1080000"/>
    <x v="53"/>
    <n v="216000"/>
    <n v="2041"/>
  </r>
  <r>
    <s v="2025-02-02"/>
    <x v="2"/>
    <s v="Sunday"/>
    <x v="2"/>
    <x v="2"/>
    <s v="Corporate"/>
    <s v="Online"/>
    <x v="3"/>
    <x v="2"/>
    <n v="300000"/>
    <n v="8"/>
    <x v="3"/>
    <n v="240000"/>
    <n v="2400000"/>
    <x v="24"/>
    <n v="480000"/>
    <n v="2042"/>
  </r>
  <r>
    <s v="2025-02-24"/>
    <x v="2"/>
    <s v="Monday"/>
    <x v="0"/>
    <x v="0"/>
    <s v="Retail"/>
    <s v="Store"/>
    <x v="5"/>
    <x v="0"/>
    <n v="320000"/>
    <n v="10"/>
    <x v="0"/>
    <n v="256000"/>
    <n v="3200000"/>
    <x v="35"/>
    <n v="640000"/>
    <n v="2043"/>
  </r>
  <r>
    <s v="2025-03-29"/>
    <x v="3"/>
    <s v="Saturday"/>
    <x v="0"/>
    <x v="1"/>
    <s v="Retail"/>
    <s v="Store"/>
    <x v="1"/>
    <x v="1"/>
    <n v="30000"/>
    <n v="1"/>
    <x v="0"/>
    <n v="24000"/>
    <n v="30000"/>
    <x v="75"/>
    <n v="6000"/>
    <n v="2044"/>
  </r>
  <r>
    <s v="2025-01-07"/>
    <x v="0"/>
    <s v="Tuesday"/>
    <x v="1"/>
    <x v="1"/>
    <s v="Corporate"/>
    <s v="Store"/>
    <x v="0"/>
    <x v="0"/>
    <n v="85000"/>
    <n v="2"/>
    <x v="3"/>
    <n v="68000"/>
    <n v="170000"/>
    <x v="2"/>
    <n v="34000"/>
    <n v="2045"/>
  </r>
  <r>
    <s v="2025-04-25"/>
    <x v="1"/>
    <s v="Friday"/>
    <x v="0"/>
    <x v="0"/>
    <s v="Corporate"/>
    <s v="Online"/>
    <x v="0"/>
    <x v="0"/>
    <n v="85000"/>
    <n v="5"/>
    <x v="4"/>
    <n v="68000"/>
    <n v="425000"/>
    <x v="58"/>
    <n v="85000"/>
    <n v="2046"/>
  </r>
  <r>
    <s v="2025-02-01"/>
    <x v="2"/>
    <s v="Saturday"/>
    <x v="2"/>
    <x v="0"/>
    <s v="Retail"/>
    <s v="Store"/>
    <x v="8"/>
    <x v="2"/>
    <n v="250000"/>
    <n v="8"/>
    <x v="4"/>
    <n v="200000"/>
    <n v="2000000"/>
    <x v="52"/>
    <n v="400000"/>
    <n v="2047"/>
  </r>
  <r>
    <s v="2025-02-05"/>
    <x v="2"/>
    <s v="Wednesday"/>
    <x v="3"/>
    <x v="2"/>
    <s v="Corporate"/>
    <s v="Online"/>
    <x v="3"/>
    <x v="2"/>
    <n v="300000"/>
    <n v="8"/>
    <x v="3"/>
    <n v="240000"/>
    <n v="2400000"/>
    <x v="24"/>
    <n v="480000"/>
    <n v="2048"/>
  </r>
  <r>
    <s v="2025-04-19"/>
    <x v="1"/>
    <s v="Saturday"/>
    <x v="0"/>
    <x v="1"/>
    <s v="Corporate"/>
    <s v="Store"/>
    <x v="4"/>
    <x v="1"/>
    <n v="180000"/>
    <n v="9"/>
    <x v="2"/>
    <n v="144000"/>
    <n v="1620000"/>
    <x v="27"/>
    <n v="324000"/>
    <n v="2049"/>
  </r>
  <r>
    <s v="2025-04-18"/>
    <x v="1"/>
    <s v="Friday"/>
    <x v="3"/>
    <x v="3"/>
    <s v="Corporate"/>
    <s v="Online"/>
    <x v="2"/>
    <x v="1"/>
    <n v="60000"/>
    <n v="4"/>
    <x v="3"/>
    <n v="48000"/>
    <n v="240000"/>
    <x v="1"/>
    <n v="48000"/>
    <n v="2050"/>
  </r>
  <r>
    <s v="2025-01-22"/>
    <x v="0"/>
    <s v="Wednesday"/>
    <x v="2"/>
    <x v="0"/>
    <s v="Retail"/>
    <s v="Store"/>
    <x v="2"/>
    <x v="1"/>
    <n v="60000"/>
    <n v="3"/>
    <x v="3"/>
    <n v="48000"/>
    <n v="180000"/>
    <x v="32"/>
    <n v="36000"/>
    <n v="2051"/>
  </r>
  <r>
    <s v="2025-04-16"/>
    <x v="1"/>
    <s v="Wednesday"/>
    <x v="2"/>
    <x v="0"/>
    <s v="Retail"/>
    <s v="Online"/>
    <x v="9"/>
    <x v="1"/>
    <n v="220000"/>
    <n v="6"/>
    <x v="4"/>
    <n v="176000"/>
    <n v="1320000"/>
    <x v="36"/>
    <n v="264000"/>
    <n v="2052"/>
  </r>
  <r>
    <s v="2025-03-09"/>
    <x v="3"/>
    <s v="Sunday"/>
    <x v="1"/>
    <x v="2"/>
    <s v="Retail"/>
    <s v="Store"/>
    <x v="5"/>
    <x v="0"/>
    <n v="320000"/>
    <n v="9"/>
    <x v="3"/>
    <n v="256000"/>
    <n v="2880000"/>
    <x v="8"/>
    <n v="576000"/>
    <n v="2053"/>
  </r>
  <r>
    <s v="2025-01-19"/>
    <x v="0"/>
    <s v="Sunday"/>
    <x v="2"/>
    <x v="2"/>
    <s v="Retail"/>
    <s v="Store"/>
    <x v="7"/>
    <x v="2"/>
    <n v="420000"/>
    <n v="3"/>
    <x v="1"/>
    <n v="336000"/>
    <n v="1260000"/>
    <x v="55"/>
    <n v="252000"/>
    <n v="2054"/>
  </r>
  <r>
    <s v="2025-04-28"/>
    <x v="1"/>
    <s v="Monday"/>
    <x v="1"/>
    <x v="3"/>
    <s v="Corporate"/>
    <s v="Store"/>
    <x v="4"/>
    <x v="1"/>
    <n v="180000"/>
    <n v="9"/>
    <x v="0"/>
    <n v="144000"/>
    <n v="1620000"/>
    <x v="27"/>
    <n v="324000"/>
    <n v="2055"/>
  </r>
  <r>
    <s v="2025-03-22"/>
    <x v="3"/>
    <s v="Saturday"/>
    <x v="2"/>
    <x v="3"/>
    <s v="Corporate"/>
    <s v="Store"/>
    <x v="2"/>
    <x v="1"/>
    <n v="60000"/>
    <n v="1"/>
    <x v="0"/>
    <n v="48000"/>
    <n v="60000"/>
    <x v="41"/>
    <n v="12000"/>
    <n v="2056"/>
  </r>
  <r>
    <s v="2025-03-13"/>
    <x v="3"/>
    <s v="Thursday"/>
    <x v="0"/>
    <x v="2"/>
    <s v="Corporate"/>
    <s v="Store"/>
    <x v="8"/>
    <x v="2"/>
    <n v="250000"/>
    <n v="5"/>
    <x v="3"/>
    <n v="200000"/>
    <n v="1250000"/>
    <x v="21"/>
    <n v="250000"/>
    <n v="2057"/>
  </r>
  <r>
    <s v="2025-04-25"/>
    <x v="1"/>
    <s v="Friday"/>
    <x v="0"/>
    <x v="0"/>
    <s v="Corporate"/>
    <s v="Store"/>
    <x v="1"/>
    <x v="1"/>
    <n v="30000"/>
    <n v="8"/>
    <x v="0"/>
    <n v="24000"/>
    <n v="240000"/>
    <x v="1"/>
    <n v="48000"/>
    <n v="2058"/>
  </r>
  <r>
    <s v="2025-02-01"/>
    <x v="2"/>
    <s v="Saturday"/>
    <x v="3"/>
    <x v="0"/>
    <s v="Retail"/>
    <s v="Online"/>
    <x v="4"/>
    <x v="1"/>
    <n v="180000"/>
    <n v="6"/>
    <x v="0"/>
    <n v="144000"/>
    <n v="1080000"/>
    <x v="53"/>
    <n v="216000"/>
    <n v="2059"/>
  </r>
  <r>
    <s v="2025-04-28"/>
    <x v="1"/>
    <s v="Monday"/>
    <x v="1"/>
    <x v="2"/>
    <s v="Retail"/>
    <s v="Store"/>
    <x v="2"/>
    <x v="1"/>
    <n v="60000"/>
    <n v="1"/>
    <x v="2"/>
    <n v="48000"/>
    <n v="60000"/>
    <x v="41"/>
    <n v="12000"/>
    <n v="2060"/>
  </r>
  <r>
    <s v="2025-04-27"/>
    <x v="1"/>
    <s v="Sunday"/>
    <x v="1"/>
    <x v="2"/>
    <s v="Retail"/>
    <s v="Online"/>
    <x v="6"/>
    <x v="2"/>
    <n v="150000"/>
    <n v="5"/>
    <x v="5"/>
    <n v="120000"/>
    <n v="750000"/>
    <x v="56"/>
    <n v="150000"/>
    <n v="2061"/>
  </r>
  <r>
    <s v="2025-03-12"/>
    <x v="3"/>
    <s v="Wednesday"/>
    <x v="3"/>
    <x v="1"/>
    <s v="Corporate"/>
    <s v="Store"/>
    <x v="0"/>
    <x v="0"/>
    <n v="85000"/>
    <n v="1"/>
    <x v="5"/>
    <n v="68000"/>
    <n v="85000"/>
    <x v="0"/>
    <n v="17000"/>
    <n v="2062"/>
  </r>
  <r>
    <s v="2025-01-20"/>
    <x v="0"/>
    <s v="Monday"/>
    <x v="2"/>
    <x v="1"/>
    <s v="Corporate"/>
    <s v="Store"/>
    <x v="6"/>
    <x v="2"/>
    <n v="150000"/>
    <n v="7"/>
    <x v="3"/>
    <n v="120000"/>
    <n v="1050000"/>
    <x v="16"/>
    <n v="210000"/>
    <n v="2063"/>
  </r>
  <r>
    <s v="2025-01-17"/>
    <x v="0"/>
    <s v="Friday"/>
    <x v="3"/>
    <x v="2"/>
    <s v="Corporate"/>
    <s v="Store"/>
    <x v="4"/>
    <x v="1"/>
    <n v="180000"/>
    <n v="4"/>
    <x v="0"/>
    <n v="144000"/>
    <n v="720000"/>
    <x v="65"/>
    <n v="144000"/>
    <n v="2064"/>
  </r>
  <r>
    <s v="2025-01-15"/>
    <x v="0"/>
    <s v="Wednesday"/>
    <x v="3"/>
    <x v="2"/>
    <s v="Corporate"/>
    <s v="Store"/>
    <x v="0"/>
    <x v="0"/>
    <n v="85000"/>
    <n v="8"/>
    <x v="0"/>
    <n v="68000"/>
    <n v="680000"/>
    <x v="69"/>
    <n v="136000"/>
    <n v="2065"/>
  </r>
  <r>
    <s v="2025-03-25"/>
    <x v="3"/>
    <s v="Tuesday"/>
    <x v="3"/>
    <x v="3"/>
    <s v="Corporate"/>
    <s v="Store"/>
    <x v="5"/>
    <x v="0"/>
    <n v="320000"/>
    <n v="4"/>
    <x v="1"/>
    <n v="256000"/>
    <n v="1280000"/>
    <x v="6"/>
    <n v="256000"/>
    <n v="2066"/>
  </r>
  <r>
    <s v="2025-03-30"/>
    <x v="3"/>
    <s v="Sunday"/>
    <x v="0"/>
    <x v="2"/>
    <s v="Retail"/>
    <s v="Store"/>
    <x v="8"/>
    <x v="2"/>
    <n v="250000"/>
    <n v="6"/>
    <x v="3"/>
    <n v="200000"/>
    <n v="1500000"/>
    <x v="17"/>
    <n v="300000"/>
    <n v="2067"/>
  </r>
  <r>
    <s v="2025-03-20"/>
    <x v="3"/>
    <s v="Thursday"/>
    <x v="0"/>
    <x v="2"/>
    <s v="Retail"/>
    <s v="Store"/>
    <x v="9"/>
    <x v="1"/>
    <n v="220000"/>
    <n v="5"/>
    <x v="2"/>
    <n v="176000"/>
    <n v="1100000"/>
    <x v="51"/>
    <n v="220000"/>
    <n v="2068"/>
  </r>
  <r>
    <s v="2025-02-18"/>
    <x v="2"/>
    <s v="Tuesday"/>
    <x v="2"/>
    <x v="1"/>
    <s v="Corporate"/>
    <s v="Store"/>
    <x v="3"/>
    <x v="2"/>
    <n v="300000"/>
    <n v="8"/>
    <x v="4"/>
    <n v="240000"/>
    <n v="2400000"/>
    <x v="24"/>
    <n v="480000"/>
    <n v="2069"/>
  </r>
  <r>
    <s v="2025-03-28"/>
    <x v="3"/>
    <s v="Friday"/>
    <x v="2"/>
    <x v="3"/>
    <s v="Retail"/>
    <s v="Store"/>
    <x v="2"/>
    <x v="1"/>
    <n v="60000"/>
    <n v="10"/>
    <x v="2"/>
    <n v="48000"/>
    <n v="600000"/>
    <x v="4"/>
    <n v="120000"/>
    <n v="2070"/>
  </r>
  <r>
    <s v="2025-01-06"/>
    <x v="0"/>
    <s v="Monday"/>
    <x v="2"/>
    <x v="1"/>
    <s v="Retail"/>
    <s v="Store"/>
    <x v="4"/>
    <x v="1"/>
    <n v="180000"/>
    <n v="6"/>
    <x v="5"/>
    <n v="144000"/>
    <n v="1080000"/>
    <x v="53"/>
    <n v="216000"/>
    <n v="2071"/>
  </r>
  <r>
    <s v="2025-04-20"/>
    <x v="1"/>
    <s v="Sunday"/>
    <x v="2"/>
    <x v="2"/>
    <s v="Corporate"/>
    <s v="Store"/>
    <x v="2"/>
    <x v="1"/>
    <n v="60000"/>
    <n v="3"/>
    <x v="4"/>
    <n v="48000"/>
    <n v="180000"/>
    <x v="32"/>
    <n v="36000"/>
    <n v="2072"/>
  </r>
  <r>
    <s v="2025-01-29"/>
    <x v="0"/>
    <s v="Wednesday"/>
    <x v="2"/>
    <x v="2"/>
    <s v="Retail"/>
    <s v="Store"/>
    <x v="1"/>
    <x v="1"/>
    <n v="30000"/>
    <n v="4"/>
    <x v="1"/>
    <n v="24000"/>
    <n v="120000"/>
    <x v="3"/>
    <n v="24000"/>
    <n v="2073"/>
  </r>
  <r>
    <s v="2025-04-08"/>
    <x v="1"/>
    <s v="Tuesday"/>
    <x v="1"/>
    <x v="0"/>
    <s v="Corporate"/>
    <s v="Store"/>
    <x v="2"/>
    <x v="1"/>
    <n v="60000"/>
    <n v="4"/>
    <x v="4"/>
    <n v="48000"/>
    <n v="240000"/>
    <x v="1"/>
    <n v="48000"/>
    <n v="2074"/>
  </r>
  <r>
    <s v="2025-03-02"/>
    <x v="3"/>
    <s v="Sunday"/>
    <x v="0"/>
    <x v="2"/>
    <s v="Corporate"/>
    <s v="Store"/>
    <x v="4"/>
    <x v="1"/>
    <n v="180000"/>
    <n v="5"/>
    <x v="2"/>
    <n v="144000"/>
    <n v="900000"/>
    <x v="48"/>
    <n v="180000"/>
    <n v="2075"/>
  </r>
  <r>
    <s v="2025-01-27"/>
    <x v="0"/>
    <s v="Monday"/>
    <x v="3"/>
    <x v="0"/>
    <s v="Retail"/>
    <s v="Store"/>
    <x v="0"/>
    <x v="0"/>
    <n v="85000"/>
    <n v="9"/>
    <x v="1"/>
    <n v="68000"/>
    <n v="765000"/>
    <x v="18"/>
    <n v="153000"/>
    <n v="2076"/>
  </r>
  <r>
    <s v="2025-03-30"/>
    <x v="3"/>
    <s v="Sunday"/>
    <x v="0"/>
    <x v="3"/>
    <s v="Retail"/>
    <s v="Store"/>
    <x v="0"/>
    <x v="0"/>
    <n v="85000"/>
    <n v="9"/>
    <x v="4"/>
    <n v="68000"/>
    <n v="765000"/>
    <x v="18"/>
    <n v="153000"/>
    <n v="2077"/>
  </r>
  <r>
    <s v="2025-01-31"/>
    <x v="0"/>
    <s v="Friday"/>
    <x v="3"/>
    <x v="0"/>
    <s v="Corporate"/>
    <s v="Store"/>
    <x v="4"/>
    <x v="1"/>
    <n v="180000"/>
    <n v="8"/>
    <x v="5"/>
    <n v="144000"/>
    <n v="1440000"/>
    <x v="37"/>
    <n v="288000"/>
    <n v="2078"/>
  </r>
  <r>
    <s v="2025-01-10"/>
    <x v="0"/>
    <s v="Friday"/>
    <x v="3"/>
    <x v="1"/>
    <s v="Corporate"/>
    <s v="Store"/>
    <x v="6"/>
    <x v="2"/>
    <n v="150000"/>
    <n v="2"/>
    <x v="5"/>
    <n v="120000"/>
    <n v="300000"/>
    <x v="11"/>
    <n v="60000"/>
    <n v="2079"/>
  </r>
  <r>
    <s v="2025-01-06"/>
    <x v="0"/>
    <s v="Monday"/>
    <x v="1"/>
    <x v="2"/>
    <s v="Corporate"/>
    <s v="Store"/>
    <x v="1"/>
    <x v="1"/>
    <n v="30000"/>
    <n v="3"/>
    <x v="0"/>
    <n v="24000"/>
    <n v="90000"/>
    <x v="33"/>
    <n v="18000"/>
    <n v="2080"/>
  </r>
  <r>
    <s v="2025-03-30"/>
    <x v="3"/>
    <s v="Sunday"/>
    <x v="3"/>
    <x v="0"/>
    <s v="Corporate"/>
    <s v="Store"/>
    <x v="1"/>
    <x v="1"/>
    <n v="30000"/>
    <n v="5"/>
    <x v="1"/>
    <n v="24000"/>
    <n v="150000"/>
    <x v="26"/>
    <n v="30000"/>
    <n v="2081"/>
  </r>
  <r>
    <s v="2025-04-25"/>
    <x v="1"/>
    <s v="Friday"/>
    <x v="1"/>
    <x v="1"/>
    <s v="Corporate"/>
    <s v="Store"/>
    <x v="1"/>
    <x v="1"/>
    <n v="30000"/>
    <n v="7"/>
    <x v="5"/>
    <n v="24000"/>
    <n v="210000"/>
    <x v="54"/>
    <n v="42000"/>
    <n v="2082"/>
  </r>
  <r>
    <s v="2025-04-08"/>
    <x v="1"/>
    <s v="Tuesday"/>
    <x v="1"/>
    <x v="0"/>
    <s v="Retail"/>
    <s v="Store"/>
    <x v="4"/>
    <x v="1"/>
    <n v="180000"/>
    <n v="4"/>
    <x v="0"/>
    <n v="144000"/>
    <n v="720000"/>
    <x v="65"/>
    <n v="144000"/>
    <n v="2083"/>
  </r>
  <r>
    <s v="2025-02-07"/>
    <x v="2"/>
    <s v="Friday"/>
    <x v="1"/>
    <x v="0"/>
    <s v="Corporate"/>
    <s v="Store"/>
    <x v="4"/>
    <x v="1"/>
    <n v="180000"/>
    <n v="1"/>
    <x v="3"/>
    <n v="144000"/>
    <n v="180000"/>
    <x v="32"/>
    <n v="36000"/>
    <n v="2084"/>
  </r>
  <r>
    <s v="2025-03-21"/>
    <x v="3"/>
    <s v="Friday"/>
    <x v="2"/>
    <x v="1"/>
    <s v="Retail"/>
    <s v="Store"/>
    <x v="2"/>
    <x v="1"/>
    <n v="60000"/>
    <n v="10"/>
    <x v="4"/>
    <n v="48000"/>
    <n v="600000"/>
    <x v="4"/>
    <n v="120000"/>
    <n v="2085"/>
  </r>
  <r>
    <s v="2025-03-03"/>
    <x v="3"/>
    <s v="Monday"/>
    <x v="3"/>
    <x v="1"/>
    <s v="Retail"/>
    <s v="Store"/>
    <x v="8"/>
    <x v="2"/>
    <n v="250000"/>
    <n v="8"/>
    <x v="2"/>
    <n v="200000"/>
    <n v="2000000"/>
    <x v="52"/>
    <n v="400000"/>
    <n v="2086"/>
  </r>
  <r>
    <s v="2025-01-16"/>
    <x v="0"/>
    <s v="Thursday"/>
    <x v="3"/>
    <x v="2"/>
    <s v="Retail"/>
    <s v="Store"/>
    <x v="1"/>
    <x v="1"/>
    <n v="30000"/>
    <n v="8"/>
    <x v="4"/>
    <n v="24000"/>
    <n v="240000"/>
    <x v="1"/>
    <n v="48000"/>
    <n v="2087"/>
  </r>
  <r>
    <s v="2025-03-26"/>
    <x v="3"/>
    <s v="Wednesday"/>
    <x v="3"/>
    <x v="0"/>
    <s v="Corporate"/>
    <s v="Online"/>
    <x v="4"/>
    <x v="1"/>
    <n v="180000"/>
    <n v="4"/>
    <x v="2"/>
    <n v="144000"/>
    <n v="720000"/>
    <x v="65"/>
    <n v="144000"/>
    <n v="2088"/>
  </r>
  <r>
    <s v="2025-02-07"/>
    <x v="2"/>
    <s v="Friday"/>
    <x v="1"/>
    <x v="1"/>
    <s v="Corporate"/>
    <s v="Online"/>
    <x v="6"/>
    <x v="2"/>
    <n v="150000"/>
    <n v="1"/>
    <x v="2"/>
    <n v="120000"/>
    <n v="150000"/>
    <x v="26"/>
    <n v="30000"/>
    <n v="2089"/>
  </r>
  <r>
    <s v="2025-04-09"/>
    <x v="1"/>
    <s v="Wednesday"/>
    <x v="3"/>
    <x v="3"/>
    <s v="Retail"/>
    <s v="Store"/>
    <x v="3"/>
    <x v="2"/>
    <n v="300000"/>
    <n v="3"/>
    <x v="0"/>
    <n v="240000"/>
    <n v="900000"/>
    <x v="48"/>
    <n v="180000"/>
    <n v="2090"/>
  </r>
  <r>
    <s v="2025-04-08"/>
    <x v="1"/>
    <s v="Tuesday"/>
    <x v="0"/>
    <x v="2"/>
    <s v="Retail"/>
    <s v="Online"/>
    <x v="5"/>
    <x v="0"/>
    <n v="320000"/>
    <n v="5"/>
    <x v="0"/>
    <n v="256000"/>
    <n v="1600000"/>
    <x v="28"/>
    <n v="320000"/>
    <n v="2091"/>
  </r>
  <r>
    <s v="2025-02-23"/>
    <x v="2"/>
    <s v="Sunday"/>
    <x v="0"/>
    <x v="3"/>
    <s v="Corporate"/>
    <s v="Online"/>
    <x v="3"/>
    <x v="2"/>
    <n v="300000"/>
    <n v="1"/>
    <x v="1"/>
    <n v="240000"/>
    <n v="300000"/>
    <x v="11"/>
    <n v="60000"/>
    <n v="2092"/>
  </r>
  <r>
    <s v="2025-02-25"/>
    <x v="2"/>
    <s v="Tuesday"/>
    <x v="0"/>
    <x v="1"/>
    <s v="Corporate"/>
    <s v="Online"/>
    <x v="6"/>
    <x v="2"/>
    <n v="150000"/>
    <n v="4"/>
    <x v="2"/>
    <n v="120000"/>
    <n v="600000"/>
    <x v="4"/>
    <n v="120000"/>
    <n v="2093"/>
  </r>
  <r>
    <s v="2025-04-30"/>
    <x v="1"/>
    <s v="Wednesday"/>
    <x v="2"/>
    <x v="0"/>
    <s v="Corporate"/>
    <s v="Online"/>
    <x v="8"/>
    <x v="2"/>
    <n v="250000"/>
    <n v="2"/>
    <x v="3"/>
    <n v="200000"/>
    <n v="500000"/>
    <x v="73"/>
    <n v="100000"/>
    <n v="2094"/>
  </r>
  <r>
    <s v="2025-04-20"/>
    <x v="1"/>
    <s v="Sunday"/>
    <x v="3"/>
    <x v="1"/>
    <s v="Retail"/>
    <s v="Store"/>
    <x v="8"/>
    <x v="2"/>
    <n v="250000"/>
    <n v="10"/>
    <x v="4"/>
    <n v="200000"/>
    <n v="2500000"/>
    <x v="66"/>
    <n v="500000"/>
    <n v="2095"/>
  </r>
  <r>
    <s v="2025-04-19"/>
    <x v="1"/>
    <s v="Saturday"/>
    <x v="2"/>
    <x v="3"/>
    <s v="Corporate"/>
    <s v="Store"/>
    <x v="6"/>
    <x v="2"/>
    <n v="150000"/>
    <n v="2"/>
    <x v="0"/>
    <n v="120000"/>
    <n v="300000"/>
    <x v="11"/>
    <n v="60000"/>
    <n v="2096"/>
  </r>
  <r>
    <s v="2025-03-08"/>
    <x v="3"/>
    <s v="Saturday"/>
    <x v="2"/>
    <x v="0"/>
    <s v="Retail"/>
    <s v="Online"/>
    <x v="8"/>
    <x v="2"/>
    <n v="250000"/>
    <n v="9"/>
    <x v="3"/>
    <n v="200000"/>
    <n v="2250000"/>
    <x v="71"/>
    <n v="450000"/>
    <n v="2097"/>
  </r>
  <r>
    <s v="2025-02-05"/>
    <x v="2"/>
    <s v="Wednesday"/>
    <x v="2"/>
    <x v="0"/>
    <s v="Retail"/>
    <s v="Online"/>
    <x v="5"/>
    <x v="0"/>
    <n v="320000"/>
    <n v="4"/>
    <x v="1"/>
    <n v="256000"/>
    <n v="1280000"/>
    <x v="6"/>
    <n v="256000"/>
    <n v="20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B8C447-D491-4E5E-8FA0-A340A5810EE1}"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19:B26" firstHeaderRow="1" firstDataRow="1" firstDataCol="1"/>
  <pivotFields count="17">
    <pivotField showAll="0"/>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numFmtId="164" showAll="0"/>
    <pivotField showAll="0"/>
  </pivotFields>
  <rowFields count="1">
    <field x="11"/>
  </rowFields>
  <rowItems count="7">
    <i>
      <x v="5"/>
    </i>
    <i>
      <x v="4"/>
    </i>
    <i>
      <x v="2"/>
    </i>
    <i>
      <x/>
    </i>
    <i>
      <x v="1"/>
    </i>
    <i>
      <x v="3"/>
    </i>
    <i t="grand">
      <x/>
    </i>
  </rowItems>
  <colItems count="1">
    <i/>
  </colItems>
  <dataFields count="1">
    <dataField name="Sum of Revenue" fld="13" baseField="0" baseItem="0" numFmtId="167"/>
  </dataFields>
  <formats count="2">
    <format dxfId="51">
      <pivotArea outline="0" collapsedLevelsAreSubtotals="1" fieldPosition="0"/>
    </format>
    <format dxfId="5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2"/>
          </reference>
        </references>
      </pivotArea>
    </chartFormat>
    <chartFormat chart="11"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5"/>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1" count="1" selected="0">
            <x v="5"/>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3F73C4-C406-43F7-8B1A-95EA123D6F9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3:B14" firstHeaderRow="1" firstDataRow="1" firstDataCol="1"/>
  <pivotFields count="17">
    <pivotField showAll="0"/>
    <pivotField showAll="0"/>
    <pivotField showAll="0"/>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showAll="0"/>
    <pivotField showAll="0"/>
    <pivotField numFmtId="164" showAll="0"/>
    <pivotField numFmtId="164" showAll="0"/>
    <pivotField numFmtId="164" showAll="0"/>
    <pivotField dataField="1" numFmtId="164" showAll="0"/>
    <pivotField showAll="0"/>
  </pivotFields>
  <rowFields count="1">
    <field x="7"/>
  </rowFields>
  <rowItems count="11">
    <i>
      <x v="1"/>
    </i>
    <i>
      <x v="4"/>
    </i>
    <i>
      <x v="5"/>
    </i>
    <i>
      <x v="6"/>
    </i>
    <i>
      <x/>
    </i>
    <i>
      <x v="7"/>
    </i>
    <i>
      <x v="8"/>
    </i>
    <i>
      <x v="2"/>
    </i>
    <i>
      <x v="9"/>
    </i>
    <i>
      <x v="3"/>
    </i>
    <i t="grand">
      <x/>
    </i>
  </rowItems>
  <colItems count="1">
    <i/>
  </colItems>
  <dataFields count="1">
    <dataField name="Sum of Profit" fld="15" baseField="0" baseItem="0" numFmtId="165"/>
  </dataFields>
  <formats count="4">
    <format dxfId="55">
      <pivotArea outline="0" fieldPosition="0">
        <references count="1">
          <reference field="4294967294" count="1">
            <x v="0"/>
          </reference>
        </references>
      </pivotArea>
    </format>
    <format dxfId="54">
      <pivotArea collapsedLevelsAreSubtotals="1" fieldPosition="0">
        <references count="1">
          <reference field="7" count="1">
            <x v="3"/>
          </reference>
        </references>
      </pivotArea>
    </format>
    <format dxfId="53">
      <pivotArea outline="0" collapsedLevelsAreSubtotals="1" fieldPosition="0"/>
    </format>
    <format dxfId="52">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7" count="1" selected="0">
            <x v="3"/>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7" count="1" selected="0">
            <x v="3"/>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C4E49D-38BF-4513-8B4C-71E274A6C6D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41:B47" firstHeaderRow="1" firstDataRow="1" firstDataCol="1"/>
  <pivotFields count="17">
    <pivotField showAll="0"/>
    <pivotField axis="axisRow" showAll="0">
      <items count="6">
        <item x="0"/>
        <item x="2"/>
        <item x="3"/>
        <item x="1"/>
        <item x="4"/>
        <item t="default"/>
      </items>
    </pivotField>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numFmtId="164" showAll="0"/>
    <pivotField numFmtId="164" showAll="0"/>
    <pivotField dataField="1" showAll="0"/>
  </pivotFields>
  <rowFields count="1">
    <field x="1"/>
  </rowFields>
  <rowItems count="6">
    <i>
      <x/>
    </i>
    <i>
      <x v="1"/>
    </i>
    <i>
      <x v="2"/>
    </i>
    <i>
      <x v="3"/>
    </i>
    <i>
      <x v="4"/>
    </i>
    <i t="grand">
      <x/>
    </i>
  </rowItems>
  <colItems count="1">
    <i/>
  </colItems>
  <dataFields count="1">
    <dataField name="Count of Customer ID" fld="16" subtotal="count" baseField="1" baseItem="0" numFmtId="166"/>
  </dataFields>
  <formats count="2">
    <format dxfId="57">
      <pivotArea dataOnly="0" labelOnly="1" outline="0" axis="axisValues" fieldPosition="0"/>
    </format>
    <format dxfId="5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3"/>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3"/>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 count="1" selected="0">
            <x v="3"/>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9E9549-70CC-4B51-BC3B-404E614C2CD1}"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1:B36" firstHeaderRow="1" firstDataRow="1" firstDataCol="1"/>
  <pivotFields count="17">
    <pivotField showAll="0"/>
    <pivotField showAll="0"/>
    <pivotField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dataField="1" numFmtId="164" showAll="0">
      <items count="78">
        <item x="75"/>
        <item x="41"/>
        <item x="0"/>
        <item x="33"/>
        <item x="3"/>
        <item x="26"/>
        <item x="2"/>
        <item x="32"/>
        <item x="54"/>
        <item x="25"/>
        <item x="1"/>
        <item x="44"/>
        <item x="23"/>
        <item x="57"/>
        <item x="11"/>
        <item x="7"/>
        <item x="74"/>
        <item x="50"/>
        <item x="40"/>
        <item x="58"/>
        <item x="15"/>
        <item x="34"/>
        <item x="47"/>
        <item x="73"/>
        <item x="60"/>
        <item x="46"/>
        <item x="30"/>
        <item x="4"/>
        <item x="38"/>
        <item x="49"/>
        <item x="69"/>
        <item x="65"/>
        <item x="56"/>
        <item x="18"/>
        <item x="62"/>
        <item x="43"/>
        <item x="22"/>
        <item x="48"/>
        <item x="9"/>
        <item x="14"/>
        <item x="16"/>
        <item x="53"/>
        <item x="51"/>
        <item x="29"/>
        <item x="21"/>
        <item x="55"/>
        <item x="6"/>
        <item x="36"/>
        <item x="63"/>
        <item x="37"/>
        <item x="17"/>
        <item x="67"/>
        <item x="28"/>
        <item x="27"/>
        <item x="45"/>
        <item x="59"/>
        <item x="42"/>
        <item x="5"/>
        <item x="31"/>
        <item x="64"/>
        <item x="52"/>
        <item x="13"/>
        <item x="61"/>
        <item x="10"/>
        <item x="71"/>
        <item x="24"/>
        <item x="66"/>
        <item x="76"/>
        <item x="72"/>
        <item x="39"/>
        <item x="8"/>
        <item x="70"/>
        <item x="68"/>
        <item x="35"/>
        <item x="19"/>
        <item x="12"/>
        <item x="20"/>
        <item t="default"/>
      </items>
    </pivotField>
    <pivotField numFmtId="164" showAll="0"/>
    <pivotField showAll="0"/>
  </pivotFields>
  <rowFields count="1">
    <field x="4"/>
  </rowFields>
  <rowItems count="5">
    <i>
      <x v="2"/>
    </i>
    <i>
      <x v="1"/>
    </i>
    <i>
      <x v="3"/>
    </i>
    <i>
      <x/>
    </i>
    <i t="grand">
      <x/>
    </i>
  </rowItems>
  <colItems count="1">
    <i/>
  </colItems>
  <dataFields count="1">
    <dataField name="Sum of COGS" fld="14" baseField="4" baseItem="2" numFmtId="167"/>
  </dataFields>
  <formats count="3">
    <format dxfId="60">
      <pivotArea outline="0" fieldPosition="0">
        <references count="1">
          <reference field="4294967294" count="1">
            <x v="0"/>
          </reference>
        </references>
      </pivotArea>
    </format>
    <format dxfId="59">
      <pivotArea outline="0" collapsedLevelsAreSubtotals="1" fieldPosition="0"/>
    </format>
    <format dxfId="58">
      <pivotArea dataOnly="0" labelOnly="1" outline="0" axis="axisValues" fieldPosition="0"/>
    </format>
  </formats>
  <chartFormats count="3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2"/>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4" format="7">
      <pivotArea type="data" outline="0" fieldPosition="0">
        <references count="2">
          <reference field="4294967294" count="1" selected="0">
            <x v="0"/>
          </reference>
          <reference field="4" count="1" selected="0">
            <x v="3"/>
          </reference>
        </references>
      </pivotArea>
    </chartFormat>
    <chartFormat chart="4" format="8">
      <pivotArea type="data" outline="0" fieldPosition="0">
        <references count="2">
          <reference field="4294967294" count="1" selected="0">
            <x v="0"/>
          </reference>
          <reference field="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4" count="1" selected="0">
            <x v="2"/>
          </reference>
        </references>
      </pivotArea>
    </chartFormat>
    <chartFormat chart="12" format="11">
      <pivotArea type="data" outline="0" fieldPosition="0">
        <references count="2">
          <reference field="4294967294" count="1" selected="0">
            <x v="0"/>
          </reference>
          <reference field="4" count="1" selected="0">
            <x v="1"/>
          </reference>
        </references>
      </pivotArea>
    </chartFormat>
    <chartFormat chart="12" format="12">
      <pivotArea type="data" outline="0" fieldPosition="0">
        <references count="2">
          <reference field="4294967294" count="1" selected="0">
            <x v="0"/>
          </reference>
          <reference field="4" count="1" selected="0">
            <x v="3"/>
          </reference>
        </references>
      </pivotArea>
    </chartFormat>
    <chartFormat chart="12" format="13">
      <pivotArea type="data" outline="0" fieldPosition="0">
        <references count="2">
          <reference field="4294967294" count="1" selected="0">
            <x v="0"/>
          </reference>
          <reference field="4" count="1" selected="0">
            <x v="0"/>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4" count="1" selected="0">
            <x v="2"/>
          </reference>
        </references>
      </pivotArea>
    </chartFormat>
    <chartFormat chart="13" format="16">
      <pivotArea type="data" outline="0" fieldPosition="0">
        <references count="2">
          <reference field="4294967294" count="1" selected="0">
            <x v="0"/>
          </reference>
          <reference field="4" count="1" selected="0">
            <x v="1"/>
          </reference>
        </references>
      </pivotArea>
    </chartFormat>
    <chartFormat chart="13" format="17">
      <pivotArea type="data" outline="0" fieldPosition="0">
        <references count="2">
          <reference field="4294967294" count="1" selected="0">
            <x v="0"/>
          </reference>
          <reference field="4" count="1" selected="0">
            <x v="3"/>
          </reference>
        </references>
      </pivotArea>
    </chartFormat>
    <chartFormat chart="13" format="18">
      <pivotArea type="data" outline="0" fieldPosition="0">
        <references count="2">
          <reference field="4294967294" count="1" selected="0">
            <x v="0"/>
          </reference>
          <reference field="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4" count="1" selected="0">
            <x v="2"/>
          </reference>
        </references>
      </pivotArea>
    </chartFormat>
    <chartFormat chart="15" format="11">
      <pivotArea type="data" outline="0" fieldPosition="0">
        <references count="2">
          <reference field="4294967294" count="1" selected="0">
            <x v="0"/>
          </reference>
          <reference field="4" count="1" selected="0">
            <x v="1"/>
          </reference>
        </references>
      </pivotArea>
    </chartFormat>
    <chartFormat chart="15" format="12">
      <pivotArea type="data" outline="0" fieldPosition="0">
        <references count="2">
          <reference field="4294967294" count="1" selected="0">
            <x v="0"/>
          </reference>
          <reference field="4" count="1" selected="0">
            <x v="3"/>
          </reference>
        </references>
      </pivotArea>
    </chartFormat>
    <chartFormat chart="15" format="13">
      <pivotArea type="data" outline="0" fieldPosition="0">
        <references count="2">
          <reference field="4294967294" count="1" selected="0">
            <x v="0"/>
          </reference>
          <reference field="4" count="1" selected="0">
            <x v="0"/>
          </reference>
        </references>
      </pivotArea>
    </chartFormat>
    <chartFormat chart="16" format="14" series="1">
      <pivotArea type="data" outline="0" fieldPosition="0">
        <references count="1">
          <reference field="4294967294" count="1" selected="0">
            <x v="0"/>
          </reference>
        </references>
      </pivotArea>
    </chartFormat>
    <chartFormat chart="16" format="15">
      <pivotArea type="data" outline="0" fieldPosition="0">
        <references count="2">
          <reference field="4294967294" count="1" selected="0">
            <x v="0"/>
          </reference>
          <reference field="4" count="1" selected="0">
            <x v="2"/>
          </reference>
        </references>
      </pivotArea>
    </chartFormat>
    <chartFormat chart="16" format="16">
      <pivotArea type="data" outline="0" fieldPosition="0">
        <references count="2">
          <reference field="4294967294" count="1" selected="0">
            <x v="0"/>
          </reference>
          <reference field="4" count="1" selected="0">
            <x v="1"/>
          </reference>
        </references>
      </pivotArea>
    </chartFormat>
    <chartFormat chart="16" format="17">
      <pivotArea type="data" outline="0" fieldPosition="0">
        <references count="2">
          <reference field="4294967294" count="1" selected="0">
            <x v="0"/>
          </reference>
          <reference field="4" count="1" selected="0">
            <x v="3"/>
          </reference>
        </references>
      </pivotArea>
    </chartFormat>
    <chartFormat chart="16" format="1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7DE291-AFEA-4FE7-AD50-6D51A4BF504A}" sourceName="Region">
  <pivotTables>
    <pivotTable tabId="4" name="PivotTable3"/>
    <pivotTable tabId="4" name="PivotTable1"/>
    <pivotTable tabId="4" name="PivotTable2"/>
    <pivotTable tabId="4" name="PivotTable4"/>
  </pivotTables>
  <data>
    <tabular pivotCacheId="58892032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8DB81E-A617-44E8-80EB-B980621B0ECB}" sourceName="Category">
  <pivotTables>
    <pivotTable tabId="4" name="PivotTable3"/>
    <pivotTable tabId="4" name="PivotTable1"/>
    <pivotTable tabId="4" name="PivotTable2"/>
    <pivotTable tabId="4" name="PivotTable4"/>
  </pivotTables>
  <data>
    <tabular pivotCacheId="58892032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16EBA1-102D-48AC-8633-DB01D84EB6B9}" cache="Slicer_Region" caption="Region" rowHeight="241300"/>
  <slicer name="Category" xr10:uid="{51520F12-3B92-49DE-89BA-1215F31450BD}"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59DA7AA-8907-4A37-AD39-50837B24B63E}" cache="Slicer_Region" caption="Region" showCaption="0" style="Slicer Style 1 2" rowHeight="457200"/>
  <slicer name="Category 1" xr10:uid="{416312B7-3565-4EBF-A0A0-7C3E34AB7B2A}" cache="Slicer_Category" caption="Category" showCaption="0" style="Slicer Style 1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2099" totalsRowShown="0">
  <autoFilter ref="A1:Q2099" xr:uid="{00000000-0009-0000-0100-000001000000}"/>
  <tableColumns count="17">
    <tableColumn id="1" xr3:uid="{00000000-0010-0000-0000-000001000000}" name="Date"/>
    <tableColumn id="32" xr3:uid="{7434A33C-7220-4F2C-8E2B-3E864A69BD1C}" name="Month" dataDxfId="68">
      <calculatedColumnFormula>TEXT(Table1[[#This Row],[Date]],"MMMM")</calculatedColumnFormula>
    </tableColumn>
    <tableColumn id="33" xr3:uid="{5A8C8617-BE03-4F90-8ABC-1DDD3DC61412}" name="Weekday" dataDxfId="67">
      <calculatedColumnFormula>TEXT(Table1[[#This Row],[Date]],"DDDD")</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66"/>
    <tableColumn id="9" xr3:uid="{00000000-0010-0000-0000-000009000000}" name="Quantity"/>
    <tableColumn id="14" xr3:uid="{00000000-0010-0000-0000-00000E000000}" name="Sales Rep"/>
    <tableColumn id="15" xr3:uid="{00000000-0010-0000-0000-00000F000000}" name="Cost Price" dataDxfId="65"/>
    <tableColumn id="11" xr3:uid="{ACBB215E-5419-4435-8BF0-89484B3E0183}" name="Revenue" dataDxfId="64">
      <calculatedColumnFormula>Table1[[#This Row],[Unit Price]]*Table1[[#This Row],[Quantity]]</calculatedColumnFormula>
    </tableColumn>
    <tableColumn id="12" xr3:uid="{5BB95272-564F-4244-958B-8106655EBDEF}" name="COGS" dataDxfId="63">
      <calculatedColumnFormula>Table1[[#This Row],[Cost Price]]*Table1[[#This Row],[Quantity]]</calculatedColumnFormula>
    </tableColumn>
    <tableColumn id="13" xr3:uid="{0C88B954-5651-48DB-99B1-7D3184D94ED9}" name="Profit" dataDxfId="62">
      <calculatedColumnFormula>Table1[[#This Row],[Revenue]]-Table1[[#This Row],[COGS]]</calculatedColumnFormula>
    </tableColumn>
    <tableColumn id="31" xr3:uid="{79A6C776-02B0-4279-94A7-9D020252F3CE}" name="Customer ID" dataDxfId="6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election activeCell="A11" sqref="A11"/>
    </sheetView>
  </sheetViews>
  <sheetFormatPr defaultColWidth="9" defaultRowHeight="15"/>
  <cols>
    <col min="1" max="1" width="65.28515625" customWidth="1"/>
  </cols>
  <sheetData>
    <row r="1" spans="1:1">
      <c r="A1" t="s">
        <v>0</v>
      </c>
    </row>
    <row r="3" spans="1:1">
      <c r="A3" t="s">
        <v>1</v>
      </c>
    </row>
    <row r="5" spans="1:1">
      <c r="A5" t="s">
        <v>2</v>
      </c>
    </row>
    <row r="7" spans="1:1">
      <c r="A7" t="s">
        <v>3</v>
      </c>
    </row>
    <row r="9" spans="1:1">
      <c r="A9" t="s">
        <v>4</v>
      </c>
    </row>
    <row r="11" spans="1:1">
      <c r="A11" t="s">
        <v>5</v>
      </c>
    </row>
    <row r="13" spans="1:1">
      <c r="A13" t="s">
        <v>6</v>
      </c>
    </row>
    <row r="15" spans="1:1">
      <c r="A15" t="s">
        <v>7</v>
      </c>
    </row>
    <row r="17" spans="1:1">
      <c r="A17" t="s">
        <v>8</v>
      </c>
    </row>
    <row r="19" spans="1:1">
      <c r="A19" t="s">
        <v>9</v>
      </c>
    </row>
    <row r="21" spans="1:1">
      <c r="A21" t="s">
        <v>10</v>
      </c>
    </row>
    <row r="23" spans="1:1">
      <c r="A23" t="s">
        <v>11</v>
      </c>
    </row>
    <row r="25" spans="1:1">
      <c r="A25" t="s">
        <v>12</v>
      </c>
    </row>
    <row r="27" spans="1:1">
      <c r="A27" t="s">
        <v>13</v>
      </c>
    </row>
    <row r="30" spans="1:1">
      <c r="A30"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99"/>
  <sheetViews>
    <sheetView workbookViewId="0">
      <selection activeCell="F11" sqref="F11"/>
    </sheetView>
  </sheetViews>
  <sheetFormatPr defaultColWidth="9" defaultRowHeight="15"/>
  <cols>
    <col min="1" max="1" width="10.42578125" customWidth="1"/>
    <col min="2" max="2" width="9.28515625" bestFit="1" customWidth="1"/>
    <col min="3" max="3" width="11.7109375" bestFit="1" customWidth="1"/>
    <col min="4" max="4" width="9.42578125" bestFit="1" customWidth="1"/>
    <col min="5" max="5" width="12.7109375" bestFit="1" customWidth="1"/>
    <col min="6" max="6" width="16.7109375" bestFit="1" customWidth="1"/>
    <col min="7" max="7" width="10.5703125" bestFit="1" customWidth="1"/>
    <col min="8" max="8" width="17.42578125" bestFit="1" customWidth="1"/>
    <col min="9" max="9" width="16.5703125" bestFit="1" customWidth="1"/>
    <col min="10" max="10" width="12" style="3" bestFit="1" customWidth="1"/>
    <col min="11" max="11" width="11" bestFit="1" customWidth="1"/>
    <col min="12" max="12" width="11.7109375" bestFit="1" customWidth="1"/>
    <col min="13" max="13" width="12" style="3" bestFit="1" customWidth="1"/>
    <col min="14" max="14" width="11.140625" bestFit="1" customWidth="1"/>
    <col min="15" max="15" width="10.5703125" bestFit="1" customWidth="1"/>
    <col min="17" max="17" width="14.140625" style="1" bestFit="1" customWidth="1"/>
  </cols>
  <sheetData>
    <row r="1" spans="1:17">
      <c r="A1" t="s">
        <v>15</v>
      </c>
      <c r="B1" s="7" t="s">
        <v>187</v>
      </c>
      <c r="C1" s="7" t="s">
        <v>188</v>
      </c>
      <c r="D1" t="s">
        <v>16</v>
      </c>
      <c r="E1" t="s">
        <v>17</v>
      </c>
      <c r="F1" t="s">
        <v>18</v>
      </c>
      <c r="G1" t="s">
        <v>19</v>
      </c>
      <c r="H1" t="s">
        <v>20</v>
      </c>
      <c r="I1" t="s">
        <v>21</v>
      </c>
      <c r="J1" s="3" t="s">
        <v>22</v>
      </c>
      <c r="K1" t="s">
        <v>23</v>
      </c>
      <c r="L1" t="s">
        <v>24</v>
      </c>
      <c r="M1" s="3" t="s">
        <v>25</v>
      </c>
      <c r="N1" s="4" t="s">
        <v>178</v>
      </c>
      <c r="O1" s="4" t="s">
        <v>179</v>
      </c>
      <c r="P1" s="4" t="s">
        <v>180</v>
      </c>
      <c r="Q1" s="8" t="s">
        <v>186</v>
      </c>
    </row>
    <row r="2" spans="1:17">
      <c r="A2" t="s">
        <v>26</v>
      </c>
      <c r="B2" t="str">
        <f>TEXT(Table1[[#This Row],[Date]],"MMMM")</f>
        <v>January</v>
      </c>
      <c r="C2" t="str">
        <f>TEXT(Table1[[#This Row],[Date]],"DDDD")</f>
        <v>Sunday</v>
      </c>
      <c r="D2" t="s">
        <v>27</v>
      </c>
      <c r="E2" t="s">
        <v>28</v>
      </c>
      <c r="F2" t="s">
        <v>29</v>
      </c>
      <c r="G2" t="s">
        <v>30</v>
      </c>
      <c r="H2" t="s">
        <v>31</v>
      </c>
      <c r="I2" t="s">
        <v>32</v>
      </c>
      <c r="J2" s="3">
        <v>85000</v>
      </c>
      <c r="K2">
        <v>1</v>
      </c>
      <c r="L2" t="s">
        <v>33</v>
      </c>
      <c r="M2" s="3">
        <v>68000</v>
      </c>
      <c r="N2" s="3">
        <f>Table1[[#This Row],[Unit Price]]*Table1[[#This Row],[Quantity]]</f>
        <v>85000</v>
      </c>
      <c r="O2" s="3">
        <f>Table1[[#This Row],[Cost Price]]*Table1[[#This Row],[Quantity]]</f>
        <v>68000</v>
      </c>
      <c r="P2" s="3">
        <f>Table1[[#This Row],[Revenue]]-Table1[[#This Row],[COGS]]</f>
        <v>17000</v>
      </c>
      <c r="Q2" s="1">
        <v>1</v>
      </c>
    </row>
    <row r="3" spans="1:17">
      <c r="A3" t="s">
        <v>34</v>
      </c>
      <c r="B3" t="str">
        <f>TEXT(Table1[[#This Row],[Date]],"MMMM")</f>
        <v>April</v>
      </c>
      <c r="C3" t="str">
        <f>TEXT(Table1[[#This Row],[Date]],"DDDD")</f>
        <v>Tuesday</v>
      </c>
      <c r="D3" t="s">
        <v>35</v>
      </c>
      <c r="E3" t="s">
        <v>36</v>
      </c>
      <c r="F3" t="s">
        <v>29</v>
      </c>
      <c r="G3" t="s">
        <v>37</v>
      </c>
      <c r="H3" t="s">
        <v>38</v>
      </c>
      <c r="I3" t="s">
        <v>39</v>
      </c>
      <c r="J3" s="3">
        <v>30000</v>
      </c>
      <c r="K3">
        <v>8</v>
      </c>
      <c r="L3" t="s">
        <v>33</v>
      </c>
      <c r="M3" s="3">
        <v>24000</v>
      </c>
      <c r="N3" s="3">
        <f>Table1[[#This Row],[Unit Price]]*Table1[[#This Row],[Quantity]]</f>
        <v>240000</v>
      </c>
      <c r="O3" s="3">
        <f>Table1[[#This Row],[Cost Price]]*Table1[[#This Row],[Quantity]]</f>
        <v>192000</v>
      </c>
      <c r="P3" s="3">
        <f>Table1[[#This Row],[Revenue]]-Table1[[#This Row],[COGS]]</f>
        <v>48000</v>
      </c>
      <c r="Q3" s="1">
        <v>2</v>
      </c>
    </row>
    <row r="4" spans="1:17">
      <c r="A4" t="s">
        <v>40</v>
      </c>
      <c r="B4" t="str">
        <f>TEXT(Table1[[#This Row],[Date]],"MMMM")</f>
        <v>February</v>
      </c>
      <c r="C4" t="str">
        <f>TEXT(Table1[[#This Row],[Date]],"DDDD")</f>
        <v>Thursday</v>
      </c>
      <c r="D4" t="s">
        <v>35</v>
      </c>
      <c r="E4" t="s">
        <v>28</v>
      </c>
      <c r="F4" t="s">
        <v>41</v>
      </c>
      <c r="G4" t="s">
        <v>30</v>
      </c>
      <c r="H4" t="s">
        <v>31</v>
      </c>
      <c r="I4" t="s">
        <v>32</v>
      </c>
      <c r="J4" s="3">
        <v>85000</v>
      </c>
      <c r="K4">
        <v>2</v>
      </c>
      <c r="L4" t="s">
        <v>42</v>
      </c>
      <c r="M4" s="3">
        <v>68000</v>
      </c>
      <c r="N4" s="3">
        <f>Table1[[#This Row],[Unit Price]]*Table1[[#This Row],[Quantity]]</f>
        <v>170000</v>
      </c>
      <c r="O4" s="3">
        <f>Table1[[#This Row],[Cost Price]]*Table1[[#This Row],[Quantity]]</f>
        <v>136000</v>
      </c>
      <c r="P4" s="3">
        <f>Table1[[#This Row],[Revenue]]-Table1[[#This Row],[COGS]]</f>
        <v>34000</v>
      </c>
      <c r="Q4" s="1">
        <v>3</v>
      </c>
    </row>
    <row r="5" spans="1:17">
      <c r="A5" t="s">
        <v>43</v>
      </c>
      <c r="B5" t="str">
        <f>TEXT(Table1[[#This Row],[Date]],"MMMM")</f>
        <v>April</v>
      </c>
      <c r="C5" t="str">
        <f>TEXT(Table1[[#This Row],[Date]],"DDDD")</f>
        <v>Friday</v>
      </c>
      <c r="D5" t="s">
        <v>44</v>
      </c>
      <c r="E5" t="s">
        <v>45</v>
      </c>
      <c r="F5" t="s">
        <v>29</v>
      </c>
      <c r="G5" t="s">
        <v>30</v>
      </c>
      <c r="H5" t="s">
        <v>46</v>
      </c>
      <c r="I5" t="s">
        <v>39</v>
      </c>
      <c r="J5" s="3">
        <v>60000</v>
      </c>
      <c r="K5">
        <v>2</v>
      </c>
      <c r="L5" t="s">
        <v>47</v>
      </c>
      <c r="M5" s="3">
        <v>48000</v>
      </c>
      <c r="N5" s="3">
        <f>Table1[[#This Row],[Unit Price]]*Table1[[#This Row],[Quantity]]</f>
        <v>120000</v>
      </c>
      <c r="O5" s="3">
        <f>Table1[[#This Row],[Cost Price]]*Table1[[#This Row],[Quantity]]</f>
        <v>96000</v>
      </c>
      <c r="P5" s="3">
        <f>Table1[[#This Row],[Revenue]]-Table1[[#This Row],[COGS]]</f>
        <v>24000</v>
      </c>
      <c r="Q5" s="1">
        <v>4</v>
      </c>
    </row>
    <row r="6" spans="1:17">
      <c r="A6" t="s">
        <v>48</v>
      </c>
      <c r="B6" t="str">
        <f>TEXT(Table1[[#This Row],[Date]],"MMMM")</f>
        <v>April</v>
      </c>
      <c r="C6" t="str">
        <f>TEXT(Table1[[#This Row],[Date]],"DDDD")</f>
        <v>Sunday</v>
      </c>
      <c r="D6" t="s">
        <v>49</v>
      </c>
      <c r="E6" t="s">
        <v>45</v>
      </c>
      <c r="F6" t="s">
        <v>41</v>
      </c>
      <c r="G6" t="s">
        <v>30</v>
      </c>
      <c r="H6" t="s">
        <v>50</v>
      </c>
      <c r="I6" t="s">
        <v>51</v>
      </c>
      <c r="J6" s="3">
        <v>300000</v>
      </c>
      <c r="K6">
        <v>2</v>
      </c>
      <c r="L6" t="s">
        <v>33</v>
      </c>
      <c r="M6" s="3">
        <v>240000</v>
      </c>
      <c r="N6" s="3">
        <f>Table1[[#This Row],[Unit Price]]*Table1[[#This Row],[Quantity]]</f>
        <v>600000</v>
      </c>
      <c r="O6" s="3">
        <f>Table1[[#This Row],[Cost Price]]*Table1[[#This Row],[Quantity]]</f>
        <v>480000</v>
      </c>
      <c r="P6" s="3">
        <f>Table1[[#This Row],[Revenue]]-Table1[[#This Row],[COGS]]</f>
        <v>120000</v>
      </c>
      <c r="Q6" s="1">
        <v>5</v>
      </c>
    </row>
    <row r="7" spans="1:17">
      <c r="A7" t="s">
        <v>52</v>
      </c>
      <c r="B7" t="str">
        <f>TEXT(Table1[[#This Row],[Date]],"MMMM")</f>
        <v>March</v>
      </c>
      <c r="C7" t="str">
        <f>TEXT(Table1[[#This Row],[Date]],"DDDD")</f>
        <v>Saturday</v>
      </c>
      <c r="D7" t="s">
        <v>44</v>
      </c>
      <c r="E7" t="s">
        <v>53</v>
      </c>
      <c r="F7" t="s">
        <v>29</v>
      </c>
      <c r="G7" t="s">
        <v>30</v>
      </c>
      <c r="H7" t="s">
        <v>54</v>
      </c>
      <c r="I7" t="s">
        <v>39</v>
      </c>
      <c r="J7" s="3">
        <v>180000</v>
      </c>
      <c r="K7">
        <v>10</v>
      </c>
      <c r="L7" t="s">
        <v>33</v>
      </c>
      <c r="M7" s="3">
        <v>144000</v>
      </c>
      <c r="N7" s="3">
        <f>Table1[[#This Row],[Unit Price]]*Table1[[#This Row],[Quantity]]</f>
        <v>1800000</v>
      </c>
      <c r="O7" s="3">
        <f>Table1[[#This Row],[Cost Price]]*Table1[[#This Row],[Quantity]]</f>
        <v>1440000</v>
      </c>
      <c r="P7" s="3">
        <f>Table1[[#This Row],[Revenue]]-Table1[[#This Row],[COGS]]</f>
        <v>360000</v>
      </c>
      <c r="Q7" s="1">
        <v>6</v>
      </c>
    </row>
    <row r="8" spans="1:17">
      <c r="A8" t="s">
        <v>55</v>
      </c>
      <c r="B8" t="str">
        <f>TEXT(Table1[[#This Row],[Date]],"MMMM")</f>
        <v>March</v>
      </c>
      <c r="C8" t="str">
        <f>TEXT(Table1[[#This Row],[Date]],"DDDD")</f>
        <v>Sunday</v>
      </c>
      <c r="D8" t="s">
        <v>44</v>
      </c>
      <c r="E8" t="s">
        <v>53</v>
      </c>
      <c r="F8" t="s">
        <v>41</v>
      </c>
      <c r="G8" t="s">
        <v>30</v>
      </c>
      <c r="H8" t="s">
        <v>56</v>
      </c>
      <c r="I8" t="s">
        <v>32</v>
      </c>
      <c r="J8" s="3">
        <v>320000</v>
      </c>
      <c r="K8">
        <v>4</v>
      </c>
      <c r="L8" t="s">
        <v>47</v>
      </c>
      <c r="M8" s="3">
        <v>256000</v>
      </c>
      <c r="N8" s="3">
        <f>Table1[[#This Row],[Unit Price]]*Table1[[#This Row],[Quantity]]</f>
        <v>1280000</v>
      </c>
      <c r="O8" s="3">
        <f>Table1[[#This Row],[Cost Price]]*Table1[[#This Row],[Quantity]]</f>
        <v>1024000</v>
      </c>
      <c r="P8" s="3">
        <f>Table1[[#This Row],[Revenue]]-Table1[[#This Row],[COGS]]</f>
        <v>256000</v>
      </c>
      <c r="Q8" s="1">
        <v>7</v>
      </c>
    </row>
    <row r="9" spans="1:17">
      <c r="A9" t="s">
        <v>57</v>
      </c>
      <c r="B9" t="str">
        <f>TEXT(Table1[[#This Row],[Date]],"MMMM")</f>
        <v>February</v>
      </c>
      <c r="C9" t="str">
        <f>TEXT(Table1[[#This Row],[Date]],"DDDD")</f>
        <v>Thursday</v>
      </c>
      <c r="D9" t="s">
        <v>44</v>
      </c>
      <c r="E9" t="s">
        <v>45</v>
      </c>
      <c r="F9" t="s">
        <v>29</v>
      </c>
      <c r="G9" t="s">
        <v>30</v>
      </c>
      <c r="H9" t="s">
        <v>56</v>
      </c>
      <c r="I9" t="s">
        <v>32</v>
      </c>
      <c r="J9" s="3">
        <v>320000</v>
      </c>
      <c r="K9">
        <v>1</v>
      </c>
      <c r="L9" t="s">
        <v>58</v>
      </c>
      <c r="M9" s="3">
        <v>256000</v>
      </c>
      <c r="N9" s="3">
        <f>Table1[[#This Row],[Unit Price]]*Table1[[#This Row],[Quantity]]</f>
        <v>320000</v>
      </c>
      <c r="O9" s="3">
        <f>Table1[[#This Row],[Cost Price]]*Table1[[#This Row],[Quantity]]</f>
        <v>256000</v>
      </c>
      <c r="P9" s="3">
        <f>Table1[[#This Row],[Revenue]]-Table1[[#This Row],[COGS]]</f>
        <v>64000</v>
      </c>
      <c r="Q9" s="1">
        <v>8</v>
      </c>
    </row>
    <row r="10" spans="1:17">
      <c r="A10" t="s">
        <v>59</v>
      </c>
      <c r="B10" t="str">
        <f>TEXT(Table1[[#This Row],[Date]],"MMMM")</f>
        <v>March</v>
      </c>
      <c r="C10" t="str">
        <f>TEXT(Table1[[#This Row],[Date]],"DDDD")</f>
        <v>Monday</v>
      </c>
      <c r="D10" t="s">
        <v>35</v>
      </c>
      <c r="E10" t="s">
        <v>36</v>
      </c>
      <c r="F10" t="s">
        <v>29</v>
      </c>
      <c r="G10" t="s">
        <v>37</v>
      </c>
      <c r="H10" t="s">
        <v>56</v>
      </c>
      <c r="I10" t="s">
        <v>32</v>
      </c>
      <c r="J10" s="3">
        <v>320000</v>
      </c>
      <c r="K10">
        <v>9</v>
      </c>
      <c r="L10" t="s">
        <v>47</v>
      </c>
      <c r="M10" s="3">
        <v>256000</v>
      </c>
      <c r="N10" s="3">
        <f>Table1[[#This Row],[Unit Price]]*Table1[[#This Row],[Quantity]]</f>
        <v>2880000</v>
      </c>
      <c r="O10" s="3">
        <f>Table1[[#This Row],[Cost Price]]*Table1[[#This Row],[Quantity]]</f>
        <v>2304000</v>
      </c>
      <c r="P10" s="3">
        <f>Table1[[#This Row],[Revenue]]-Table1[[#This Row],[COGS]]</f>
        <v>576000</v>
      </c>
      <c r="Q10" s="1">
        <v>9</v>
      </c>
    </row>
    <row r="11" spans="1:17">
      <c r="A11" t="s">
        <v>60</v>
      </c>
      <c r="B11" t="str">
        <f>TEXT(Table1[[#This Row],[Date]],"MMMM")</f>
        <v>March</v>
      </c>
      <c r="C11" t="str">
        <f>TEXT(Table1[[#This Row],[Date]],"DDDD")</f>
        <v>Wednesday</v>
      </c>
      <c r="D11" t="s">
        <v>44</v>
      </c>
      <c r="E11" t="s">
        <v>36</v>
      </c>
      <c r="F11" t="s">
        <v>29</v>
      </c>
      <c r="G11" t="s">
        <v>30</v>
      </c>
      <c r="H11" t="s">
        <v>56</v>
      </c>
      <c r="I11" t="s">
        <v>32</v>
      </c>
      <c r="J11" s="3">
        <v>320000</v>
      </c>
      <c r="K11">
        <v>3</v>
      </c>
      <c r="L11" t="s">
        <v>47</v>
      </c>
      <c r="M11" s="3">
        <v>256000</v>
      </c>
      <c r="N11" s="3">
        <f>Table1[[#This Row],[Unit Price]]*Table1[[#This Row],[Quantity]]</f>
        <v>960000</v>
      </c>
      <c r="O11" s="3">
        <f>Table1[[#This Row],[Cost Price]]*Table1[[#This Row],[Quantity]]</f>
        <v>768000</v>
      </c>
      <c r="P11" s="3">
        <f>Table1[[#This Row],[Revenue]]-Table1[[#This Row],[COGS]]</f>
        <v>192000</v>
      </c>
      <c r="Q11" s="1">
        <v>10</v>
      </c>
    </row>
    <row r="12" spans="1:17">
      <c r="A12" t="s">
        <v>61</v>
      </c>
      <c r="B12" t="str">
        <f>TEXT(Table1[[#This Row],[Date]],"MMMM")</f>
        <v>January</v>
      </c>
      <c r="C12" t="str">
        <f>TEXT(Table1[[#This Row],[Date]],"DDDD")</f>
        <v>Friday</v>
      </c>
      <c r="D12" t="s">
        <v>44</v>
      </c>
      <c r="E12" t="s">
        <v>28</v>
      </c>
      <c r="F12" t="s">
        <v>29</v>
      </c>
      <c r="G12" t="s">
        <v>30</v>
      </c>
      <c r="H12" t="s">
        <v>62</v>
      </c>
      <c r="I12" t="s">
        <v>51</v>
      </c>
      <c r="J12" s="3">
        <v>150000</v>
      </c>
      <c r="K12">
        <v>4</v>
      </c>
      <c r="L12" t="s">
        <v>58</v>
      </c>
      <c r="M12" s="3">
        <v>120000</v>
      </c>
      <c r="N12" s="3">
        <f>Table1[[#This Row],[Unit Price]]*Table1[[#This Row],[Quantity]]</f>
        <v>600000</v>
      </c>
      <c r="O12" s="3">
        <f>Table1[[#This Row],[Cost Price]]*Table1[[#This Row],[Quantity]]</f>
        <v>480000</v>
      </c>
      <c r="P12" s="3">
        <f>Table1[[#This Row],[Revenue]]-Table1[[#This Row],[COGS]]</f>
        <v>120000</v>
      </c>
      <c r="Q12" s="1">
        <v>11</v>
      </c>
    </row>
    <row r="13" spans="1:17">
      <c r="A13" t="s">
        <v>63</v>
      </c>
      <c r="B13" t="str">
        <f>TEXT(Table1[[#This Row],[Date]],"MMMM")</f>
        <v>January</v>
      </c>
      <c r="C13" t="str">
        <f>TEXT(Table1[[#This Row],[Date]],"DDDD")</f>
        <v>Monday</v>
      </c>
      <c r="D13" t="s">
        <v>27</v>
      </c>
      <c r="E13" t="s">
        <v>45</v>
      </c>
      <c r="F13" t="s">
        <v>41</v>
      </c>
      <c r="G13" t="s">
        <v>30</v>
      </c>
      <c r="H13" t="s">
        <v>56</v>
      </c>
      <c r="I13" t="s">
        <v>32</v>
      </c>
      <c r="J13" s="3">
        <v>320000</v>
      </c>
      <c r="K13">
        <v>7</v>
      </c>
      <c r="L13" t="s">
        <v>58</v>
      </c>
      <c r="M13" s="3">
        <v>256000</v>
      </c>
      <c r="N13" s="3">
        <f>Table1[[#This Row],[Unit Price]]*Table1[[#This Row],[Quantity]]</f>
        <v>2240000</v>
      </c>
      <c r="O13" s="3">
        <f>Table1[[#This Row],[Cost Price]]*Table1[[#This Row],[Quantity]]</f>
        <v>1792000</v>
      </c>
      <c r="P13" s="3">
        <f>Table1[[#This Row],[Revenue]]-Table1[[#This Row],[COGS]]</f>
        <v>448000</v>
      </c>
      <c r="Q13" s="1">
        <v>12</v>
      </c>
    </row>
    <row r="14" spans="1:17">
      <c r="A14" t="s">
        <v>64</v>
      </c>
      <c r="B14" t="str">
        <f>TEXT(Table1[[#This Row],[Date]],"MMMM")</f>
        <v>April</v>
      </c>
      <c r="C14" t="str">
        <f>TEXT(Table1[[#This Row],[Date]],"DDDD")</f>
        <v>Saturday</v>
      </c>
      <c r="D14" t="s">
        <v>44</v>
      </c>
      <c r="E14" t="s">
        <v>28</v>
      </c>
      <c r="F14" t="s">
        <v>29</v>
      </c>
      <c r="G14" t="s">
        <v>37</v>
      </c>
      <c r="H14" t="s">
        <v>62</v>
      </c>
      <c r="I14" t="s">
        <v>51</v>
      </c>
      <c r="J14" s="3">
        <v>150000</v>
      </c>
      <c r="K14">
        <v>2</v>
      </c>
      <c r="L14" t="s">
        <v>65</v>
      </c>
      <c r="M14" s="3">
        <v>120000</v>
      </c>
      <c r="N14" s="3">
        <f>Table1[[#This Row],[Unit Price]]*Table1[[#This Row],[Quantity]]</f>
        <v>300000</v>
      </c>
      <c r="O14" s="3">
        <f>Table1[[#This Row],[Cost Price]]*Table1[[#This Row],[Quantity]]</f>
        <v>240000</v>
      </c>
      <c r="P14" s="3">
        <f>Table1[[#This Row],[Revenue]]-Table1[[#This Row],[COGS]]</f>
        <v>60000</v>
      </c>
      <c r="Q14" s="1">
        <v>13</v>
      </c>
    </row>
    <row r="15" spans="1:17">
      <c r="A15" t="s">
        <v>66</v>
      </c>
      <c r="B15" t="str">
        <f>TEXT(Table1[[#This Row],[Date]],"MMMM")</f>
        <v>March</v>
      </c>
      <c r="C15" t="str">
        <f>TEXT(Table1[[#This Row],[Date]],"DDDD")</f>
        <v>Saturday</v>
      </c>
      <c r="D15" t="s">
        <v>27</v>
      </c>
      <c r="E15" t="s">
        <v>36</v>
      </c>
      <c r="F15" t="s">
        <v>29</v>
      </c>
      <c r="G15" t="s">
        <v>30</v>
      </c>
      <c r="H15" t="s">
        <v>67</v>
      </c>
      <c r="I15" t="s">
        <v>51</v>
      </c>
      <c r="J15" s="3">
        <v>420000</v>
      </c>
      <c r="K15">
        <v>9</v>
      </c>
      <c r="L15" t="s">
        <v>47</v>
      </c>
      <c r="M15" s="3">
        <v>336000</v>
      </c>
      <c r="N15" s="3">
        <f>Table1[[#This Row],[Unit Price]]*Table1[[#This Row],[Quantity]]</f>
        <v>3780000</v>
      </c>
      <c r="O15" s="3">
        <f>Table1[[#This Row],[Cost Price]]*Table1[[#This Row],[Quantity]]</f>
        <v>3024000</v>
      </c>
      <c r="P15" s="3">
        <f>Table1[[#This Row],[Revenue]]-Table1[[#This Row],[COGS]]</f>
        <v>756000</v>
      </c>
      <c r="Q15" s="1">
        <v>14</v>
      </c>
    </row>
    <row r="16" spans="1:17">
      <c r="A16" t="s">
        <v>68</v>
      </c>
      <c r="B16" t="str">
        <f>TEXT(Table1[[#This Row],[Date]],"MMMM")</f>
        <v>March</v>
      </c>
      <c r="C16" t="str">
        <f>TEXT(Table1[[#This Row],[Date]],"DDDD")</f>
        <v>Monday</v>
      </c>
      <c r="D16" t="s">
        <v>49</v>
      </c>
      <c r="E16" t="s">
        <v>36</v>
      </c>
      <c r="F16" t="s">
        <v>29</v>
      </c>
      <c r="G16" t="s">
        <v>30</v>
      </c>
      <c r="H16" t="s">
        <v>67</v>
      </c>
      <c r="I16" t="s">
        <v>51</v>
      </c>
      <c r="J16" s="3">
        <v>420000</v>
      </c>
      <c r="K16">
        <v>5</v>
      </c>
      <c r="L16" t="s">
        <v>69</v>
      </c>
      <c r="M16" s="3">
        <v>336000</v>
      </c>
      <c r="N16" s="3">
        <f>Table1[[#This Row],[Unit Price]]*Table1[[#This Row],[Quantity]]</f>
        <v>2100000</v>
      </c>
      <c r="O16" s="3">
        <f>Table1[[#This Row],[Cost Price]]*Table1[[#This Row],[Quantity]]</f>
        <v>1680000</v>
      </c>
      <c r="P16" s="3">
        <f>Table1[[#This Row],[Revenue]]-Table1[[#This Row],[COGS]]</f>
        <v>420000</v>
      </c>
      <c r="Q16" s="1">
        <v>15</v>
      </c>
    </row>
    <row r="17" spans="1:17">
      <c r="A17" t="s">
        <v>70</v>
      </c>
      <c r="B17" t="str">
        <f>TEXT(Table1[[#This Row],[Date]],"MMMM")</f>
        <v>April</v>
      </c>
      <c r="C17" t="str">
        <f>TEXT(Table1[[#This Row],[Date]],"DDDD")</f>
        <v>Friday</v>
      </c>
      <c r="D17" t="s">
        <v>27</v>
      </c>
      <c r="E17" t="s">
        <v>45</v>
      </c>
      <c r="F17" t="s">
        <v>41</v>
      </c>
      <c r="G17" t="s">
        <v>37</v>
      </c>
      <c r="H17" t="s">
        <v>71</v>
      </c>
      <c r="I17" t="s">
        <v>51</v>
      </c>
      <c r="J17" s="3">
        <v>250000</v>
      </c>
      <c r="K17">
        <v>4</v>
      </c>
      <c r="L17" t="s">
        <v>58</v>
      </c>
      <c r="M17" s="3">
        <v>200000</v>
      </c>
      <c r="N17" s="3">
        <f>Table1[[#This Row],[Unit Price]]*Table1[[#This Row],[Quantity]]</f>
        <v>1000000</v>
      </c>
      <c r="O17" s="3">
        <f>Table1[[#This Row],[Cost Price]]*Table1[[#This Row],[Quantity]]</f>
        <v>800000</v>
      </c>
      <c r="P17" s="3">
        <f>Table1[[#This Row],[Revenue]]-Table1[[#This Row],[COGS]]</f>
        <v>200000</v>
      </c>
      <c r="Q17" s="1">
        <v>16</v>
      </c>
    </row>
    <row r="18" spans="1:17">
      <c r="A18" t="s">
        <v>72</v>
      </c>
      <c r="B18" t="str">
        <f>TEXT(Table1[[#This Row],[Date]],"MMMM")</f>
        <v>February</v>
      </c>
      <c r="C18" t="str">
        <f>TEXT(Table1[[#This Row],[Date]],"DDDD")</f>
        <v>Wednesday</v>
      </c>
      <c r="D18" t="s">
        <v>27</v>
      </c>
      <c r="E18" t="s">
        <v>36</v>
      </c>
      <c r="F18" t="s">
        <v>29</v>
      </c>
      <c r="G18" t="s">
        <v>30</v>
      </c>
      <c r="H18" t="s">
        <v>73</v>
      </c>
      <c r="I18" t="s">
        <v>39</v>
      </c>
      <c r="J18" s="3">
        <v>220000</v>
      </c>
      <c r="K18">
        <v>2</v>
      </c>
      <c r="L18" t="s">
        <v>58</v>
      </c>
      <c r="M18" s="3">
        <v>176000</v>
      </c>
      <c r="N18" s="3">
        <f>Table1[[#This Row],[Unit Price]]*Table1[[#This Row],[Quantity]]</f>
        <v>440000</v>
      </c>
      <c r="O18" s="3">
        <f>Table1[[#This Row],[Cost Price]]*Table1[[#This Row],[Quantity]]</f>
        <v>352000</v>
      </c>
      <c r="P18" s="3">
        <f>Table1[[#This Row],[Revenue]]-Table1[[#This Row],[COGS]]</f>
        <v>88000</v>
      </c>
      <c r="Q18" s="1">
        <v>17</v>
      </c>
    </row>
    <row r="19" spans="1:17">
      <c r="A19" t="s">
        <v>74</v>
      </c>
      <c r="B19" t="str">
        <f>TEXT(Table1[[#This Row],[Date]],"MMMM")</f>
        <v>February</v>
      </c>
      <c r="C19" t="str">
        <f>TEXT(Table1[[#This Row],[Date]],"DDDD")</f>
        <v>Monday</v>
      </c>
      <c r="D19" t="s">
        <v>35</v>
      </c>
      <c r="E19" t="s">
        <v>45</v>
      </c>
      <c r="F19" t="s">
        <v>29</v>
      </c>
      <c r="G19" t="s">
        <v>37</v>
      </c>
      <c r="H19" t="s">
        <v>62</v>
      </c>
      <c r="I19" t="s">
        <v>51</v>
      </c>
      <c r="J19" s="3">
        <v>150000</v>
      </c>
      <c r="K19">
        <v>7</v>
      </c>
      <c r="L19" t="s">
        <v>47</v>
      </c>
      <c r="M19" s="3">
        <v>120000</v>
      </c>
      <c r="N19" s="3">
        <f>Table1[[#This Row],[Unit Price]]*Table1[[#This Row],[Quantity]]</f>
        <v>1050000</v>
      </c>
      <c r="O19" s="3">
        <f>Table1[[#This Row],[Cost Price]]*Table1[[#This Row],[Quantity]]</f>
        <v>840000</v>
      </c>
      <c r="P19" s="3">
        <f>Table1[[#This Row],[Revenue]]-Table1[[#This Row],[COGS]]</f>
        <v>210000</v>
      </c>
      <c r="Q19" s="1">
        <v>18</v>
      </c>
    </row>
    <row r="20" spans="1:17">
      <c r="A20" t="s">
        <v>75</v>
      </c>
      <c r="B20" t="str">
        <f>TEXT(Table1[[#This Row],[Date]],"MMMM")</f>
        <v>March</v>
      </c>
      <c r="C20" t="str">
        <f>TEXT(Table1[[#This Row],[Date]],"DDDD")</f>
        <v>Monday</v>
      </c>
      <c r="D20" t="s">
        <v>44</v>
      </c>
      <c r="E20" t="s">
        <v>53</v>
      </c>
      <c r="F20" t="s">
        <v>41</v>
      </c>
      <c r="G20" t="s">
        <v>37</v>
      </c>
      <c r="H20" t="s">
        <v>50</v>
      </c>
      <c r="I20" t="s">
        <v>51</v>
      </c>
      <c r="J20" s="3">
        <v>300000</v>
      </c>
      <c r="K20">
        <v>5</v>
      </c>
      <c r="L20" t="s">
        <v>58</v>
      </c>
      <c r="M20" s="3">
        <v>240000</v>
      </c>
      <c r="N20" s="3">
        <f>Table1[[#This Row],[Unit Price]]*Table1[[#This Row],[Quantity]]</f>
        <v>1500000</v>
      </c>
      <c r="O20" s="3">
        <f>Table1[[#This Row],[Cost Price]]*Table1[[#This Row],[Quantity]]</f>
        <v>1200000</v>
      </c>
      <c r="P20" s="3">
        <f>Table1[[#This Row],[Revenue]]-Table1[[#This Row],[COGS]]</f>
        <v>300000</v>
      </c>
      <c r="Q20" s="1">
        <v>19</v>
      </c>
    </row>
    <row r="21" spans="1:17">
      <c r="A21" t="s">
        <v>74</v>
      </c>
      <c r="B21" t="str">
        <f>TEXT(Table1[[#This Row],[Date]],"MMMM")</f>
        <v>February</v>
      </c>
      <c r="C21" t="str">
        <f>TEXT(Table1[[#This Row],[Date]],"DDDD")</f>
        <v>Monday</v>
      </c>
      <c r="D21" t="s">
        <v>49</v>
      </c>
      <c r="E21" t="s">
        <v>45</v>
      </c>
      <c r="F21" t="s">
        <v>29</v>
      </c>
      <c r="G21" t="s">
        <v>30</v>
      </c>
      <c r="H21" t="s">
        <v>62</v>
      </c>
      <c r="I21" t="s">
        <v>51</v>
      </c>
      <c r="J21" s="3">
        <v>150000</v>
      </c>
      <c r="K21">
        <v>4</v>
      </c>
      <c r="L21" t="s">
        <v>58</v>
      </c>
      <c r="M21" s="3">
        <v>120000</v>
      </c>
      <c r="N21" s="3">
        <f>Table1[[#This Row],[Unit Price]]*Table1[[#This Row],[Quantity]]</f>
        <v>600000</v>
      </c>
      <c r="O21" s="3">
        <f>Table1[[#This Row],[Cost Price]]*Table1[[#This Row],[Quantity]]</f>
        <v>480000</v>
      </c>
      <c r="P21" s="3">
        <f>Table1[[#This Row],[Revenue]]-Table1[[#This Row],[COGS]]</f>
        <v>120000</v>
      </c>
      <c r="Q21" s="1">
        <v>20</v>
      </c>
    </row>
    <row r="22" spans="1:17">
      <c r="A22" t="s">
        <v>76</v>
      </c>
      <c r="B22" t="str">
        <f>TEXT(Table1[[#This Row],[Date]],"MMMM")</f>
        <v>May</v>
      </c>
      <c r="C22" t="str">
        <f>TEXT(Table1[[#This Row],[Date]],"DDDD")</f>
        <v>Thursday</v>
      </c>
      <c r="D22" t="s">
        <v>49</v>
      </c>
      <c r="E22" t="s">
        <v>45</v>
      </c>
      <c r="F22" t="s">
        <v>41</v>
      </c>
      <c r="G22" t="s">
        <v>37</v>
      </c>
      <c r="H22" t="s">
        <v>31</v>
      </c>
      <c r="I22" t="s">
        <v>32</v>
      </c>
      <c r="J22" s="3">
        <v>85000</v>
      </c>
      <c r="K22">
        <v>1</v>
      </c>
      <c r="L22" t="s">
        <v>69</v>
      </c>
      <c r="M22" s="3">
        <v>68000</v>
      </c>
      <c r="N22" s="3">
        <f>Table1[[#This Row],[Unit Price]]*Table1[[#This Row],[Quantity]]</f>
        <v>85000</v>
      </c>
      <c r="O22" s="3">
        <f>Table1[[#This Row],[Cost Price]]*Table1[[#This Row],[Quantity]]</f>
        <v>68000</v>
      </c>
      <c r="P22" s="3">
        <f>Table1[[#This Row],[Revenue]]-Table1[[#This Row],[COGS]]</f>
        <v>17000</v>
      </c>
      <c r="Q22" s="1">
        <v>21</v>
      </c>
    </row>
    <row r="23" spans="1:17">
      <c r="A23" t="s">
        <v>66</v>
      </c>
      <c r="B23" t="str">
        <f>TEXT(Table1[[#This Row],[Date]],"MMMM")</f>
        <v>March</v>
      </c>
      <c r="C23" t="str">
        <f>TEXT(Table1[[#This Row],[Date]],"DDDD")</f>
        <v>Saturday</v>
      </c>
      <c r="D23" t="s">
        <v>35</v>
      </c>
      <c r="E23" t="s">
        <v>28</v>
      </c>
      <c r="F23" t="s">
        <v>29</v>
      </c>
      <c r="G23" t="s">
        <v>37</v>
      </c>
      <c r="H23" t="s">
        <v>31</v>
      </c>
      <c r="I23" t="s">
        <v>32</v>
      </c>
      <c r="J23" s="3">
        <v>85000</v>
      </c>
      <c r="K23">
        <v>9</v>
      </c>
      <c r="L23" t="s">
        <v>42</v>
      </c>
      <c r="M23" s="3">
        <v>68000</v>
      </c>
      <c r="N23" s="3">
        <f>Table1[[#This Row],[Unit Price]]*Table1[[#This Row],[Quantity]]</f>
        <v>765000</v>
      </c>
      <c r="O23" s="3">
        <f>Table1[[#This Row],[Cost Price]]*Table1[[#This Row],[Quantity]]</f>
        <v>612000</v>
      </c>
      <c r="P23" s="3">
        <f>Table1[[#This Row],[Revenue]]-Table1[[#This Row],[COGS]]</f>
        <v>153000</v>
      </c>
      <c r="Q23" s="1">
        <v>22</v>
      </c>
    </row>
    <row r="24" spans="1:17">
      <c r="A24" t="s">
        <v>77</v>
      </c>
      <c r="B24" t="str">
        <f>TEXT(Table1[[#This Row],[Date]],"MMMM")</f>
        <v>April</v>
      </c>
      <c r="C24" t="str">
        <f>TEXT(Table1[[#This Row],[Date]],"DDDD")</f>
        <v>Friday</v>
      </c>
      <c r="D24" t="s">
        <v>35</v>
      </c>
      <c r="E24" t="s">
        <v>36</v>
      </c>
      <c r="F24" t="s">
        <v>29</v>
      </c>
      <c r="G24" t="s">
        <v>37</v>
      </c>
      <c r="H24" t="s">
        <v>67</v>
      </c>
      <c r="I24" t="s">
        <v>51</v>
      </c>
      <c r="J24" s="3">
        <v>420000</v>
      </c>
      <c r="K24">
        <v>8</v>
      </c>
      <c r="L24" t="s">
        <v>69</v>
      </c>
      <c r="M24" s="3">
        <v>336000</v>
      </c>
      <c r="N24" s="3">
        <f>Table1[[#This Row],[Unit Price]]*Table1[[#This Row],[Quantity]]</f>
        <v>3360000</v>
      </c>
      <c r="O24" s="3">
        <f>Table1[[#This Row],[Cost Price]]*Table1[[#This Row],[Quantity]]</f>
        <v>2688000</v>
      </c>
      <c r="P24" s="3">
        <f>Table1[[#This Row],[Revenue]]-Table1[[#This Row],[COGS]]</f>
        <v>672000</v>
      </c>
      <c r="Q24" s="1">
        <v>23</v>
      </c>
    </row>
    <row r="25" spans="1:17">
      <c r="A25" t="s">
        <v>78</v>
      </c>
      <c r="B25" t="str">
        <f>TEXT(Table1[[#This Row],[Date]],"MMMM")</f>
        <v>April</v>
      </c>
      <c r="C25" t="str">
        <f>TEXT(Table1[[#This Row],[Date]],"DDDD")</f>
        <v>Tuesday</v>
      </c>
      <c r="D25" t="s">
        <v>49</v>
      </c>
      <c r="E25" t="s">
        <v>36</v>
      </c>
      <c r="F25" t="s">
        <v>41</v>
      </c>
      <c r="G25" t="s">
        <v>30</v>
      </c>
      <c r="H25" t="s">
        <v>67</v>
      </c>
      <c r="I25" t="s">
        <v>51</v>
      </c>
      <c r="J25" s="3">
        <v>420000</v>
      </c>
      <c r="K25">
        <v>10</v>
      </c>
      <c r="L25" t="s">
        <v>69</v>
      </c>
      <c r="M25" s="3">
        <v>336000</v>
      </c>
      <c r="N25" s="3">
        <f>Table1[[#This Row],[Unit Price]]*Table1[[#This Row],[Quantity]]</f>
        <v>4200000</v>
      </c>
      <c r="O25" s="3">
        <f>Table1[[#This Row],[Cost Price]]*Table1[[#This Row],[Quantity]]</f>
        <v>3360000</v>
      </c>
      <c r="P25" s="3">
        <f>Table1[[#This Row],[Revenue]]-Table1[[#This Row],[COGS]]</f>
        <v>840000</v>
      </c>
      <c r="Q25" s="1">
        <v>24</v>
      </c>
    </row>
    <row r="26" spans="1:17">
      <c r="A26" t="s">
        <v>79</v>
      </c>
      <c r="B26" t="str">
        <f>TEXT(Table1[[#This Row],[Date]],"MMMM")</f>
        <v>February</v>
      </c>
      <c r="C26" t="str">
        <f>TEXT(Table1[[#This Row],[Date]],"DDDD")</f>
        <v>Wednesday</v>
      </c>
      <c r="D26" t="s">
        <v>35</v>
      </c>
      <c r="E26" t="s">
        <v>28</v>
      </c>
      <c r="F26" t="s">
        <v>29</v>
      </c>
      <c r="G26" t="s">
        <v>37</v>
      </c>
      <c r="H26" t="s">
        <v>71</v>
      </c>
      <c r="I26" t="s">
        <v>51</v>
      </c>
      <c r="J26" s="3">
        <v>250000</v>
      </c>
      <c r="K26">
        <v>5</v>
      </c>
      <c r="L26" t="s">
        <v>65</v>
      </c>
      <c r="M26" s="3">
        <v>200000</v>
      </c>
      <c r="N26" s="3">
        <f>Table1[[#This Row],[Unit Price]]*Table1[[#This Row],[Quantity]]</f>
        <v>1250000</v>
      </c>
      <c r="O26" s="3">
        <f>Table1[[#This Row],[Cost Price]]*Table1[[#This Row],[Quantity]]</f>
        <v>1000000</v>
      </c>
      <c r="P26" s="3">
        <f>Table1[[#This Row],[Revenue]]-Table1[[#This Row],[COGS]]</f>
        <v>250000</v>
      </c>
      <c r="Q26" s="1">
        <v>25</v>
      </c>
    </row>
    <row r="27" spans="1:17">
      <c r="A27" t="s">
        <v>80</v>
      </c>
      <c r="B27" t="str">
        <f>TEXT(Table1[[#This Row],[Date]],"MMMM")</f>
        <v>February</v>
      </c>
      <c r="C27" t="str">
        <f>TEXT(Table1[[#This Row],[Date]],"DDDD")</f>
        <v>Sunday</v>
      </c>
      <c r="D27" t="s">
        <v>49</v>
      </c>
      <c r="E27" t="s">
        <v>36</v>
      </c>
      <c r="F27" t="s">
        <v>41</v>
      </c>
      <c r="G27" t="s">
        <v>37</v>
      </c>
      <c r="H27" t="s">
        <v>73</v>
      </c>
      <c r="I27" t="s">
        <v>39</v>
      </c>
      <c r="J27" s="3">
        <v>220000</v>
      </c>
      <c r="K27">
        <v>4</v>
      </c>
      <c r="L27" t="s">
        <v>69</v>
      </c>
      <c r="M27" s="3">
        <v>176000</v>
      </c>
      <c r="N27" s="3">
        <f>Table1[[#This Row],[Unit Price]]*Table1[[#This Row],[Quantity]]</f>
        <v>880000</v>
      </c>
      <c r="O27" s="3">
        <f>Table1[[#This Row],[Cost Price]]*Table1[[#This Row],[Quantity]]</f>
        <v>704000</v>
      </c>
      <c r="P27" s="3">
        <f>Table1[[#This Row],[Revenue]]-Table1[[#This Row],[COGS]]</f>
        <v>176000</v>
      </c>
      <c r="Q27" s="1">
        <v>26</v>
      </c>
    </row>
    <row r="28" spans="1:17">
      <c r="A28" t="s">
        <v>81</v>
      </c>
      <c r="B28" t="str">
        <f>TEXT(Table1[[#This Row],[Date]],"MMMM")</f>
        <v>March</v>
      </c>
      <c r="C28" t="str">
        <f>TEXT(Table1[[#This Row],[Date]],"DDDD")</f>
        <v>Sunday</v>
      </c>
      <c r="D28" t="s">
        <v>27</v>
      </c>
      <c r="E28" t="s">
        <v>53</v>
      </c>
      <c r="F28" t="s">
        <v>41</v>
      </c>
      <c r="G28" t="s">
        <v>30</v>
      </c>
      <c r="H28" t="s">
        <v>62</v>
      </c>
      <c r="I28" t="s">
        <v>51</v>
      </c>
      <c r="J28" s="3">
        <v>150000</v>
      </c>
      <c r="K28">
        <v>7</v>
      </c>
      <c r="L28" t="s">
        <v>47</v>
      </c>
      <c r="M28" s="3">
        <v>120000</v>
      </c>
      <c r="N28" s="3">
        <f>Table1[[#This Row],[Unit Price]]*Table1[[#This Row],[Quantity]]</f>
        <v>1050000</v>
      </c>
      <c r="O28" s="3">
        <f>Table1[[#This Row],[Cost Price]]*Table1[[#This Row],[Quantity]]</f>
        <v>840000</v>
      </c>
      <c r="P28" s="3">
        <f>Table1[[#This Row],[Revenue]]-Table1[[#This Row],[COGS]]</f>
        <v>210000</v>
      </c>
      <c r="Q28" s="1">
        <v>27</v>
      </c>
    </row>
    <row r="29" spans="1:17">
      <c r="A29" t="s">
        <v>82</v>
      </c>
      <c r="B29" t="str">
        <f>TEXT(Table1[[#This Row],[Date]],"MMMM")</f>
        <v>March</v>
      </c>
      <c r="C29" t="str">
        <f>TEXT(Table1[[#This Row],[Date]],"DDDD")</f>
        <v>Saturday</v>
      </c>
      <c r="D29" t="s">
        <v>44</v>
      </c>
      <c r="E29" t="s">
        <v>45</v>
      </c>
      <c r="F29" t="s">
        <v>29</v>
      </c>
      <c r="G29" t="s">
        <v>30</v>
      </c>
      <c r="H29" t="s">
        <v>31</v>
      </c>
      <c r="I29" t="s">
        <v>32</v>
      </c>
      <c r="J29" s="3">
        <v>85000</v>
      </c>
      <c r="K29">
        <v>3</v>
      </c>
      <c r="L29" t="s">
        <v>58</v>
      </c>
      <c r="M29" s="3">
        <v>68000</v>
      </c>
      <c r="N29" s="3">
        <f>Table1[[#This Row],[Unit Price]]*Table1[[#This Row],[Quantity]]</f>
        <v>255000</v>
      </c>
      <c r="O29" s="3">
        <f>Table1[[#This Row],[Cost Price]]*Table1[[#This Row],[Quantity]]</f>
        <v>204000</v>
      </c>
      <c r="P29" s="3">
        <f>Table1[[#This Row],[Revenue]]-Table1[[#This Row],[COGS]]</f>
        <v>51000</v>
      </c>
      <c r="Q29" s="1">
        <v>28</v>
      </c>
    </row>
    <row r="30" spans="1:17">
      <c r="A30" t="s">
        <v>74</v>
      </c>
      <c r="B30" t="str">
        <f>TEXT(Table1[[#This Row],[Date]],"MMMM")</f>
        <v>February</v>
      </c>
      <c r="C30" t="str">
        <f>TEXT(Table1[[#This Row],[Date]],"DDDD")</f>
        <v>Monday</v>
      </c>
      <c r="D30" t="s">
        <v>35</v>
      </c>
      <c r="E30" t="s">
        <v>28</v>
      </c>
      <c r="F30" t="s">
        <v>29</v>
      </c>
      <c r="G30" t="s">
        <v>37</v>
      </c>
      <c r="H30" t="s">
        <v>50</v>
      </c>
      <c r="I30" t="s">
        <v>51</v>
      </c>
      <c r="J30" s="3">
        <v>300000</v>
      </c>
      <c r="K30">
        <v>8</v>
      </c>
      <c r="L30" t="s">
        <v>69</v>
      </c>
      <c r="M30" s="3">
        <v>240000</v>
      </c>
      <c r="N30" s="3">
        <f>Table1[[#This Row],[Unit Price]]*Table1[[#This Row],[Quantity]]</f>
        <v>2400000</v>
      </c>
      <c r="O30" s="3">
        <f>Table1[[#This Row],[Cost Price]]*Table1[[#This Row],[Quantity]]</f>
        <v>1920000</v>
      </c>
      <c r="P30" s="3">
        <f>Table1[[#This Row],[Revenue]]-Table1[[#This Row],[COGS]]</f>
        <v>480000</v>
      </c>
      <c r="Q30" s="1">
        <v>29</v>
      </c>
    </row>
    <row r="31" spans="1:17">
      <c r="A31" t="s">
        <v>80</v>
      </c>
      <c r="B31" t="str">
        <f>TEXT(Table1[[#This Row],[Date]],"MMMM")</f>
        <v>February</v>
      </c>
      <c r="C31" t="str">
        <f>TEXT(Table1[[#This Row],[Date]],"DDDD")</f>
        <v>Sunday</v>
      </c>
      <c r="D31" t="s">
        <v>27</v>
      </c>
      <c r="E31" t="s">
        <v>36</v>
      </c>
      <c r="F31" t="s">
        <v>41</v>
      </c>
      <c r="G31" t="s">
        <v>30</v>
      </c>
      <c r="H31" t="s">
        <v>73</v>
      </c>
      <c r="I31" t="s">
        <v>39</v>
      </c>
      <c r="J31" s="3">
        <v>220000</v>
      </c>
      <c r="K31">
        <v>1</v>
      </c>
      <c r="L31" t="s">
        <v>42</v>
      </c>
      <c r="M31" s="3">
        <v>176000</v>
      </c>
      <c r="N31" s="3">
        <f>Table1[[#This Row],[Unit Price]]*Table1[[#This Row],[Quantity]]</f>
        <v>220000</v>
      </c>
      <c r="O31" s="3">
        <f>Table1[[#This Row],[Cost Price]]*Table1[[#This Row],[Quantity]]</f>
        <v>176000</v>
      </c>
      <c r="P31" s="3">
        <f>Table1[[#This Row],[Revenue]]-Table1[[#This Row],[COGS]]</f>
        <v>44000</v>
      </c>
      <c r="Q31" s="1">
        <v>30</v>
      </c>
    </row>
    <row r="32" spans="1:17">
      <c r="A32" t="s">
        <v>83</v>
      </c>
      <c r="B32" t="str">
        <f>TEXT(Table1[[#This Row],[Date]],"MMMM")</f>
        <v>January</v>
      </c>
      <c r="C32" t="str">
        <f>TEXT(Table1[[#This Row],[Date]],"DDDD")</f>
        <v>Tuesday</v>
      </c>
      <c r="D32" t="s">
        <v>44</v>
      </c>
      <c r="E32" t="s">
        <v>53</v>
      </c>
      <c r="F32" t="s">
        <v>41</v>
      </c>
      <c r="G32" t="s">
        <v>30</v>
      </c>
      <c r="H32" t="s">
        <v>56</v>
      </c>
      <c r="I32" t="s">
        <v>32</v>
      </c>
      <c r="J32" s="3">
        <v>320000</v>
      </c>
      <c r="K32">
        <v>7</v>
      </c>
      <c r="L32" t="s">
        <v>69</v>
      </c>
      <c r="M32" s="3">
        <v>256000</v>
      </c>
      <c r="N32" s="3">
        <f>Table1[[#This Row],[Unit Price]]*Table1[[#This Row],[Quantity]]</f>
        <v>2240000</v>
      </c>
      <c r="O32" s="3">
        <f>Table1[[#This Row],[Cost Price]]*Table1[[#This Row],[Quantity]]</f>
        <v>1792000</v>
      </c>
      <c r="P32" s="3">
        <f>Table1[[#This Row],[Revenue]]-Table1[[#This Row],[COGS]]</f>
        <v>448000</v>
      </c>
      <c r="Q32" s="1">
        <v>31</v>
      </c>
    </row>
    <row r="33" spans="1:17">
      <c r="A33" t="s">
        <v>84</v>
      </c>
      <c r="B33" t="str">
        <f>TEXT(Table1[[#This Row],[Date]],"MMMM")</f>
        <v>January</v>
      </c>
      <c r="C33" t="str">
        <f>TEXT(Table1[[#This Row],[Date]],"DDDD")</f>
        <v>Wednesday</v>
      </c>
      <c r="D33" t="s">
        <v>27</v>
      </c>
      <c r="E33" t="s">
        <v>53</v>
      </c>
      <c r="F33" t="s">
        <v>29</v>
      </c>
      <c r="G33" t="s">
        <v>37</v>
      </c>
      <c r="H33" t="s">
        <v>62</v>
      </c>
      <c r="I33" t="s">
        <v>51</v>
      </c>
      <c r="J33" s="3">
        <v>150000</v>
      </c>
      <c r="K33">
        <v>1</v>
      </c>
      <c r="L33" t="s">
        <v>33</v>
      </c>
      <c r="M33" s="3">
        <v>120000</v>
      </c>
      <c r="N33" s="3">
        <f>Table1[[#This Row],[Unit Price]]*Table1[[#This Row],[Quantity]]</f>
        <v>150000</v>
      </c>
      <c r="O33" s="3">
        <f>Table1[[#This Row],[Cost Price]]*Table1[[#This Row],[Quantity]]</f>
        <v>120000</v>
      </c>
      <c r="P33" s="3">
        <f>Table1[[#This Row],[Revenue]]-Table1[[#This Row],[COGS]]</f>
        <v>30000</v>
      </c>
      <c r="Q33" s="1">
        <v>32</v>
      </c>
    </row>
    <row r="34" spans="1:17">
      <c r="A34" t="s">
        <v>85</v>
      </c>
      <c r="B34" t="str">
        <f>TEXT(Table1[[#This Row],[Date]],"MMMM")</f>
        <v>February</v>
      </c>
      <c r="C34" t="str">
        <f>TEXT(Table1[[#This Row],[Date]],"DDDD")</f>
        <v>Thursday</v>
      </c>
      <c r="D34" t="s">
        <v>35</v>
      </c>
      <c r="E34" t="s">
        <v>45</v>
      </c>
      <c r="F34" t="s">
        <v>29</v>
      </c>
      <c r="G34" t="s">
        <v>30</v>
      </c>
      <c r="H34" t="s">
        <v>54</v>
      </c>
      <c r="I34" t="s">
        <v>39</v>
      </c>
      <c r="J34" s="3">
        <v>180000</v>
      </c>
      <c r="K34">
        <v>9</v>
      </c>
      <c r="L34" t="s">
        <v>69</v>
      </c>
      <c r="M34" s="3">
        <v>144000</v>
      </c>
      <c r="N34" s="3">
        <f>Table1[[#This Row],[Unit Price]]*Table1[[#This Row],[Quantity]]</f>
        <v>1620000</v>
      </c>
      <c r="O34" s="3">
        <f>Table1[[#This Row],[Cost Price]]*Table1[[#This Row],[Quantity]]</f>
        <v>1296000</v>
      </c>
      <c r="P34" s="3">
        <f>Table1[[#This Row],[Revenue]]-Table1[[#This Row],[COGS]]</f>
        <v>324000</v>
      </c>
      <c r="Q34" s="1">
        <v>33</v>
      </c>
    </row>
    <row r="35" spans="1:17">
      <c r="A35" t="s">
        <v>55</v>
      </c>
      <c r="B35" t="str">
        <f>TEXT(Table1[[#This Row],[Date]],"MMMM")</f>
        <v>March</v>
      </c>
      <c r="C35" t="str">
        <f>TEXT(Table1[[#This Row],[Date]],"DDDD")</f>
        <v>Sunday</v>
      </c>
      <c r="D35" t="s">
        <v>44</v>
      </c>
      <c r="E35" t="s">
        <v>45</v>
      </c>
      <c r="F35" t="s">
        <v>29</v>
      </c>
      <c r="G35" t="s">
        <v>30</v>
      </c>
      <c r="H35" t="s">
        <v>56</v>
      </c>
      <c r="I35" t="s">
        <v>32</v>
      </c>
      <c r="J35" s="3">
        <v>320000</v>
      </c>
      <c r="K35">
        <v>5</v>
      </c>
      <c r="L35" t="s">
        <v>69</v>
      </c>
      <c r="M35" s="3">
        <v>256000</v>
      </c>
      <c r="N35" s="3">
        <f>Table1[[#This Row],[Unit Price]]*Table1[[#This Row],[Quantity]]</f>
        <v>1600000</v>
      </c>
      <c r="O35" s="3">
        <f>Table1[[#This Row],[Cost Price]]*Table1[[#This Row],[Quantity]]</f>
        <v>1280000</v>
      </c>
      <c r="P35" s="3">
        <f>Table1[[#This Row],[Revenue]]-Table1[[#This Row],[COGS]]</f>
        <v>320000</v>
      </c>
      <c r="Q35" s="1">
        <v>34</v>
      </c>
    </row>
    <row r="36" spans="1:17">
      <c r="A36" t="s">
        <v>80</v>
      </c>
      <c r="B36" t="str">
        <f>TEXT(Table1[[#This Row],[Date]],"MMMM")</f>
        <v>February</v>
      </c>
      <c r="C36" t="str">
        <f>TEXT(Table1[[#This Row],[Date]],"DDDD")</f>
        <v>Sunday</v>
      </c>
      <c r="D36" t="s">
        <v>44</v>
      </c>
      <c r="E36" t="s">
        <v>45</v>
      </c>
      <c r="F36" t="s">
        <v>41</v>
      </c>
      <c r="G36" t="s">
        <v>37</v>
      </c>
      <c r="H36" t="s">
        <v>62</v>
      </c>
      <c r="I36" t="s">
        <v>51</v>
      </c>
      <c r="J36" s="3">
        <v>150000</v>
      </c>
      <c r="K36">
        <v>8</v>
      </c>
      <c r="L36" t="s">
        <v>65</v>
      </c>
      <c r="M36" s="3">
        <v>120000</v>
      </c>
      <c r="N36" s="3">
        <f>Table1[[#This Row],[Unit Price]]*Table1[[#This Row],[Quantity]]</f>
        <v>1200000</v>
      </c>
      <c r="O36" s="3">
        <f>Table1[[#This Row],[Cost Price]]*Table1[[#This Row],[Quantity]]</f>
        <v>960000</v>
      </c>
      <c r="P36" s="3">
        <f>Table1[[#This Row],[Revenue]]-Table1[[#This Row],[COGS]]</f>
        <v>240000</v>
      </c>
      <c r="Q36" s="1">
        <v>35</v>
      </c>
    </row>
    <row r="37" spans="1:17">
      <c r="A37" t="s">
        <v>86</v>
      </c>
      <c r="B37" t="str">
        <f>TEXT(Table1[[#This Row],[Date]],"MMMM")</f>
        <v>February</v>
      </c>
      <c r="C37" t="str">
        <f>TEXT(Table1[[#This Row],[Date]],"DDDD")</f>
        <v>Thursday</v>
      </c>
      <c r="D37" t="s">
        <v>27</v>
      </c>
      <c r="E37" t="s">
        <v>28</v>
      </c>
      <c r="F37" t="s">
        <v>41</v>
      </c>
      <c r="G37" t="s">
        <v>37</v>
      </c>
      <c r="H37" t="s">
        <v>31</v>
      </c>
      <c r="I37" t="s">
        <v>32</v>
      </c>
      <c r="J37" s="3">
        <v>85000</v>
      </c>
      <c r="K37">
        <v>7</v>
      </c>
      <c r="L37" t="s">
        <v>42</v>
      </c>
      <c r="M37" s="3">
        <v>68000</v>
      </c>
      <c r="N37" s="3">
        <f>Table1[[#This Row],[Unit Price]]*Table1[[#This Row],[Quantity]]</f>
        <v>595000</v>
      </c>
      <c r="O37" s="3">
        <f>Table1[[#This Row],[Cost Price]]*Table1[[#This Row],[Quantity]]</f>
        <v>476000</v>
      </c>
      <c r="P37" s="3">
        <f>Table1[[#This Row],[Revenue]]-Table1[[#This Row],[COGS]]</f>
        <v>119000</v>
      </c>
      <c r="Q37" s="1">
        <v>36</v>
      </c>
    </row>
    <row r="38" spans="1:17">
      <c r="A38" t="s">
        <v>87</v>
      </c>
      <c r="B38" t="str">
        <f>TEXT(Table1[[#This Row],[Date]],"MMMM")</f>
        <v>March</v>
      </c>
      <c r="C38" t="str">
        <f>TEXT(Table1[[#This Row],[Date]],"DDDD")</f>
        <v>Thursday</v>
      </c>
      <c r="D38" t="s">
        <v>44</v>
      </c>
      <c r="E38" t="s">
        <v>53</v>
      </c>
      <c r="F38" t="s">
        <v>41</v>
      </c>
      <c r="G38" t="s">
        <v>30</v>
      </c>
      <c r="H38" t="s">
        <v>56</v>
      </c>
      <c r="I38" t="s">
        <v>32</v>
      </c>
      <c r="J38" s="3">
        <v>320000</v>
      </c>
      <c r="K38">
        <v>6</v>
      </c>
      <c r="L38" t="s">
        <v>42</v>
      </c>
      <c r="M38" s="3">
        <v>256000</v>
      </c>
      <c r="N38" s="3">
        <f>Table1[[#This Row],[Unit Price]]*Table1[[#This Row],[Quantity]]</f>
        <v>1920000</v>
      </c>
      <c r="O38" s="3">
        <f>Table1[[#This Row],[Cost Price]]*Table1[[#This Row],[Quantity]]</f>
        <v>1536000</v>
      </c>
      <c r="P38" s="3">
        <f>Table1[[#This Row],[Revenue]]-Table1[[#This Row],[COGS]]</f>
        <v>384000</v>
      </c>
      <c r="Q38" s="1">
        <v>37</v>
      </c>
    </row>
    <row r="39" spans="1:17">
      <c r="A39" t="s">
        <v>88</v>
      </c>
      <c r="B39" t="str">
        <f>TEXT(Table1[[#This Row],[Date]],"MMMM")</f>
        <v>February</v>
      </c>
      <c r="C39" t="str">
        <f>TEXT(Table1[[#This Row],[Date]],"DDDD")</f>
        <v>Monday</v>
      </c>
      <c r="D39" t="s">
        <v>27</v>
      </c>
      <c r="E39" t="s">
        <v>45</v>
      </c>
      <c r="F39" t="s">
        <v>29</v>
      </c>
      <c r="G39" t="s">
        <v>37</v>
      </c>
      <c r="H39" t="s">
        <v>67</v>
      </c>
      <c r="I39" t="s">
        <v>51</v>
      </c>
      <c r="J39" s="3">
        <v>420000</v>
      </c>
      <c r="K39">
        <v>8</v>
      </c>
      <c r="L39" t="s">
        <v>65</v>
      </c>
      <c r="M39" s="3">
        <v>336000</v>
      </c>
      <c r="N39" s="3">
        <f>Table1[[#This Row],[Unit Price]]*Table1[[#This Row],[Quantity]]</f>
        <v>3360000</v>
      </c>
      <c r="O39" s="3">
        <f>Table1[[#This Row],[Cost Price]]*Table1[[#This Row],[Quantity]]</f>
        <v>2688000</v>
      </c>
      <c r="P39" s="3">
        <f>Table1[[#This Row],[Revenue]]-Table1[[#This Row],[COGS]]</f>
        <v>672000</v>
      </c>
      <c r="Q39" s="1">
        <v>38</v>
      </c>
    </row>
    <row r="40" spans="1:17">
      <c r="A40" t="s">
        <v>89</v>
      </c>
      <c r="B40" t="str">
        <f>TEXT(Table1[[#This Row],[Date]],"MMMM")</f>
        <v>February</v>
      </c>
      <c r="C40" t="str">
        <f>TEXT(Table1[[#This Row],[Date]],"DDDD")</f>
        <v>Tuesday</v>
      </c>
      <c r="D40" t="s">
        <v>44</v>
      </c>
      <c r="E40" t="s">
        <v>28</v>
      </c>
      <c r="F40" t="s">
        <v>41</v>
      </c>
      <c r="G40" t="s">
        <v>30</v>
      </c>
      <c r="H40" t="s">
        <v>50</v>
      </c>
      <c r="I40" t="s">
        <v>51</v>
      </c>
      <c r="J40" s="3">
        <v>300000</v>
      </c>
      <c r="K40">
        <v>7</v>
      </c>
      <c r="L40" t="s">
        <v>58</v>
      </c>
      <c r="M40" s="3">
        <v>240000</v>
      </c>
      <c r="N40" s="3">
        <f>Table1[[#This Row],[Unit Price]]*Table1[[#This Row],[Quantity]]</f>
        <v>2100000</v>
      </c>
      <c r="O40" s="3">
        <f>Table1[[#This Row],[Cost Price]]*Table1[[#This Row],[Quantity]]</f>
        <v>1680000</v>
      </c>
      <c r="P40" s="3">
        <f>Table1[[#This Row],[Revenue]]-Table1[[#This Row],[COGS]]</f>
        <v>420000</v>
      </c>
      <c r="Q40" s="1">
        <v>39</v>
      </c>
    </row>
    <row r="41" spans="1:17">
      <c r="A41" t="s">
        <v>90</v>
      </c>
      <c r="B41" t="str">
        <f>TEXT(Table1[[#This Row],[Date]],"MMMM")</f>
        <v>February</v>
      </c>
      <c r="C41" t="str">
        <f>TEXT(Table1[[#This Row],[Date]],"DDDD")</f>
        <v>Tuesday</v>
      </c>
      <c r="D41" t="s">
        <v>27</v>
      </c>
      <c r="E41" t="s">
        <v>28</v>
      </c>
      <c r="F41" t="s">
        <v>29</v>
      </c>
      <c r="G41" t="s">
        <v>30</v>
      </c>
      <c r="H41" t="s">
        <v>38</v>
      </c>
      <c r="I41" t="s">
        <v>39</v>
      </c>
      <c r="J41" s="3">
        <v>30000</v>
      </c>
      <c r="K41">
        <v>6</v>
      </c>
      <c r="L41" t="s">
        <v>42</v>
      </c>
      <c r="M41" s="3">
        <v>24000</v>
      </c>
      <c r="N41" s="3">
        <f>Table1[[#This Row],[Unit Price]]*Table1[[#This Row],[Quantity]]</f>
        <v>180000</v>
      </c>
      <c r="O41" s="3">
        <f>Table1[[#This Row],[Cost Price]]*Table1[[#This Row],[Quantity]]</f>
        <v>144000</v>
      </c>
      <c r="P41" s="3">
        <f>Table1[[#This Row],[Revenue]]-Table1[[#This Row],[COGS]]</f>
        <v>36000</v>
      </c>
      <c r="Q41" s="1">
        <v>40</v>
      </c>
    </row>
    <row r="42" spans="1:17">
      <c r="A42" t="s">
        <v>91</v>
      </c>
      <c r="B42" t="str">
        <f>TEXT(Table1[[#This Row],[Date]],"MMMM")</f>
        <v>February</v>
      </c>
      <c r="C42" t="str">
        <f>TEXT(Table1[[#This Row],[Date]],"DDDD")</f>
        <v>Friday</v>
      </c>
      <c r="D42" t="s">
        <v>27</v>
      </c>
      <c r="E42" t="s">
        <v>28</v>
      </c>
      <c r="F42" t="s">
        <v>41</v>
      </c>
      <c r="G42" t="s">
        <v>37</v>
      </c>
      <c r="H42" t="s">
        <v>73</v>
      </c>
      <c r="I42" t="s">
        <v>39</v>
      </c>
      <c r="J42" s="3">
        <v>220000</v>
      </c>
      <c r="K42">
        <v>2</v>
      </c>
      <c r="L42" t="s">
        <v>58</v>
      </c>
      <c r="M42" s="3">
        <v>176000</v>
      </c>
      <c r="N42" s="3">
        <f>Table1[[#This Row],[Unit Price]]*Table1[[#This Row],[Quantity]]</f>
        <v>440000</v>
      </c>
      <c r="O42" s="3">
        <f>Table1[[#This Row],[Cost Price]]*Table1[[#This Row],[Quantity]]</f>
        <v>352000</v>
      </c>
      <c r="P42" s="3">
        <f>Table1[[#This Row],[Revenue]]-Table1[[#This Row],[COGS]]</f>
        <v>88000</v>
      </c>
      <c r="Q42" s="1">
        <v>41</v>
      </c>
    </row>
    <row r="43" spans="1:17">
      <c r="A43" t="s">
        <v>61</v>
      </c>
      <c r="B43" t="str">
        <f>TEXT(Table1[[#This Row],[Date]],"MMMM")</f>
        <v>January</v>
      </c>
      <c r="C43" t="str">
        <f>TEXT(Table1[[#This Row],[Date]],"DDDD")</f>
        <v>Friday</v>
      </c>
      <c r="D43" t="s">
        <v>27</v>
      </c>
      <c r="E43" t="s">
        <v>53</v>
      </c>
      <c r="F43" t="s">
        <v>29</v>
      </c>
      <c r="G43" t="s">
        <v>30</v>
      </c>
      <c r="H43" t="s">
        <v>62</v>
      </c>
      <c r="I43" t="s">
        <v>51</v>
      </c>
      <c r="J43" s="3">
        <v>150000</v>
      </c>
      <c r="K43">
        <v>1</v>
      </c>
      <c r="L43" t="s">
        <v>42</v>
      </c>
      <c r="M43" s="3">
        <v>120000</v>
      </c>
      <c r="N43" s="3">
        <f>Table1[[#This Row],[Unit Price]]*Table1[[#This Row],[Quantity]]</f>
        <v>150000</v>
      </c>
      <c r="O43" s="3">
        <f>Table1[[#This Row],[Cost Price]]*Table1[[#This Row],[Quantity]]</f>
        <v>120000</v>
      </c>
      <c r="P43" s="3">
        <f>Table1[[#This Row],[Revenue]]-Table1[[#This Row],[COGS]]</f>
        <v>30000</v>
      </c>
      <c r="Q43" s="1">
        <v>42</v>
      </c>
    </row>
    <row r="44" spans="1:17">
      <c r="A44" t="s">
        <v>92</v>
      </c>
      <c r="B44" t="str">
        <f>TEXT(Table1[[#This Row],[Date]],"MMMM")</f>
        <v>January</v>
      </c>
      <c r="C44" t="str">
        <f>TEXT(Table1[[#This Row],[Date]],"DDDD")</f>
        <v>Tuesday</v>
      </c>
      <c r="D44" t="s">
        <v>49</v>
      </c>
      <c r="E44" t="s">
        <v>36</v>
      </c>
      <c r="F44" t="s">
        <v>29</v>
      </c>
      <c r="G44" t="s">
        <v>37</v>
      </c>
      <c r="H44" t="s">
        <v>56</v>
      </c>
      <c r="I44" t="s">
        <v>32</v>
      </c>
      <c r="J44" s="3">
        <v>320000</v>
      </c>
      <c r="K44">
        <v>1</v>
      </c>
      <c r="L44" t="s">
        <v>69</v>
      </c>
      <c r="M44" s="3">
        <v>256000</v>
      </c>
      <c r="N44" s="3">
        <f>Table1[[#This Row],[Unit Price]]*Table1[[#This Row],[Quantity]]</f>
        <v>320000</v>
      </c>
      <c r="O44" s="3">
        <f>Table1[[#This Row],[Cost Price]]*Table1[[#This Row],[Quantity]]</f>
        <v>256000</v>
      </c>
      <c r="P44" s="3">
        <f>Table1[[#This Row],[Revenue]]-Table1[[#This Row],[COGS]]</f>
        <v>64000</v>
      </c>
      <c r="Q44" s="1">
        <v>43</v>
      </c>
    </row>
    <row r="45" spans="1:17">
      <c r="A45" t="s">
        <v>93</v>
      </c>
      <c r="B45" t="str">
        <f>TEXT(Table1[[#This Row],[Date]],"MMMM")</f>
        <v>April</v>
      </c>
      <c r="C45" t="str">
        <f>TEXT(Table1[[#This Row],[Date]],"DDDD")</f>
        <v>Friday</v>
      </c>
      <c r="D45" t="s">
        <v>49</v>
      </c>
      <c r="E45" t="s">
        <v>53</v>
      </c>
      <c r="F45" t="s">
        <v>41</v>
      </c>
      <c r="G45" t="s">
        <v>37</v>
      </c>
      <c r="H45" t="s">
        <v>38</v>
      </c>
      <c r="I45" t="s">
        <v>39</v>
      </c>
      <c r="J45" s="3">
        <v>30000</v>
      </c>
      <c r="K45">
        <v>3</v>
      </c>
      <c r="L45" t="s">
        <v>42</v>
      </c>
      <c r="M45" s="3">
        <v>24000</v>
      </c>
      <c r="N45" s="3">
        <f>Table1[[#This Row],[Unit Price]]*Table1[[#This Row],[Quantity]]</f>
        <v>90000</v>
      </c>
      <c r="O45" s="3">
        <f>Table1[[#This Row],[Cost Price]]*Table1[[#This Row],[Quantity]]</f>
        <v>72000</v>
      </c>
      <c r="P45" s="3">
        <f>Table1[[#This Row],[Revenue]]-Table1[[#This Row],[COGS]]</f>
        <v>18000</v>
      </c>
      <c r="Q45" s="1">
        <v>44</v>
      </c>
    </row>
    <row r="46" spans="1:17">
      <c r="A46" t="s">
        <v>94</v>
      </c>
      <c r="B46" t="str">
        <f>TEXT(Table1[[#This Row],[Date]],"MMMM")</f>
        <v>January</v>
      </c>
      <c r="C46" t="str">
        <f>TEXT(Table1[[#This Row],[Date]],"DDDD")</f>
        <v>Friday</v>
      </c>
      <c r="D46" t="s">
        <v>27</v>
      </c>
      <c r="E46" t="s">
        <v>28</v>
      </c>
      <c r="F46" t="s">
        <v>41</v>
      </c>
      <c r="G46" t="s">
        <v>30</v>
      </c>
      <c r="H46" t="s">
        <v>46</v>
      </c>
      <c r="I46" t="s">
        <v>39</v>
      </c>
      <c r="J46" s="3">
        <v>60000</v>
      </c>
      <c r="K46">
        <v>5</v>
      </c>
      <c r="L46" t="s">
        <v>47</v>
      </c>
      <c r="M46" s="3">
        <v>48000</v>
      </c>
      <c r="N46" s="3">
        <f>Table1[[#This Row],[Unit Price]]*Table1[[#This Row],[Quantity]]</f>
        <v>300000</v>
      </c>
      <c r="O46" s="3">
        <f>Table1[[#This Row],[Cost Price]]*Table1[[#This Row],[Quantity]]</f>
        <v>240000</v>
      </c>
      <c r="P46" s="3">
        <f>Table1[[#This Row],[Revenue]]-Table1[[#This Row],[COGS]]</f>
        <v>60000</v>
      </c>
      <c r="Q46" s="1">
        <v>45</v>
      </c>
    </row>
    <row r="47" spans="1:17">
      <c r="A47" t="s">
        <v>81</v>
      </c>
      <c r="B47" t="str">
        <f>TEXT(Table1[[#This Row],[Date]],"MMMM")</f>
        <v>March</v>
      </c>
      <c r="C47" t="str">
        <f>TEXT(Table1[[#This Row],[Date]],"DDDD")</f>
        <v>Sunday</v>
      </c>
      <c r="D47" t="s">
        <v>35</v>
      </c>
      <c r="E47" t="s">
        <v>45</v>
      </c>
      <c r="F47" t="s">
        <v>41</v>
      </c>
      <c r="G47" t="s">
        <v>30</v>
      </c>
      <c r="H47" t="s">
        <v>62</v>
      </c>
      <c r="I47" t="s">
        <v>51</v>
      </c>
      <c r="J47" s="3">
        <v>150000</v>
      </c>
      <c r="K47">
        <v>3</v>
      </c>
      <c r="L47" t="s">
        <v>47</v>
      </c>
      <c r="M47" s="3">
        <v>120000</v>
      </c>
      <c r="N47" s="3">
        <f>Table1[[#This Row],[Unit Price]]*Table1[[#This Row],[Quantity]]</f>
        <v>450000</v>
      </c>
      <c r="O47" s="3">
        <f>Table1[[#This Row],[Cost Price]]*Table1[[#This Row],[Quantity]]</f>
        <v>360000</v>
      </c>
      <c r="P47" s="3">
        <f>Table1[[#This Row],[Revenue]]-Table1[[#This Row],[COGS]]</f>
        <v>90000</v>
      </c>
      <c r="Q47" s="1">
        <v>46</v>
      </c>
    </row>
    <row r="48" spans="1:17">
      <c r="A48" t="s">
        <v>77</v>
      </c>
      <c r="B48" t="str">
        <f>TEXT(Table1[[#This Row],[Date]],"MMMM")</f>
        <v>April</v>
      </c>
      <c r="C48" t="str">
        <f>TEXT(Table1[[#This Row],[Date]],"DDDD")</f>
        <v>Friday</v>
      </c>
      <c r="D48" t="s">
        <v>35</v>
      </c>
      <c r="E48" t="s">
        <v>36</v>
      </c>
      <c r="F48" t="s">
        <v>29</v>
      </c>
      <c r="G48" t="s">
        <v>30</v>
      </c>
      <c r="H48" t="s">
        <v>56</v>
      </c>
      <c r="I48" t="s">
        <v>32</v>
      </c>
      <c r="J48" s="3">
        <v>320000</v>
      </c>
      <c r="K48">
        <v>10</v>
      </c>
      <c r="L48" t="s">
        <v>47</v>
      </c>
      <c r="M48" s="3">
        <v>256000</v>
      </c>
      <c r="N48" s="3">
        <f>Table1[[#This Row],[Unit Price]]*Table1[[#This Row],[Quantity]]</f>
        <v>3200000</v>
      </c>
      <c r="O48" s="3">
        <f>Table1[[#This Row],[Cost Price]]*Table1[[#This Row],[Quantity]]</f>
        <v>2560000</v>
      </c>
      <c r="P48" s="3">
        <f>Table1[[#This Row],[Revenue]]-Table1[[#This Row],[COGS]]</f>
        <v>640000</v>
      </c>
      <c r="Q48" s="1">
        <v>47</v>
      </c>
    </row>
    <row r="49" spans="1:17">
      <c r="A49" t="s">
        <v>95</v>
      </c>
      <c r="B49" t="str">
        <f>TEXT(Table1[[#This Row],[Date]],"MMMM")</f>
        <v>February</v>
      </c>
      <c r="C49" t="str">
        <f>TEXT(Table1[[#This Row],[Date]],"DDDD")</f>
        <v>Saturday</v>
      </c>
      <c r="D49" t="s">
        <v>35</v>
      </c>
      <c r="E49" t="s">
        <v>28</v>
      </c>
      <c r="F49" t="s">
        <v>41</v>
      </c>
      <c r="G49" t="s">
        <v>30</v>
      </c>
      <c r="H49" t="s">
        <v>73</v>
      </c>
      <c r="I49" t="s">
        <v>39</v>
      </c>
      <c r="J49" s="3">
        <v>220000</v>
      </c>
      <c r="K49">
        <v>6</v>
      </c>
      <c r="L49" t="s">
        <v>33</v>
      </c>
      <c r="M49" s="3">
        <v>176000</v>
      </c>
      <c r="N49" s="3">
        <f>Table1[[#This Row],[Unit Price]]*Table1[[#This Row],[Quantity]]</f>
        <v>1320000</v>
      </c>
      <c r="O49" s="3">
        <f>Table1[[#This Row],[Cost Price]]*Table1[[#This Row],[Quantity]]</f>
        <v>1056000</v>
      </c>
      <c r="P49" s="3">
        <f>Table1[[#This Row],[Revenue]]-Table1[[#This Row],[COGS]]</f>
        <v>264000</v>
      </c>
      <c r="Q49" s="1">
        <v>48</v>
      </c>
    </row>
    <row r="50" spans="1:17">
      <c r="A50" t="s">
        <v>96</v>
      </c>
      <c r="B50" t="str">
        <f>TEXT(Table1[[#This Row],[Date]],"MMMM")</f>
        <v>March</v>
      </c>
      <c r="C50" t="str">
        <f>TEXT(Table1[[#This Row],[Date]],"DDDD")</f>
        <v>Sunday</v>
      </c>
      <c r="D50" t="s">
        <v>27</v>
      </c>
      <c r="E50" t="s">
        <v>53</v>
      </c>
      <c r="F50" t="s">
        <v>41</v>
      </c>
      <c r="G50" t="s">
        <v>30</v>
      </c>
      <c r="H50" t="s">
        <v>54</v>
      </c>
      <c r="I50" t="s">
        <v>39</v>
      </c>
      <c r="J50" s="3">
        <v>180000</v>
      </c>
      <c r="K50">
        <v>8</v>
      </c>
      <c r="L50" t="s">
        <v>47</v>
      </c>
      <c r="M50" s="3">
        <v>144000</v>
      </c>
      <c r="N50" s="3">
        <f>Table1[[#This Row],[Unit Price]]*Table1[[#This Row],[Quantity]]</f>
        <v>1440000</v>
      </c>
      <c r="O50" s="3">
        <f>Table1[[#This Row],[Cost Price]]*Table1[[#This Row],[Quantity]]</f>
        <v>1152000</v>
      </c>
      <c r="P50" s="3">
        <f>Table1[[#This Row],[Revenue]]-Table1[[#This Row],[COGS]]</f>
        <v>288000</v>
      </c>
      <c r="Q50" s="1">
        <v>49</v>
      </c>
    </row>
    <row r="51" spans="1:17">
      <c r="A51" t="s">
        <v>97</v>
      </c>
      <c r="B51" t="str">
        <f>TEXT(Table1[[#This Row],[Date]],"MMMM")</f>
        <v>January</v>
      </c>
      <c r="C51" t="str">
        <f>TEXT(Table1[[#This Row],[Date]],"DDDD")</f>
        <v>Sunday</v>
      </c>
      <c r="D51" t="s">
        <v>27</v>
      </c>
      <c r="E51" t="s">
        <v>45</v>
      </c>
      <c r="F51" t="s">
        <v>29</v>
      </c>
      <c r="G51" t="s">
        <v>37</v>
      </c>
      <c r="H51" t="s">
        <v>56</v>
      </c>
      <c r="I51" t="s">
        <v>32</v>
      </c>
      <c r="J51" s="3">
        <v>320000</v>
      </c>
      <c r="K51">
        <v>2</v>
      </c>
      <c r="L51" t="s">
        <v>42</v>
      </c>
      <c r="M51" s="3">
        <v>256000</v>
      </c>
      <c r="N51" s="3">
        <f>Table1[[#This Row],[Unit Price]]*Table1[[#This Row],[Quantity]]</f>
        <v>640000</v>
      </c>
      <c r="O51" s="3">
        <f>Table1[[#This Row],[Cost Price]]*Table1[[#This Row],[Quantity]]</f>
        <v>512000</v>
      </c>
      <c r="P51" s="3">
        <f>Table1[[#This Row],[Revenue]]-Table1[[#This Row],[COGS]]</f>
        <v>128000</v>
      </c>
      <c r="Q51" s="1">
        <v>50</v>
      </c>
    </row>
    <row r="52" spans="1:17">
      <c r="A52" t="s">
        <v>57</v>
      </c>
      <c r="B52" t="str">
        <f>TEXT(Table1[[#This Row],[Date]],"MMMM")</f>
        <v>February</v>
      </c>
      <c r="C52" t="str">
        <f>TEXT(Table1[[#This Row],[Date]],"DDDD")</f>
        <v>Thursday</v>
      </c>
      <c r="D52" t="s">
        <v>27</v>
      </c>
      <c r="E52" t="s">
        <v>36</v>
      </c>
      <c r="F52" t="s">
        <v>29</v>
      </c>
      <c r="G52" t="s">
        <v>37</v>
      </c>
      <c r="H52" t="s">
        <v>50</v>
      </c>
      <c r="I52" t="s">
        <v>51</v>
      </c>
      <c r="J52" s="3">
        <v>300000</v>
      </c>
      <c r="K52">
        <v>9</v>
      </c>
      <c r="L52" t="s">
        <v>58</v>
      </c>
      <c r="M52" s="3">
        <v>240000</v>
      </c>
      <c r="N52" s="3">
        <f>Table1[[#This Row],[Unit Price]]*Table1[[#This Row],[Quantity]]</f>
        <v>2700000</v>
      </c>
      <c r="O52" s="3">
        <f>Table1[[#This Row],[Cost Price]]*Table1[[#This Row],[Quantity]]</f>
        <v>2160000</v>
      </c>
      <c r="P52" s="3">
        <f>Table1[[#This Row],[Revenue]]-Table1[[#This Row],[COGS]]</f>
        <v>540000</v>
      </c>
      <c r="Q52" s="1">
        <v>51</v>
      </c>
    </row>
    <row r="53" spans="1:17">
      <c r="A53" t="s">
        <v>98</v>
      </c>
      <c r="B53" t="str">
        <f>TEXT(Table1[[#This Row],[Date]],"MMMM")</f>
        <v>January</v>
      </c>
      <c r="C53" t="str">
        <f>TEXT(Table1[[#This Row],[Date]],"DDDD")</f>
        <v>Friday</v>
      </c>
      <c r="D53" t="s">
        <v>49</v>
      </c>
      <c r="E53" t="s">
        <v>45</v>
      </c>
      <c r="F53" t="s">
        <v>29</v>
      </c>
      <c r="G53" t="s">
        <v>37</v>
      </c>
      <c r="H53" t="s">
        <v>67</v>
      </c>
      <c r="I53" t="s">
        <v>51</v>
      </c>
      <c r="J53" s="3">
        <v>420000</v>
      </c>
      <c r="K53">
        <v>1</v>
      </c>
      <c r="L53" t="s">
        <v>58</v>
      </c>
      <c r="M53" s="3">
        <v>336000</v>
      </c>
      <c r="N53" s="3">
        <f>Table1[[#This Row],[Unit Price]]*Table1[[#This Row],[Quantity]]</f>
        <v>420000</v>
      </c>
      <c r="O53" s="3">
        <f>Table1[[#This Row],[Cost Price]]*Table1[[#This Row],[Quantity]]</f>
        <v>336000</v>
      </c>
      <c r="P53" s="3">
        <f>Table1[[#This Row],[Revenue]]-Table1[[#This Row],[COGS]]</f>
        <v>84000</v>
      </c>
      <c r="Q53" s="1">
        <v>52</v>
      </c>
    </row>
    <row r="54" spans="1:17">
      <c r="A54" t="s">
        <v>99</v>
      </c>
      <c r="B54" t="str">
        <f>TEXT(Table1[[#This Row],[Date]],"MMMM")</f>
        <v>April</v>
      </c>
      <c r="C54" t="str">
        <f>TEXT(Table1[[#This Row],[Date]],"DDDD")</f>
        <v>Sunday</v>
      </c>
      <c r="D54" t="s">
        <v>35</v>
      </c>
      <c r="E54" t="s">
        <v>45</v>
      </c>
      <c r="F54" t="s">
        <v>29</v>
      </c>
      <c r="G54" t="s">
        <v>30</v>
      </c>
      <c r="H54" t="s">
        <v>46</v>
      </c>
      <c r="I54" t="s">
        <v>39</v>
      </c>
      <c r="J54" s="3">
        <v>60000</v>
      </c>
      <c r="K54">
        <v>1</v>
      </c>
      <c r="L54" t="s">
        <v>47</v>
      </c>
      <c r="M54" s="3">
        <v>48000</v>
      </c>
      <c r="N54" s="3">
        <f>Table1[[#This Row],[Unit Price]]*Table1[[#This Row],[Quantity]]</f>
        <v>60000</v>
      </c>
      <c r="O54" s="3">
        <f>Table1[[#This Row],[Cost Price]]*Table1[[#This Row],[Quantity]]</f>
        <v>48000</v>
      </c>
      <c r="P54" s="3">
        <f>Table1[[#This Row],[Revenue]]-Table1[[#This Row],[COGS]]</f>
        <v>12000</v>
      </c>
      <c r="Q54" s="1">
        <v>53</v>
      </c>
    </row>
    <row r="55" spans="1:17">
      <c r="A55" t="s">
        <v>55</v>
      </c>
      <c r="B55" t="str">
        <f>TEXT(Table1[[#This Row],[Date]],"MMMM")</f>
        <v>March</v>
      </c>
      <c r="C55" t="str">
        <f>TEXT(Table1[[#This Row],[Date]],"DDDD")</f>
        <v>Sunday</v>
      </c>
      <c r="D55" t="s">
        <v>35</v>
      </c>
      <c r="E55" t="s">
        <v>36</v>
      </c>
      <c r="F55" t="s">
        <v>41</v>
      </c>
      <c r="G55" t="s">
        <v>37</v>
      </c>
      <c r="H55" t="s">
        <v>50</v>
      </c>
      <c r="I55" t="s">
        <v>51</v>
      </c>
      <c r="J55" s="3">
        <v>300000</v>
      </c>
      <c r="K55">
        <v>9</v>
      </c>
      <c r="L55" t="s">
        <v>58</v>
      </c>
      <c r="M55" s="3">
        <v>240000</v>
      </c>
      <c r="N55" s="3">
        <f>Table1[[#This Row],[Unit Price]]*Table1[[#This Row],[Quantity]]</f>
        <v>2700000</v>
      </c>
      <c r="O55" s="3">
        <f>Table1[[#This Row],[Cost Price]]*Table1[[#This Row],[Quantity]]</f>
        <v>2160000</v>
      </c>
      <c r="P55" s="3">
        <f>Table1[[#This Row],[Revenue]]-Table1[[#This Row],[COGS]]</f>
        <v>540000</v>
      </c>
      <c r="Q55" s="1">
        <v>54</v>
      </c>
    </row>
    <row r="56" spans="1:17">
      <c r="A56" t="s">
        <v>100</v>
      </c>
      <c r="B56" t="str">
        <f>TEXT(Table1[[#This Row],[Date]],"MMMM")</f>
        <v>January</v>
      </c>
      <c r="C56" t="str">
        <f>TEXT(Table1[[#This Row],[Date]],"DDDD")</f>
        <v>Monday</v>
      </c>
      <c r="D56" t="s">
        <v>27</v>
      </c>
      <c r="E56" t="s">
        <v>45</v>
      </c>
      <c r="F56" t="s">
        <v>41</v>
      </c>
      <c r="G56" t="s">
        <v>30</v>
      </c>
      <c r="H56" t="s">
        <v>67</v>
      </c>
      <c r="I56" t="s">
        <v>51</v>
      </c>
      <c r="J56" s="3">
        <v>420000</v>
      </c>
      <c r="K56">
        <v>9</v>
      </c>
      <c r="L56" t="s">
        <v>42</v>
      </c>
      <c r="M56" s="3">
        <v>336000</v>
      </c>
      <c r="N56" s="3">
        <f>Table1[[#This Row],[Unit Price]]*Table1[[#This Row],[Quantity]]</f>
        <v>3780000</v>
      </c>
      <c r="O56" s="3">
        <f>Table1[[#This Row],[Cost Price]]*Table1[[#This Row],[Quantity]]</f>
        <v>3024000</v>
      </c>
      <c r="P56" s="3">
        <f>Table1[[#This Row],[Revenue]]-Table1[[#This Row],[COGS]]</f>
        <v>756000</v>
      </c>
      <c r="Q56" s="1">
        <v>55</v>
      </c>
    </row>
    <row r="57" spans="1:17">
      <c r="A57" t="s">
        <v>85</v>
      </c>
      <c r="B57" t="str">
        <f>TEXT(Table1[[#This Row],[Date]],"MMMM")</f>
        <v>February</v>
      </c>
      <c r="C57" t="str">
        <f>TEXT(Table1[[#This Row],[Date]],"DDDD")</f>
        <v>Thursday</v>
      </c>
      <c r="D57" t="s">
        <v>35</v>
      </c>
      <c r="E57" t="s">
        <v>36</v>
      </c>
      <c r="F57" t="s">
        <v>29</v>
      </c>
      <c r="G57" t="s">
        <v>30</v>
      </c>
      <c r="H57" t="s">
        <v>73</v>
      </c>
      <c r="I57" t="s">
        <v>39</v>
      </c>
      <c r="J57" s="3">
        <v>220000</v>
      </c>
      <c r="K57">
        <v>8</v>
      </c>
      <c r="L57" t="s">
        <v>65</v>
      </c>
      <c r="M57" s="3">
        <v>176000</v>
      </c>
      <c r="N57" s="3">
        <f>Table1[[#This Row],[Unit Price]]*Table1[[#This Row],[Quantity]]</f>
        <v>1760000</v>
      </c>
      <c r="O57" s="3">
        <f>Table1[[#This Row],[Cost Price]]*Table1[[#This Row],[Quantity]]</f>
        <v>1408000</v>
      </c>
      <c r="P57" s="3">
        <f>Table1[[#This Row],[Revenue]]-Table1[[#This Row],[COGS]]</f>
        <v>352000</v>
      </c>
      <c r="Q57" s="1">
        <v>56</v>
      </c>
    </row>
    <row r="58" spans="1:17">
      <c r="A58" t="s">
        <v>101</v>
      </c>
      <c r="B58" t="str">
        <f>TEXT(Table1[[#This Row],[Date]],"MMMM")</f>
        <v>January</v>
      </c>
      <c r="C58" t="str">
        <f>TEXT(Table1[[#This Row],[Date]],"DDDD")</f>
        <v>Thursday</v>
      </c>
      <c r="D58" t="s">
        <v>44</v>
      </c>
      <c r="E58" t="s">
        <v>28</v>
      </c>
      <c r="F58" t="s">
        <v>29</v>
      </c>
      <c r="G58" t="s">
        <v>30</v>
      </c>
      <c r="H58" t="s">
        <v>31</v>
      </c>
      <c r="I58" t="s">
        <v>32</v>
      </c>
      <c r="J58" s="3">
        <v>85000</v>
      </c>
      <c r="K58">
        <v>10</v>
      </c>
      <c r="L58" t="s">
        <v>58</v>
      </c>
      <c r="M58" s="3">
        <v>68000</v>
      </c>
      <c r="N58" s="3">
        <f>Table1[[#This Row],[Unit Price]]*Table1[[#This Row],[Quantity]]</f>
        <v>850000</v>
      </c>
      <c r="O58" s="3">
        <f>Table1[[#This Row],[Cost Price]]*Table1[[#This Row],[Quantity]]</f>
        <v>680000</v>
      </c>
      <c r="P58" s="3">
        <f>Table1[[#This Row],[Revenue]]-Table1[[#This Row],[COGS]]</f>
        <v>170000</v>
      </c>
      <c r="Q58" s="1">
        <v>57</v>
      </c>
    </row>
    <row r="59" spans="1:17">
      <c r="A59" t="s">
        <v>86</v>
      </c>
      <c r="B59" t="str">
        <f>TEXT(Table1[[#This Row],[Date]],"MMMM")</f>
        <v>February</v>
      </c>
      <c r="C59" t="str">
        <f>TEXT(Table1[[#This Row],[Date]],"DDDD")</f>
        <v>Thursday</v>
      </c>
      <c r="D59" t="s">
        <v>27</v>
      </c>
      <c r="E59" t="s">
        <v>45</v>
      </c>
      <c r="F59" t="s">
        <v>41</v>
      </c>
      <c r="G59" t="s">
        <v>30</v>
      </c>
      <c r="H59" t="s">
        <v>62</v>
      </c>
      <c r="I59" t="s">
        <v>51</v>
      </c>
      <c r="J59" s="3">
        <v>150000</v>
      </c>
      <c r="K59">
        <v>4</v>
      </c>
      <c r="L59" t="s">
        <v>33</v>
      </c>
      <c r="M59" s="3">
        <v>120000</v>
      </c>
      <c r="N59" s="3">
        <f>Table1[[#This Row],[Unit Price]]*Table1[[#This Row],[Quantity]]</f>
        <v>600000</v>
      </c>
      <c r="O59" s="3">
        <f>Table1[[#This Row],[Cost Price]]*Table1[[#This Row],[Quantity]]</f>
        <v>480000</v>
      </c>
      <c r="P59" s="3">
        <f>Table1[[#This Row],[Revenue]]-Table1[[#This Row],[COGS]]</f>
        <v>120000</v>
      </c>
      <c r="Q59" s="1">
        <v>58</v>
      </c>
    </row>
    <row r="60" spans="1:17">
      <c r="A60" t="s">
        <v>63</v>
      </c>
      <c r="B60" t="str">
        <f>TEXT(Table1[[#This Row],[Date]],"MMMM")</f>
        <v>January</v>
      </c>
      <c r="C60" t="str">
        <f>TEXT(Table1[[#This Row],[Date]],"DDDD")</f>
        <v>Monday</v>
      </c>
      <c r="D60" t="s">
        <v>35</v>
      </c>
      <c r="E60" t="s">
        <v>36</v>
      </c>
      <c r="F60" t="s">
        <v>41</v>
      </c>
      <c r="G60" t="s">
        <v>37</v>
      </c>
      <c r="H60" t="s">
        <v>71</v>
      </c>
      <c r="I60" t="s">
        <v>51</v>
      </c>
      <c r="J60" s="3">
        <v>250000</v>
      </c>
      <c r="K60">
        <v>1</v>
      </c>
      <c r="L60" t="s">
        <v>47</v>
      </c>
      <c r="M60" s="3">
        <v>200000</v>
      </c>
      <c r="N60" s="3">
        <f>Table1[[#This Row],[Unit Price]]*Table1[[#This Row],[Quantity]]</f>
        <v>250000</v>
      </c>
      <c r="O60" s="3">
        <f>Table1[[#This Row],[Cost Price]]*Table1[[#This Row],[Quantity]]</f>
        <v>200000</v>
      </c>
      <c r="P60" s="3">
        <f>Table1[[#This Row],[Revenue]]-Table1[[#This Row],[COGS]]</f>
        <v>50000</v>
      </c>
      <c r="Q60" s="1">
        <v>59</v>
      </c>
    </row>
    <row r="61" spans="1:17">
      <c r="A61" t="s">
        <v>102</v>
      </c>
      <c r="B61" t="str">
        <f>TEXT(Table1[[#This Row],[Date]],"MMMM")</f>
        <v>March</v>
      </c>
      <c r="C61" t="str">
        <f>TEXT(Table1[[#This Row],[Date]],"DDDD")</f>
        <v>Wednesday</v>
      </c>
      <c r="D61" t="s">
        <v>44</v>
      </c>
      <c r="E61" t="s">
        <v>36</v>
      </c>
      <c r="F61" t="s">
        <v>29</v>
      </c>
      <c r="G61" t="s">
        <v>30</v>
      </c>
      <c r="H61" t="s">
        <v>38</v>
      </c>
      <c r="I61" t="s">
        <v>39</v>
      </c>
      <c r="J61" s="3">
        <v>30000</v>
      </c>
      <c r="K61">
        <v>10</v>
      </c>
      <c r="L61" t="s">
        <v>47</v>
      </c>
      <c r="M61" s="3">
        <v>24000</v>
      </c>
      <c r="N61" s="3">
        <f>Table1[[#This Row],[Unit Price]]*Table1[[#This Row],[Quantity]]</f>
        <v>300000</v>
      </c>
      <c r="O61" s="3">
        <f>Table1[[#This Row],[Cost Price]]*Table1[[#This Row],[Quantity]]</f>
        <v>240000</v>
      </c>
      <c r="P61" s="3">
        <f>Table1[[#This Row],[Revenue]]-Table1[[#This Row],[COGS]]</f>
        <v>60000</v>
      </c>
      <c r="Q61" s="1">
        <v>60</v>
      </c>
    </row>
    <row r="62" spans="1:17">
      <c r="A62" t="s">
        <v>103</v>
      </c>
      <c r="B62" t="str">
        <f>TEXT(Table1[[#This Row],[Date]],"MMMM")</f>
        <v>March</v>
      </c>
      <c r="C62" t="str">
        <f>TEXT(Table1[[#This Row],[Date]],"DDDD")</f>
        <v>Wednesday</v>
      </c>
      <c r="D62" t="s">
        <v>44</v>
      </c>
      <c r="E62" t="s">
        <v>36</v>
      </c>
      <c r="F62" t="s">
        <v>41</v>
      </c>
      <c r="G62" t="s">
        <v>30</v>
      </c>
      <c r="H62" t="s">
        <v>67</v>
      </c>
      <c r="I62" t="s">
        <v>51</v>
      </c>
      <c r="J62" s="3">
        <v>420000</v>
      </c>
      <c r="K62">
        <v>4</v>
      </c>
      <c r="L62" t="s">
        <v>42</v>
      </c>
      <c r="M62" s="3">
        <v>336000</v>
      </c>
      <c r="N62" s="3">
        <f>Table1[[#This Row],[Unit Price]]*Table1[[#This Row],[Quantity]]</f>
        <v>1680000</v>
      </c>
      <c r="O62" s="3">
        <f>Table1[[#This Row],[Cost Price]]*Table1[[#This Row],[Quantity]]</f>
        <v>1344000</v>
      </c>
      <c r="P62" s="3">
        <f>Table1[[#This Row],[Revenue]]-Table1[[#This Row],[COGS]]</f>
        <v>336000</v>
      </c>
      <c r="Q62" s="1">
        <v>61</v>
      </c>
    </row>
    <row r="63" spans="1:17">
      <c r="A63" t="s">
        <v>104</v>
      </c>
      <c r="B63" t="str">
        <f>TEXT(Table1[[#This Row],[Date]],"MMMM")</f>
        <v>March</v>
      </c>
      <c r="C63" t="str">
        <f>TEXT(Table1[[#This Row],[Date]],"DDDD")</f>
        <v>Friday</v>
      </c>
      <c r="D63" t="s">
        <v>35</v>
      </c>
      <c r="E63" t="s">
        <v>36</v>
      </c>
      <c r="F63" t="s">
        <v>29</v>
      </c>
      <c r="G63" t="s">
        <v>37</v>
      </c>
      <c r="H63" t="s">
        <v>31</v>
      </c>
      <c r="I63" t="s">
        <v>32</v>
      </c>
      <c r="J63" s="3">
        <v>85000</v>
      </c>
      <c r="K63">
        <v>2</v>
      </c>
      <c r="L63" t="s">
        <v>58</v>
      </c>
      <c r="M63" s="3">
        <v>68000</v>
      </c>
      <c r="N63" s="3">
        <f>Table1[[#This Row],[Unit Price]]*Table1[[#This Row],[Quantity]]</f>
        <v>170000</v>
      </c>
      <c r="O63" s="3">
        <f>Table1[[#This Row],[Cost Price]]*Table1[[#This Row],[Quantity]]</f>
        <v>136000</v>
      </c>
      <c r="P63" s="3">
        <f>Table1[[#This Row],[Revenue]]-Table1[[#This Row],[COGS]]</f>
        <v>34000</v>
      </c>
      <c r="Q63" s="1">
        <v>62</v>
      </c>
    </row>
    <row r="64" spans="1:17">
      <c r="A64" t="s">
        <v>105</v>
      </c>
      <c r="B64" t="str">
        <f>TEXT(Table1[[#This Row],[Date]],"MMMM")</f>
        <v>March</v>
      </c>
      <c r="C64" t="str">
        <f>TEXT(Table1[[#This Row],[Date]],"DDDD")</f>
        <v>Friday</v>
      </c>
      <c r="D64" t="s">
        <v>35</v>
      </c>
      <c r="E64" t="s">
        <v>36</v>
      </c>
      <c r="F64" t="s">
        <v>29</v>
      </c>
      <c r="G64" t="s">
        <v>30</v>
      </c>
      <c r="H64" t="s">
        <v>73</v>
      </c>
      <c r="I64" t="s">
        <v>39</v>
      </c>
      <c r="J64" s="3">
        <v>220000</v>
      </c>
      <c r="K64">
        <v>1</v>
      </c>
      <c r="L64" t="s">
        <v>47</v>
      </c>
      <c r="M64" s="3">
        <v>176000</v>
      </c>
      <c r="N64" s="3">
        <f>Table1[[#This Row],[Unit Price]]*Table1[[#This Row],[Quantity]]</f>
        <v>220000</v>
      </c>
      <c r="O64" s="3">
        <f>Table1[[#This Row],[Cost Price]]*Table1[[#This Row],[Quantity]]</f>
        <v>176000</v>
      </c>
      <c r="P64" s="3">
        <f>Table1[[#This Row],[Revenue]]-Table1[[#This Row],[COGS]]</f>
        <v>44000</v>
      </c>
      <c r="Q64" s="1">
        <v>63</v>
      </c>
    </row>
    <row r="65" spans="1:17">
      <c r="A65" t="s">
        <v>83</v>
      </c>
      <c r="B65" t="str">
        <f>TEXT(Table1[[#This Row],[Date]],"MMMM")</f>
        <v>January</v>
      </c>
      <c r="C65" t="str">
        <f>TEXT(Table1[[#This Row],[Date]],"DDDD")</f>
        <v>Tuesday</v>
      </c>
      <c r="D65" t="s">
        <v>27</v>
      </c>
      <c r="E65" t="s">
        <v>28</v>
      </c>
      <c r="F65" t="s">
        <v>29</v>
      </c>
      <c r="G65" t="s">
        <v>37</v>
      </c>
      <c r="H65" t="s">
        <v>54</v>
      </c>
      <c r="I65" t="s">
        <v>39</v>
      </c>
      <c r="J65" s="3">
        <v>180000</v>
      </c>
      <c r="K65">
        <v>9</v>
      </c>
      <c r="L65" t="s">
        <v>69</v>
      </c>
      <c r="M65" s="3">
        <v>144000</v>
      </c>
      <c r="N65" s="3">
        <f>Table1[[#This Row],[Unit Price]]*Table1[[#This Row],[Quantity]]</f>
        <v>1620000</v>
      </c>
      <c r="O65" s="3">
        <f>Table1[[#This Row],[Cost Price]]*Table1[[#This Row],[Quantity]]</f>
        <v>1296000</v>
      </c>
      <c r="P65" s="3">
        <f>Table1[[#This Row],[Revenue]]-Table1[[#This Row],[COGS]]</f>
        <v>324000</v>
      </c>
      <c r="Q65" s="1">
        <v>64</v>
      </c>
    </row>
    <row r="66" spans="1:17">
      <c r="A66" t="s">
        <v>78</v>
      </c>
      <c r="B66" t="str">
        <f>TEXT(Table1[[#This Row],[Date]],"MMMM")</f>
        <v>April</v>
      </c>
      <c r="C66" t="str">
        <f>TEXT(Table1[[#This Row],[Date]],"DDDD")</f>
        <v>Tuesday</v>
      </c>
      <c r="D66" t="s">
        <v>27</v>
      </c>
      <c r="E66" t="s">
        <v>45</v>
      </c>
      <c r="F66" t="s">
        <v>29</v>
      </c>
      <c r="G66" t="s">
        <v>37</v>
      </c>
      <c r="H66" t="s">
        <v>71</v>
      </c>
      <c r="I66" t="s">
        <v>51</v>
      </c>
      <c r="J66" s="3">
        <v>250000</v>
      </c>
      <c r="K66">
        <v>6</v>
      </c>
      <c r="L66" t="s">
        <v>33</v>
      </c>
      <c r="M66" s="3">
        <v>200000</v>
      </c>
      <c r="N66" s="3">
        <f>Table1[[#This Row],[Unit Price]]*Table1[[#This Row],[Quantity]]</f>
        <v>1500000</v>
      </c>
      <c r="O66" s="3">
        <f>Table1[[#This Row],[Cost Price]]*Table1[[#This Row],[Quantity]]</f>
        <v>1200000</v>
      </c>
      <c r="P66" s="3">
        <f>Table1[[#This Row],[Revenue]]-Table1[[#This Row],[COGS]]</f>
        <v>300000</v>
      </c>
      <c r="Q66" s="1">
        <v>65</v>
      </c>
    </row>
    <row r="67" spans="1:17">
      <c r="A67" t="s">
        <v>106</v>
      </c>
      <c r="B67" t="str">
        <f>TEXT(Table1[[#This Row],[Date]],"MMMM")</f>
        <v>April</v>
      </c>
      <c r="C67" t="str">
        <f>TEXT(Table1[[#This Row],[Date]],"DDDD")</f>
        <v>Wednesday</v>
      </c>
      <c r="D67" t="s">
        <v>27</v>
      </c>
      <c r="E67" t="s">
        <v>28</v>
      </c>
      <c r="F67" t="s">
        <v>29</v>
      </c>
      <c r="G67" t="s">
        <v>37</v>
      </c>
      <c r="H67" t="s">
        <v>54</v>
      </c>
      <c r="I67" t="s">
        <v>39</v>
      </c>
      <c r="J67" s="3">
        <v>180000</v>
      </c>
      <c r="K67">
        <v>3</v>
      </c>
      <c r="L67" t="s">
        <v>69</v>
      </c>
      <c r="M67" s="3">
        <v>144000</v>
      </c>
      <c r="N67" s="3">
        <f>Table1[[#This Row],[Unit Price]]*Table1[[#This Row],[Quantity]]</f>
        <v>540000</v>
      </c>
      <c r="O67" s="3">
        <f>Table1[[#This Row],[Cost Price]]*Table1[[#This Row],[Quantity]]</f>
        <v>432000</v>
      </c>
      <c r="P67" s="3">
        <f>Table1[[#This Row],[Revenue]]-Table1[[#This Row],[COGS]]</f>
        <v>108000</v>
      </c>
      <c r="Q67" s="1">
        <v>66</v>
      </c>
    </row>
    <row r="68" spans="1:17">
      <c r="A68" t="s">
        <v>107</v>
      </c>
      <c r="B68" t="str">
        <f>TEXT(Table1[[#This Row],[Date]],"MMMM")</f>
        <v>February</v>
      </c>
      <c r="C68" t="str">
        <f>TEXT(Table1[[#This Row],[Date]],"DDDD")</f>
        <v>Wednesday</v>
      </c>
      <c r="D68" t="s">
        <v>44</v>
      </c>
      <c r="E68" t="s">
        <v>28</v>
      </c>
      <c r="F68" t="s">
        <v>41</v>
      </c>
      <c r="G68" t="s">
        <v>30</v>
      </c>
      <c r="H68" t="s">
        <v>46</v>
      </c>
      <c r="I68" t="s">
        <v>39</v>
      </c>
      <c r="J68" s="3">
        <v>60000</v>
      </c>
      <c r="K68">
        <v>8</v>
      </c>
      <c r="L68" t="s">
        <v>58</v>
      </c>
      <c r="M68" s="3">
        <v>48000</v>
      </c>
      <c r="N68" s="3">
        <f>Table1[[#This Row],[Unit Price]]*Table1[[#This Row],[Quantity]]</f>
        <v>480000</v>
      </c>
      <c r="O68" s="3">
        <f>Table1[[#This Row],[Cost Price]]*Table1[[#This Row],[Quantity]]</f>
        <v>384000</v>
      </c>
      <c r="P68" s="3">
        <f>Table1[[#This Row],[Revenue]]-Table1[[#This Row],[COGS]]</f>
        <v>96000</v>
      </c>
      <c r="Q68" s="1">
        <v>67</v>
      </c>
    </row>
    <row r="69" spans="1:17">
      <c r="A69" t="s">
        <v>108</v>
      </c>
      <c r="B69" t="str">
        <f>TEXT(Table1[[#This Row],[Date]],"MMMM")</f>
        <v>April</v>
      </c>
      <c r="C69" t="str">
        <f>TEXT(Table1[[#This Row],[Date]],"DDDD")</f>
        <v>Thursday</v>
      </c>
      <c r="D69" t="s">
        <v>49</v>
      </c>
      <c r="E69" t="s">
        <v>28</v>
      </c>
      <c r="F69" t="s">
        <v>29</v>
      </c>
      <c r="G69" t="s">
        <v>30</v>
      </c>
      <c r="H69" t="s">
        <v>46</v>
      </c>
      <c r="I69" t="s">
        <v>39</v>
      </c>
      <c r="J69" s="3">
        <v>60000</v>
      </c>
      <c r="K69">
        <v>3</v>
      </c>
      <c r="L69" t="s">
        <v>33</v>
      </c>
      <c r="M69" s="3">
        <v>48000</v>
      </c>
      <c r="N69" s="3">
        <f>Table1[[#This Row],[Unit Price]]*Table1[[#This Row],[Quantity]]</f>
        <v>180000</v>
      </c>
      <c r="O69" s="3">
        <f>Table1[[#This Row],[Cost Price]]*Table1[[#This Row],[Quantity]]</f>
        <v>144000</v>
      </c>
      <c r="P69" s="3">
        <f>Table1[[#This Row],[Revenue]]-Table1[[#This Row],[COGS]]</f>
        <v>36000</v>
      </c>
      <c r="Q69" s="1">
        <v>68</v>
      </c>
    </row>
    <row r="70" spans="1:17">
      <c r="A70" t="s">
        <v>109</v>
      </c>
      <c r="B70" t="str">
        <f>TEXT(Table1[[#This Row],[Date]],"MMMM")</f>
        <v>March</v>
      </c>
      <c r="C70" t="str">
        <f>TEXT(Table1[[#This Row],[Date]],"DDDD")</f>
        <v>Monday</v>
      </c>
      <c r="D70" t="s">
        <v>27</v>
      </c>
      <c r="E70" t="s">
        <v>45</v>
      </c>
      <c r="F70" t="s">
        <v>41</v>
      </c>
      <c r="G70" t="s">
        <v>30</v>
      </c>
      <c r="H70" t="s">
        <v>38</v>
      </c>
      <c r="I70" t="s">
        <v>39</v>
      </c>
      <c r="J70" s="3">
        <v>30000</v>
      </c>
      <c r="K70">
        <v>8</v>
      </c>
      <c r="L70" t="s">
        <v>47</v>
      </c>
      <c r="M70" s="3">
        <v>24000</v>
      </c>
      <c r="N70" s="3">
        <f>Table1[[#This Row],[Unit Price]]*Table1[[#This Row],[Quantity]]</f>
        <v>240000</v>
      </c>
      <c r="O70" s="3">
        <f>Table1[[#This Row],[Cost Price]]*Table1[[#This Row],[Quantity]]</f>
        <v>192000</v>
      </c>
      <c r="P70" s="3">
        <f>Table1[[#This Row],[Revenue]]-Table1[[#This Row],[COGS]]</f>
        <v>48000</v>
      </c>
      <c r="Q70" s="1">
        <v>69</v>
      </c>
    </row>
    <row r="71" spans="1:17">
      <c r="A71" t="s">
        <v>110</v>
      </c>
      <c r="B71" t="str">
        <f>TEXT(Table1[[#This Row],[Date]],"MMMM")</f>
        <v>January</v>
      </c>
      <c r="C71" t="str">
        <f>TEXT(Table1[[#This Row],[Date]],"DDDD")</f>
        <v>Thursday</v>
      </c>
      <c r="D71" t="s">
        <v>44</v>
      </c>
      <c r="E71" t="s">
        <v>36</v>
      </c>
      <c r="F71" t="s">
        <v>29</v>
      </c>
      <c r="G71" t="s">
        <v>37</v>
      </c>
      <c r="H71" t="s">
        <v>46</v>
      </c>
      <c r="I71" t="s">
        <v>39</v>
      </c>
      <c r="J71" s="3">
        <v>60000</v>
      </c>
      <c r="K71">
        <v>4</v>
      </c>
      <c r="L71" t="s">
        <v>69</v>
      </c>
      <c r="M71" s="3">
        <v>48000</v>
      </c>
      <c r="N71" s="3">
        <f>Table1[[#This Row],[Unit Price]]*Table1[[#This Row],[Quantity]]</f>
        <v>240000</v>
      </c>
      <c r="O71" s="3">
        <f>Table1[[#This Row],[Cost Price]]*Table1[[#This Row],[Quantity]]</f>
        <v>192000</v>
      </c>
      <c r="P71" s="3">
        <f>Table1[[#This Row],[Revenue]]-Table1[[#This Row],[COGS]]</f>
        <v>48000</v>
      </c>
      <c r="Q71" s="1">
        <v>70</v>
      </c>
    </row>
    <row r="72" spans="1:17">
      <c r="A72" t="s">
        <v>111</v>
      </c>
      <c r="B72" t="str">
        <f>TEXT(Table1[[#This Row],[Date]],"MMMM")</f>
        <v>February</v>
      </c>
      <c r="C72" t="str">
        <f>TEXT(Table1[[#This Row],[Date]],"DDDD")</f>
        <v>Wednesday</v>
      </c>
      <c r="D72" t="s">
        <v>44</v>
      </c>
      <c r="E72" t="s">
        <v>28</v>
      </c>
      <c r="F72" t="s">
        <v>41</v>
      </c>
      <c r="G72" t="s">
        <v>37</v>
      </c>
      <c r="H72" t="s">
        <v>38</v>
      </c>
      <c r="I72" t="s">
        <v>39</v>
      </c>
      <c r="J72" s="3">
        <v>30000</v>
      </c>
      <c r="K72">
        <v>3</v>
      </c>
      <c r="L72" t="s">
        <v>42</v>
      </c>
      <c r="M72" s="3">
        <v>24000</v>
      </c>
      <c r="N72" s="3">
        <f>Table1[[#This Row],[Unit Price]]*Table1[[#This Row],[Quantity]]</f>
        <v>90000</v>
      </c>
      <c r="O72" s="3">
        <f>Table1[[#This Row],[Cost Price]]*Table1[[#This Row],[Quantity]]</f>
        <v>72000</v>
      </c>
      <c r="P72" s="3">
        <f>Table1[[#This Row],[Revenue]]-Table1[[#This Row],[COGS]]</f>
        <v>18000</v>
      </c>
      <c r="Q72" s="1">
        <v>71</v>
      </c>
    </row>
    <row r="73" spans="1:17">
      <c r="A73" t="s">
        <v>112</v>
      </c>
      <c r="B73" t="str">
        <f>TEXT(Table1[[#This Row],[Date]],"MMMM")</f>
        <v>February</v>
      </c>
      <c r="C73" t="str">
        <f>TEXT(Table1[[#This Row],[Date]],"DDDD")</f>
        <v>Monday</v>
      </c>
      <c r="D73" t="s">
        <v>35</v>
      </c>
      <c r="E73" t="s">
        <v>45</v>
      </c>
      <c r="F73" t="s">
        <v>29</v>
      </c>
      <c r="G73" t="s">
        <v>30</v>
      </c>
      <c r="H73" t="s">
        <v>54</v>
      </c>
      <c r="I73" t="s">
        <v>39</v>
      </c>
      <c r="J73" s="3">
        <v>180000</v>
      </c>
      <c r="K73">
        <v>5</v>
      </c>
      <c r="L73" t="s">
        <v>47</v>
      </c>
      <c r="M73" s="3">
        <v>144000</v>
      </c>
      <c r="N73" s="3">
        <f>Table1[[#This Row],[Unit Price]]*Table1[[#This Row],[Quantity]]</f>
        <v>900000</v>
      </c>
      <c r="O73" s="3">
        <f>Table1[[#This Row],[Cost Price]]*Table1[[#This Row],[Quantity]]</f>
        <v>720000</v>
      </c>
      <c r="P73" s="3">
        <f>Table1[[#This Row],[Revenue]]-Table1[[#This Row],[COGS]]</f>
        <v>180000</v>
      </c>
      <c r="Q73" s="1">
        <v>72</v>
      </c>
    </row>
    <row r="74" spans="1:17">
      <c r="A74" t="s">
        <v>113</v>
      </c>
      <c r="B74" t="str">
        <f>TEXT(Table1[[#This Row],[Date]],"MMMM")</f>
        <v>April</v>
      </c>
      <c r="C74" t="str">
        <f>TEXT(Table1[[#This Row],[Date]],"DDDD")</f>
        <v>Monday</v>
      </c>
      <c r="D74" t="s">
        <v>49</v>
      </c>
      <c r="E74" t="s">
        <v>28</v>
      </c>
      <c r="F74" t="s">
        <v>29</v>
      </c>
      <c r="G74" t="s">
        <v>37</v>
      </c>
      <c r="H74" t="s">
        <v>73</v>
      </c>
      <c r="I74" t="s">
        <v>39</v>
      </c>
      <c r="J74" s="3">
        <v>220000</v>
      </c>
      <c r="K74">
        <v>3</v>
      </c>
      <c r="L74" t="s">
        <v>69</v>
      </c>
      <c r="M74" s="3">
        <v>176000</v>
      </c>
      <c r="N74" s="3">
        <f>Table1[[#This Row],[Unit Price]]*Table1[[#This Row],[Quantity]]</f>
        <v>660000</v>
      </c>
      <c r="O74" s="3">
        <f>Table1[[#This Row],[Cost Price]]*Table1[[#This Row],[Quantity]]</f>
        <v>528000</v>
      </c>
      <c r="P74" s="3">
        <f>Table1[[#This Row],[Revenue]]-Table1[[#This Row],[COGS]]</f>
        <v>132000</v>
      </c>
      <c r="Q74" s="1">
        <v>73</v>
      </c>
    </row>
    <row r="75" spans="1:17">
      <c r="A75" t="s">
        <v>113</v>
      </c>
      <c r="B75" t="str">
        <f>TEXT(Table1[[#This Row],[Date]],"MMMM")</f>
        <v>April</v>
      </c>
      <c r="C75" t="str">
        <f>TEXT(Table1[[#This Row],[Date]],"DDDD")</f>
        <v>Monday</v>
      </c>
      <c r="D75" t="s">
        <v>27</v>
      </c>
      <c r="E75" t="s">
        <v>36</v>
      </c>
      <c r="F75" t="s">
        <v>29</v>
      </c>
      <c r="G75" t="s">
        <v>30</v>
      </c>
      <c r="H75" t="s">
        <v>46</v>
      </c>
      <c r="I75" t="s">
        <v>39</v>
      </c>
      <c r="J75" s="3">
        <v>60000</v>
      </c>
      <c r="K75">
        <v>4</v>
      </c>
      <c r="L75" t="s">
        <v>65</v>
      </c>
      <c r="M75" s="3">
        <v>48000</v>
      </c>
      <c r="N75" s="3">
        <f>Table1[[#This Row],[Unit Price]]*Table1[[#This Row],[Quantity]]</f>
        <v>240000</v>
      </c>
      <c r="O75" s="3">
        <f>Table1[[#This Row],[Cost Price]]*Table1[[#This Row],[Quantity]]</f>
        <v>192000</v>
      </c>
      <c r="P75" s="3">
        <f>Table1[[#This Row],[Revenue]]-Table1[[#This Row],[COGS]]</f>
        <v>48000</v>
      </c>
      <c r="Q75" s="1">
        <v>74</v>
      </c>
    </row>
    <row r="76" spans="1:17">
      <c r="A76" t="s">
        <v>114</v>
      </c>
      <c r="B76" t="str">
        <f>TEXT(Table1[[#This Row],[Date]],"MMMM")</f>
        <v>April</v>
      </c>
      <c r="C76" t="str">
        <f>TEXT(Table1[[#This Row],[Date]],"DDDD")</f>
        <v>Sunday</v>
      </c>
      <c r="D76" t="s">
        <v>49</v>
      </c>
      <c r="E76" t="s">
        <v>28</v>
      </c>
      <c r="F76" t="s">
        <v>41</v>
      </c>
      <c r="G76" t="s">
        <v>30</v>
      </c>
      <c r="H76" t="s">
        <v>31</v>
      </c>
      <c r="I76" t="s">
        <v>32</v>
      </c>
      <c r="J76" s="3">
        <v>85000</v>
      </c>
      <c r="K76">
        <v>1</v>
      </c>
      <c r="L76" t="s">
        <v>65</v>
      </c>
      <c r="M76" s="3">
        <v>68000</v>
      </c>
      <c r="N76" s="3">
        <f>Table1[[#This Row],[Unit Price]]*Table1[[#This Row],[Quantity]]</f>
        <v>85000</v>
      </c>
      <c r="O76" s="3">
        <f>Table1[[#This Row],[Cost Price]]*Table1[[#This Row],[Quantity]]</f>
        <v>68000</v>
      </c>
      <c r="P76" s="3">
        <f>Table1[[#This Row],[Revenue]]-Table1[[#This Row],[COGS]]</f>
        <v>17000</v>
      </c>
      <c r="Q76" s="1">
        <v>75</v>
      </c>
    </row>
    <row r="77" spans="1:17">
      <c r="A77" t="s">
        <v>111</v>
      </c>
      <c r="B77" t="str">
        <f>TEXT(Table1[[#This Row],[Date]],"MMMM")</f>
        <v>February</v>
      </c>
      <c r="C77" t="str">
        <f>TEXT(Table1[[#This Row],[Date]],"DDDD")</f>
        <v>Wednesday</v>
      </c>
      <c r="D77" t="s">
        <v>35</v>
      </c>
      <c r="E77" t="s">
        <v>28</v>
      </c>
      <c r="F77" t="s">
        <v>29</v>
      </c>
      <c r="G77" t="s">
        <v>30</v>
      </c>
      <c r="H77" t="s">
        <v>38</v>
      </c>
      <c r="I77" t="s">
        <v>39</v>
      </c>
      <c r="J77" s="3">
        <v>30000</v>
      </c>
      <c r="K77">
        <v>5</v>
      </c>
      <c r="L77" t="s">
        <v>42</v>
      </c>
      <c r="M77" s="3">
        <v>24000</v>
      </c>
      <c r="N77" s="3">
        <f>Table1[[#This Row],[Unit Price]]*Table1[[#This Row],[Quantity]]</f>
        <v>150000</v>
      </c>
      <c r="O77" s="3">
        <f>Table1[[#This Row],[Cost Price]]*Table1[[#This Row],[Quantity]]</f>
        <v>120000</v>
      </c>
      <c r="P77" s="3">
        <f>Table1[[#This Row],[Revenue]]-Table1[[#This Row],[COGS]]</f>
        <v>30000</v>
      </c>
      <c r="Q77" s="1">
        <v>76</v>
      </c>
    </row>
    <row r="78" spans="1:17">
      <c r="A78" t="s">
        <v>90</v>
      </c>
      <c r="B78" t="str">
        <f>TEXT(Table1[[#This Row],[Date]],"MMMM")</f>
        <v>February</v>
      </c>
      <c r="C78" t="str">
        <f>TEXT(Table1[[#This Row],[Date]],"DDDD")</f>
        <v>Tuesday</v>
      </c>
      <c r="D78" t="s">
        <v>35</v>
      </c>
      <c r="E78" t="s">
        <v>53</v>
      </c>
      <c r="F78" t="s">
        <v>29</v>
      </c>
      <c r="G78" t="s">
        <v>37</v>
      </c>
      <c r="H78" t="s">
        <v>46</v>
      </c>
      <c r="I78" t="s">
        <v>39</v>
      </c>
      <c r="J78" s="3">
        <v>60000</v>
      </c>
      <c r="K78">
        <v>3</v>
      </c>
      <c r="L78" t="s">
        <v>65</v>
      </c>
      <c r="M78" s="3">
        <v>48000</v>
      </c>
      <c r="N78" s="3">
        <f>Table1[[#This Row],[Unit Price]]*Table1[[#This Row],[Quantity]]</f>
        <v>180000</v>
      </c>
      <c r="O78" s="3">
        <f>Table1[[#This Row],[Cost Price]]*Table1[[#This Row],[Quantity]]</f>
        <v>144000</v>
      </c>
      <c r="P78" s="3">
        <f>Table1[[#This Row],[Revenue]]-Table1[[#This Row],[COGS]]</f>
        <v>36000</v>
      </c>
      <c r="Q78" s="1">
        <v>77</v>
      </c>
    </row>
    <row r="79" spans="1:17">
      <c r="A79" t="s">
        <v>88</v>
      </c>
      <c r="B79" t="str">
        <f>TEXT(Table1[[#This Row],[Date]],"MMMM")</f>
        <v>February</v>
      </c>
      <c r="C79" t="str">
        <f>TEXT(Table1[[#This Row],[Date]],"DDDD")</f>
        <v>Monday</v>
      </c>
      <c r="D79" t="s">
        <v>27</v>
      </c>
      <c r="E79" t="s">
        <v>53</v>
      </c>
      <c r="F79" t="s">
        <v>29</v>
      </c>
      <c r="G79" t="s">
        <v>30</v>
      </c>
      <c r="H79" t="s">
        <v>46</v>
      </c>
      <c r="I79" t="s">
        <v>39</v>
      </c>
      <c r="J79" s="3">
        <v>60000</v>
      </c>
      <c r="K79">
        <v>6</v>
      </c>
      <c r="L79" t="s">
        <v>33</v>
      </c>
      <c r="M79" s="3">
        <v>48000</v>
      </c>
      <c r="N79" s="3">
        <f>Table1[[#This Row],[Unit Price]]*Table1[[#This Row],[Quantity]]</f>
        <v>360000</v>
      </c>
      <c r="O79" s="3">
        <f>Table1[[#This Row],[Cost Price]]*Table1[[#This Row],[Quantity]]</f>
        <v>288000</v>
      </c>
      <c r="P79" s="3">
        <f>Table1[[#This Row],[Revenue]]-Table1[[#This Row],[COGS]]</f>
        <v>72000</v>
      </c>
      <c r="Q79" s="1">
        <v>78</v>
      </c>
    </row>
    <row r="80" spans="1:17">
      <c r="A80" t="s">
        <v>83</v>
      </c>
      <c r="B80" t="str">
        <f>TEXT(Table1[[#This Row],[Date]],"MMMM")</f>
        <v>January</v>
      </c>
      <c r="C80" t="str">
        <f>TEXT(Table1[[#This Row],[Date]],"DDDD")</f>
        <v>Tuesday</v>
      </c>
      <c r="D80" t="s">
        <v>44</v>
      </c>
      <c r="E80" t="s">
        <v>45</v>
      </c>
      <c r="F80" t="s">
        <v>41</v>
      </c>
      <c r="G80" t="s">
        <v>30</v>
      </c>
      <c r="H80" t="s">
        <v>50</v>
      </c>
      <c r="I80" t="s">
        <v>51</v>
      </c>
      <c r="J80" s="3">
        <v>300000</v>
      </c>
      <c r="K80">
        <v>2</v>
      </c>
      <c r="L80" t="s">
        <v>33</v>
      </c>
      <c r="M80" s="3">
        <v>240000</v>
      </c>
      <c r="N80" s="3">
        <f>Table1[[#This Row],[Unit Price]]*Table1[[#This Row],[Quantity]]</f>
        <v>600000</v>
      </c>
      <c r="O80" s="3">
        <f>Table1[[#This Row],[Cost Price]]*Table1[[#This Row],[Quantity]]</f>
        <v>480000</v>
      </c>
      <c r="P80" s="3">
        <f>Table1[[#This Row],[Revenue]]-Table1[[#This Row],[COGS]]</f>
        <v>120000</v>
      </c>
      <c r="Q80" s="1">
        <v>79</v>
      </c>
    </row>
    <row r="81" spans="1:17">
      <c r="A81" t="s">
        <v>115</v>
      </c>
      <c r="B81" t="str">
        <f>TEXT(Table1[[#This Row],[Date]],"MMMM")</f>
        <v>January</v>
      </c>
      <c r="C81" t="str">
        <f>TEXT(Table1[[#This Row],[Date]],"DDDD")</f>
        <v>Thursday</v>
      </c>
      <c r="D81" t="s">
        <v>27</v>
      </c>
      <c r="E81" t="s">
        <v>45</v>
      </c>
      <c r="F81" t="s">
        <v>29</v>
      </c>
      <c r="G81" t="s">
        <v>30</v>
      </c>
      <c r="H81" t="s">
        <v>62</v>
      </c>
      <c r="I81" t="s">
        <v>51</v>
      </c>
      <c r="J81" s="3">
        <v>150000</v>
      </c>
      <c r="K81">
        <v>7</v>
      </c>
      <c r="L81" t="s">
        <v>42</v>
      </c>
      <c r="M81" s="3">
        <v>120000</v>
      </c>
      <c r="N81" s="3">
        <f>Table1[[#This Row],[Unit Price]]*Table1[[#This Row],[Quantity]]</f>
        <v>1050000</v>
      </c>
      <c r="O81" s="3">
        <f>Table1[[#This Row],[Cost Price]]*Table1[[#This Row],[Quantity]]</f>
        <v>840000</v>
      </c>
      <c r="P81" s="3">
        <f>Table1[[#This Row],[Revenue]]-Table1[[#This Row],[COGS]]</f>
        <v>210000</v>
      </c>
      <c r="Q81" s="1">
        <v>80</v>
      </c>
    </row>
    <row r="82" spans="1:17">
      <c r="A82" t="s">
        <v>116</v>
      </c>
      <c r="B82" t="str">
        <f>TEXT(Table1[[#This Row],[Date]],"MMMM")</f>
        <v>April</v>
      </c>
      <c r="C82" t="str">
        <f>TEXT(Table1[[#This Row],[Date]],"DDDD")</f>
        <v>Saturday</v>
      </c>
      <c r="D82" t="s">
        <v>49</v>
      </c>
      <c r="E82" t="s">
        <v>45</v>
      </c>
      <c r="F82" t="s">
        <v>41</v>
      </c>
      <c r="G82" t="s">
        <v>37</v>
      </c>
      <c r="H82" t="s">
        <v>73</v>
      </c>
      <c r="I82" t="s">
        <v>39</v>
      </c>
      <c r="J82" s="3">
        <v>220000</v>
      </c>
      <c r="K82">
        <v>3</v>
      </c>
      <c r="L82" t="s">
        <v>47</v>
      </c>
      <c r="M82" s="3">
        <v>176000</v>
      </c>
      <c r="N82" s="3">
        <f>Table1[[#This Row],[Unit Price]]*Table1[[#This Row],[Quantity]]</f>
        <v>660000</v>
      </c>
      <c r="O82" s="3">
        <f>Table1[[#This Row],[Cost Price]]*Table1[[#This Row],[Quantity]]</f>
        <v>528000</v>
      </c>
      <c r="P82" s="3">
        <f>Table1[[#This Row],[Revenue]]-Table1[[#This Row],[COGS]]</f>
        <v>132000</v>
      </c>
      <c r="Q82" s="1">
        <v>81</v>
      </c>
    </row>
    <row r="83" spans="1:17">
      <c r="A83" t="s">
        <v>100</v>
      </c>
      <c r="B83" t="str">
        <f>TEXT(Table1[[#This Row],[Date]],"MMMM")</f>
        <v>January</v>
      </c>
      <c r="C83" t="str">
        <f>TEXT(Table1[[#This Row],[Date]],"DDDD")</f>
        <v>Monday</v>
      </c>
      <c r="D83" t="s">
        <v>27</v>
      </c>
      <c r="E83" t="s">
        <v>45</v>
      </c>
      <c r="F83" t="s">
        <v>29</v>
      </c>
      <c r="G83" t="s">
        <v>37</v>
      </c>
      <c r="H83" t="s">
        <v>46</v>
      </c>
      <c r="I83" t="s">
        <v>39</v>
      </c>
      <c r="J83" s="3">
        <v>60000</v>
      </c>
      <c r="K83">
        <v>9</v>
      </c>
      <c r="L83" t="s">
        <v>58</v>
      </c>
      <c r="M83" s="3">
        <v>48000</v>
      </c>
      <c r="N83" s="3">
        <f>Table1[[#This Row],[Unit Price]]*Table1[[#This Row],[Quantity]]</f>
        <v>540000</v>
      </c>
      <c r="O83" s="3">
        <f>Table1[[#This Row],[Cost Price]]*Table1[[#This Row],[Quantity]]</f>
        <v>432000</v>
      </c>
      <c r="P83" s="3">
        <f>Table1[[#This Row],[Revenue]]-Table1[[#This Row],[COGS]]</f>
        <v>108000</v>
      </c>
      <c r="Q83" s="1">
        <v>82</v>
      </c>
    </row>
    <row r="84" spans="1:17">
      <c r="A84" t="s">
        <v>79</v>
      </c>
      <c r="B84" t="str">
        <f>TEXT(Table1[[#This Row],[Date]],"MMMM")</f>
        <v>February</v>
      </c>
      <c r="C84" t="str">
        <f>TEXT(Table1[[#This Row],[Date]],"DDDD")</f>
        <v>Wednesday</v>
      </c>
      <c r="D84" t="s">
        <v>27</v>
      </c>
      <c r="E84" t="s">
        <v>36</v>
      </c>
      <c r="F84" t="s">
        <v>41</v>
      </c>
      <c r="G84" t="s">
        <v>37</v>
      </c>
      <c r="H84" t="s">
        <v>56</v>
      </c>
      <c r="I84" t="s">
        <v>32</v>
      </c>
      <c r="J84" s="3">
        <v>320000</v>
      </c>
      <c r="K84">
        <v>2</v>
      </c>
      <c r="L84" t="s">
        <v>47</v>
      </c>
      <c r="M84" s="3">
        <v>256000</v>
      </c>
      <c r="N84" s="3">
        <f>Table1[[#This Row],[Unit Price]]*Table1[[#This Row],[Quantity]]</f>
        <v>640000</v>
      </c>
      <c r="O84" s="3">
        <f>Table1[[#This Row],[Cost Price]]*Table1[[#This Row],[Quantity]]</f>
        <v>512000</v>
      </c>
      <c r="P84" s="3">
        <f>Table1[[#This Row],[Revenue]]-Table1[[#This Row],[COGS]]</f>
        <v>128000</v>
      </c>
      <c r="Q84" s="1">
        <v>83</v>
      </c>
    </row>
    <row r="85" spans="1:17">
      <c r="A85" t="s">
        <v>80</v>
      </c>
      <c r="B85" t="str">
        <f>TEXT(Table1[[#This Row],[Date]],"MMMM")</f>
        <v>February</v>
      </c>
      <c r="C85" t="str">
        <f>TEXT(Table1[[#This Row],[Date]],"DDDD")</f>
        <v>Sunday</v>
      </c>
      <c r="D85" t="s">
        <v>27</v>
      </c>
      <c r="E85" t="s">
        <v>45</v>
      </c>
      <c r="F85" t="s">
        <v>41</v>
      </c>
      <c r="G85" t="s">
        <v>30</v>
      </c>
      <c r="H85" t="s">
        <v>73</v>
      </c>
      <c r="I85" t="s">
        <v>39</v>
      </c>
      <c r="J85" s="3">
        <v>220000</v>
      </c>
      <c r="K85">
        <v>5</v>
      </c>
      <c r="L85" t="s">
        <v>33</v>
      </c>
      <c r="M85" s="3">
        <v>176000</v>
      </c>
      <c r="N85" s="3">
        <f>Table1[[#This Row],[Unit Price]]*Table1[[#This Row],[Quantity]]</f>
        <v>1100000</v>
      </c>
      <c r="O85" s="3">
        <f>Table1[[#This Row],[Cost Price]]*Table1[[#This Row],[Quantity]]</f>
        <v>880000</v>
      </c>
      <c r="P85" s="3">
        <f>Table1[[#This Row],[Revenue]]-Table1[[#This Row],[COGS]]</f>
        <v>220000</v>
      </c>
      <c r="Q85" s="1">
        <v>84</v>
      </c>
    </row>
    <row r="86" spans="1:17">
      <c r="A86" t="s">
        <v>115</v>
      </c>
      <c r="B86" t="str">
        <f>TEXT(Table1[[#This Row],[Date]],"MMMM")</f>
        <v>January</v>
      </c>
      <c r="C86" t="str">
        <f>TEXT(Table1[[#This Row],[Date]],"DDDD")</f>
        <v>Thursday</v>
      </c>
      <c r="D86" t="s">
        <v>27</v>
      </c>
      <c r="E86" t="s">
        <v>28</v>
      </c>
      <c r="F86" t="s">
        <v>41</v>
      </c>
      <c r="G86" t="s">
        <v>30</v>
      </c>
      <c r="H86" t="s">
        <v>62</v>
      </c>
      <c r="I86" t="s">
        <v>51</v>
      </c>
      <c r="J86" s="3">
        <v>150000</v>
      </c>
      <c r="K86">
        <v>1</v>
      </c>
      <c r="L86" t="s">
        <v>69</v>
      </c>
      <c r="M86" s="3">
        <v>120000</v>
      </c>
      <c r="N86" s="3">
        <f>Table1[[#This Row],[Unit Price]]*Table1[[#This Row],[Quantity]]</f>
        <v>150000</v>
      </c>
      <c r="O86" s="3">
        <f>Table1[[#This Row],[Cost Price]]*Table1[[#This Row],[Quantity]]</f>
        <v>120000</v>
      </c>
      <c r="P86" s="3">
        <f>Table1[[#This Row],[Revenue]]-Table1[[#This Row],[COGS]]</f>
        <v>30000</v>
      </c>
      <c r="Q86" s="1">
        <v>85</v>
      </c>
    </row>
    <row r="87" spans="1:17">
      <c r="A87" t="s">
        <v>86</v>
      </c>
      <c r="B87" t="str">
        <f>TEXT(Table1[[#This Row],[Date]],"MMMM")</f>
        <v>February</v>
      </c>
      <c r="C87" t="str">
        <f>TEXT(Table1[[#This Row],[Date]],"DDDD")</f>
        <v>Thursday</v>
      </c>
      <c r="D87" t="s">
        <v>44</v>
      </c>
      <c r="E87" t="s">
        <v>36</v>
      </c>
      <c r="F87" t="s">
        <v>29</v>
      </c>
      <c r="G87" t="s">
        <v>37</v>
      </c>
      <c r="H87" t="s">
        <v>50</v>
      </c>
      <c r="I87" t="s">
        <v>51</v>
      </c>
      <c r="J87" s="3">
        <v>300000</v>
      </c>
      <c r="K87">
        <v>8</v>
      </c>
      <c r="L87" t="s">
        <v>33</v>
      </c>
      <c r="M87" s="3">
        <v>240000</v>
      </c>
      <c r="N87" s="3">
        <f>Table1[[#This Row],[Unit Price]]*Table1[[#This Row],[Quantity]]</f>
        <v>2400000</v>
      </c>
      <c r="O87" s="3">
        <f>Table1[[#This Row],[Cost Price]]*Table1[[#This Row],[Quantity]]</f>
        <v>1920000</v>
      </c>
      <c r="P87" s="3">
        <f>Table1[[#This Row],[Revenue]]-Table1[[#This Row],[COGS]]</f>
        <v>480000</v>
      </c>
      <c r="Q87" s="1">
        <v>86</v>
      </c>
    </row>
    <row r="88" spans="1:17">
      <c r="A88" t="s">
        <v>85</v>
      </c>
      <c r="B88" t="str">
        <f>TEXT(Table1[[#This Row],[Date]],"MMMM")</f>
        <v>February</v>
      </c>
      <c r="C88" t="str">
        <f>TEXT(Table1[[#This Row],[Date]],"DDDD")</f>
        <v>Thursday</v>
      </c>
      <c r="D88" t="s">
        <v>35</v>
      </c>
      <c r="E88" t="s">
        <v>53</v>
      </c>
      <c r="F88" t="s">
        <v>29</v>
      </c>
      <c r="G88" t="s">
        <v>30</v>
      </c>
      <c r="H88" t="s">
        <v>73</v>
      </c>
      <c r="I88" t="s">
        <v>39</v>
      </c>
      <c r="J88" s="3">
        <v>220000</v>
      </c>
      <c r="K88">
        <v>3</v>
      </c>
      <c r="L88" t="s">
        <v>65</v>
      </c>
      <c r="M88" s="3">
        <v>176000</v>
      </c>
      <c r="N88" s="3">
        <f>Table1[[#This Row],[Unit Price]]*Table1[[#This Row],[Quantity]]</f>
        <v>660000</v>
      </c>
      <c r="O88" s="3">
        <f>Table1[[#This Row],[Cost Price]]*Table1[[#This Row],[Quantity]]</f>
        <v>528000</v>
      </c>
      <c r="P88" s="3">
        <f>Table1[[#This Row],[Revenue]]-Table1[[#This Row],[COGS]]</f>
        <v>132000</v>
      </c>
      <c r="Q88" s="1">
        <v>87</v>
      </c>
    </row>
    <row r="89" spans="1:17">
      <c r="A89" t="s">
        <v>117</v>
      </c>
      <c r="B89" t="str">
        <f>TEXT(Table1[[#This Row],[Date]],"MMMM")</f>
        <v>January</v>
      </c>
      <c r="C89" t="str">
        <f>TEXT(Table1[[#This Row],[Date]],"DDDD")</f>
        <v>Wednesday</v>
      </c>
      <c r="D89" t="s">
        <v>27</v>
      </c>
      <c r="E89" t="s">
        <v>28</v>
      </c>
      <c r="F89" t="s">
        <v>29</v>
      </c>
      <c r="G89" t="s">
        <v>30</v>
      </c>
      <c r="H89" t="s">
        <v>71</v>
      </c>
      <c r="I89" t="s">
        <v>51</v>
      </c>
      <c r="J89" s="3">
        <v>250000</v>
      </c>
      <c r="K89">
        <v>8</v>
      </c>
      <c r="L89" t="s">
        <v>33</v>
      </c>
      <c r="M89" s="3">
        <v>200000</v>
      </c>
      <c r="N89" s="3">
        <f>Table1[[#This Row],[Unit Price]]*Table1[[#This Row],[Quantity]]</f>
        <v>2000000</v>
      </c>
      <c r="O89" s="3">
        <f>Table1[[#This Row],[Cost Price]]*Table1[[#This Row],[Quantity]]</f>
        <v>1600000</v>
      </c>
      <c r="P89" s="3">
        <f>Table1[[#This Row],[Revenue]]-Table1[[#This Row],[COGS]]</f>
        <v>400000</v>
      </c>
      <c r="Q89" s="1">
        <v>88</v>
      </c>
    </row>
    <row r="90" spans="1:17">
      <c r="A90" t="s">
        <v>116</v>
      </c>
      <c r="B90" t="str">
        <f>TEXT(Table1[[#This Row],[Date]],"MMMM")</f>
        <v>April</v>
      </c>
      <c r="C90" t="str">
        <f>TEXT(Table1[[#This Row],[Date]],"DDDD")</f>
        <v>Saturday</v>
      </c>
      <c r="D90" t="s">
        <v>44</v>
      </c>
      <c r="E90" t="s">
        <v>36</v>
      </c>
      <c r="F90" t="s">
        <v>41</v>
      </c>
      <c r="G90" t="s">
        <v>30</v>
      </c>
      <c r="H90" t="s">
        <v>50</v>
      </c>
      <c r="I90" t="s">
        <v>51</v>
      </c>
      <c r="J90" s="3">
        <v>300000</v>
      </c>
      <c r="K90">
        <v>4</v>
      </c>
      <c r="L90" t="s">
        <v>47</v>
      </c>
      <c r="M90" s="3">
        <v>240000</v>
      </c>
      <c r="N90" s="3">
        <f>Table1[[#This Row],[Unit Price]]*Table1[[#This Row],[Quantity]]</f>
        <v>1200000</v>
      </c>
      <c r="O90" s="3">
        <f>Table1[[#This Row],[Cost Price]]*Table1[[#This Row],[Quantity]]</f>
        <v>960000</v>
      </c>
      <c r="P90" s="3">
        <f>Table1[[#This Row],[Revenue]]-Table1[[#This Row],[COGS]]</f>
        <v>240000</v>
      </c>
      <c r="Q90" s="1">
        <v>89</v>
      </c>
    </row>
    <row r="91" spans="1:17">
      <c r="A91" t="s">
        <v>76</v>
      </c>
      <c r="B91" t="str">
        <f>TEXT(Table1[[#This Row],[Date]],"MMMM")</f>
        <v>May</v>
      </c>
      <c r="C91" t="str">
        <f>TEXT(Table1[[#This Row],[Date]],"DDDD")</f>
        <v>Thursday</v>
      </c>
      <c r="D91" t="s">
        <v>44</v>
      </c>
      <c r="E91" t="s">
        <v>45</v>
      </c>
      <c r="F91" t="s">
        <v>41</v>
      </c>
      <c r="G91" t="s">
        <v>37</v>
      </c>
      <c r="H91" t="s">
        <v>50</v>
      </c>
      <c r="I91" t="s">
        <v>51</v>
      </c>
      <c r="J91" s="3">
        <v>300000</v>
      </c>
      <c r="K91">
        <v>1</v>
      </c>
      <c r="L91" t="s">
        <v>47</v>
      </c>
      <c r="M91" s="3">
        <v>240000</v>
      </c>
      <c r="N91" s="3">
        <f>Table1[[#This Row],[Unit Price]]*Table1[[#This Row],[Quantity]]</f>
        <v>300000</v>
      </c>
      <c r="O91" s="3">
        <f>Table1[[#This Row],[Cost Price]]*Table1[[#This Row],[Quantity]]</f>
        <v>240000</v>
      </c>
      <c r="P91" s="3">
        <f>Table1[[#This Row],[Revenue]]-Table1[[#This Row],[COGS]]</f>
        <v>60000</v>
      </c>
      <c r="Q91" s="1">
        <v>90</v>
      </c>
    </row>
    <row r="92" spans="1:17">
      <c r="A92" t="s">
        <v>48</v>
      </c>
      <c r="B92" t="str">
        <f>TEXT(Table1[[#This Row],[Date]],"MMMM")</f>
        <v>April</v>
      </c>
      <c r="C92" t="str">
        <f>TEXT(Table1[[#This Row],[Date]],"DDDD")</f>
        <v>Sunday</v>
      </c>
      <c r="D92" t="s">
        <v>35</v>
      </c>
      <c r="E92" t="s">
        <v>53</v>
      </c>
      <c r="F92" t="s">
        <v>29</v>
      </c>
      <c r="G92" t="s">
        <v>30</v>
      </c>
      <c r="H92" t="s">
        <v>71</v>
      </c>
      <c r="I92" t="s">
        <v>51</v>
      </c>
      <c r="J92" s="3">
        <v>250000</v>
      </c>
      <c r="K92">
        <v>8</v>
      </c>
      <c r="L92" t="s">
        <v>47</v>
      </c>
      <c r="M92" s="3">
        <v>200000</v>
      </c>
      <c r="N92" s="3">
        <f>Table1[[#This Row],[Unit Price]]*Table1[[#This Row],[Quantity]]</f>
        <v>2000000</v>
      </c>
      <c r="O92" s="3">
        <f>Table1[[#This Row],[Cost Price]]*Table1[[#This Row],[Quantity]]</f>
        <v>1600000</v>
      </c>
      <c r="P92" s="3">
        <f>Table1[[#This Row],[Revenue]]-Table1[[#This Row],[COGS]]</f>
        <v>400000</v>
      </c>
      <c r="Q92" s="1">
        <v>91</v>
      </c>
    </row>
    <row r="93" spans="1:17">
      <c r="A93" t="s">
        <v>118</v>
      </c>
      <c r="B93" t="str">
        <f>TEXT(Table1[[#This Row],[Date]],"MMMM")</f>
        <v>March</v>
      </c>
      <c r="C93" t="str">
        <f>TEXT(Table1[[#This Row],[Date]],"DDDD")</f>
        <v>Tuesday</v>
      </c>
      <c r="D93" t="s">
        <v>27</v>
      </c>
      <c r="E93" t="s">
        <v>53</v>
      </c>
      <c r="F93" t="s">
        <v>41</v>
      </c>
      <c r="G93" t="s">
        <v>37</v>
      </c>
      <c r="H93" t="s">
        <v>54</v>
      </c>
      <c r="I93" t="s">
        <v>39</v>
      </c>
      <c r="J93" s="3">
        <v>180000</v>
      </c>
      <c r="K93">
        <v>2</v>
      </c>
      <c r="L93" t="s">
        <v>65</v>
      </c>
      <c r="M93" s="3">
        <v>144000</v>
      </c>
      <c r="N93" s="3">
        <f>Table1[[#This Row],[Unit Price]]*Table1[[#This Row],[Quantity]]</f>
        <v>360000</v>
      </c>
      <c r="O93" s="3">
        <f>Table1[[#This Row],[Cost Price]]*Table1[[#This Row],[Quantity]]</f>
        <v>288000</v>
      </c>
      <c r="P93" s="3">
        <f>Table1[[#This Row],[Revenue]]-Table1[[#This Row],[COGS]]</f>
        <v>72000</v>
      </c>
      <c r="Q93" s="1">
        <v>92</v>
      </c>
    </row>
    <row r="94" spans="1:17">
      <c r="A94" t="s">
        <v>88</v>
      </c>
      <c r="B94" t="str">
        <f>TEXT(Table1[[#This Row],[Date]],"MMMM")</f>
        <v>February</v>
      </c>
      <c r="C94" t="str">
        <f>TEXT(Table1[[#This Row],[Date]],"DDDD")</f>
        <v>Monday</v>
      </c>
      <c r="D94" t="s">
        <v>27</v>
      </c>
      <c r="E94" t="s">
        <v>53</v>
      </c>
      <c r="F94" t="s">
        <v>29</v>
      </c>
      <c r="G94" t="s">
        <v>37</v>
      </c>
      <c r="H94" t="s">
        <v>54</v>
      </c>
      <c r="I94" t="s">
        <v>39</v>
      </c>
      <c r="J94" s="3">
        <v>180000</v>
      </c>
      <c r="K94">
        <v>6</v>
      </c>
      <c r="L94" t="s">
        <v>47</v>
      </c>
      <c r="M94" s="3">
        <v>144000</v>
      </c>
      <c r="N94" s="3">
        <f>Table1[[#This Row],[Unit Price]]*Table1[[#This Row],[Quantity]]</f>
        <v>1080000</v>
      </c>
      <c r="O94" s="3">
        <f>Table1[[#This Row],[Cost Price]]*Table1[[#This Row],[Quantity]]</f>
        <v>864000</v>
      </c>
      <c r="P94" s="3">
        <f>Table1[[#This Row],[Revenue]]-Table1[[#This Row],[COGS]]</f>
        <v>216000</v>
      </c>
      <c r="Q94" s="1">
        <v>93</v>
      </c>
    </row>
    <row r="95" spans="1:17">
      <c r="A95" t="s">
        <v>119</v>
      </c>
      <c r="B95" t="str">
        <f>TEXT(Table1[[#This Row],[Date]],"MMMM")</f>
        <v>February</v>
      </c>
      <c r="C95" t="str">
        <f>TEXT(Table1[[#This Row],[Date]],"DDDD")</f>
        <v>Sunday</v>
      </c>
      <c r="D95" t="s">
        <v>49</v>
      </c>
      <c r="E95" t="s">
        <v>36</v>
      </c>
      <c r="F95" t="s">
        <v>41</v>
      </c>
      <c r="G95" t="s">
        <v>30</v>
      </c>
      <c r="H95" t="s">
        <v>50</v>
      </c>
      <c r="I95" t="s">
        <v>51</v>
      </c>
      <c r="J95" s="3">
        <v>300000</v>
      </c>
      <c r="K95">
        <v>2</v>
      </c>
      <c r="L95" t="s">
        <v>47</v>
      </c>
      <c r="M95" s="3">
        <v>240000</v>
      </c>
      <c r="N95" s="3">
        <f>Table1[[#This Row],[Unit Price]]*Table1[[#This Row],[Quantity]]</f>
        <v>600000</v>
      </c>
      <c r="O95" s="3">
        <f>Table1[[#This Row],[Cost Price]]*Table1[[#This Row],[Quantity]]</f>
        <v>480000</v>
      </c>
      <c r="P95" s="3">
        <f>Table1[[#This Row],[Revenue]]-Table1[[#This Row],[COGS]]</f>
        <v>120000</v>
      </c>
      <c r="Q95" s="1">
        <v>94</v>
      </c>
    </row>
    <row r="96" spans="1:17">
      <c r="A96" t="s">
        <v>34</v>
      </c>
      <c r="B96" t="str">
        <f>TEXT(Table1[[#This Row],[Date]],"MMMM")</f>
        <v>April</v>
      </c>
      <c r="C96" t="str">
        <f>TEXT(Table1[[#This Row],[Date]],"DDDD")</f>
        <v>Tuesday</v>
      </c>
      <c r="D96" t="s">
        <v>35</v>
      </c>
      <c r="E96" t="s">
        <v>28</v>
      </c>
      <c r="F96" t="s">
        <v>41</v>
      </c>
      <c r="G96" t="s">
        <v>37</v>
      </c>
      <c r="H96" t="s">
        <v>62</v>
      </c>
      <c r="I96" t="s">
        <v>51</v>
      </c>
      <c r="J96" s="3">
        <v>150000</v>
      </c>
      <c r="K96">
        <v>6</v>
      </c>
      <c r="L96" t="s">
        <v>33</v>
      </c>
      <c r="M96" s="3">
        <v>120000</v>
      </c>
      <c r="N96" s="3">
        <f>Table1[[#This Row],[Unit Price]]*Table1[[#This Row],[Quantity]]</f>
        <v>900000</v>
      </c>
      <c r="O96" s="3">
        <f>Table1[[#This Row],[Cost Price]]*Table1[[#This Row],[Quantity]]</f>
        <v>720000</v>
      </c>
      <c r="P96" s="3">
        <f>Table1[[#This Row],[Revenue]]-Table1[[#This Row],[COGS]]</f>
        <v>180000</v>
      </c>
      <c r="Q96" s="1">
        <v>95</v>
      </c>
    </row>
    <row r="97" spans="1:17">
      <c r="A97" t="s">
        <v>120</v>
      </c>
      <c r="B97" t="str">
        <f>TEXT(Table1[[#This Row],[Date]],"MMMM")</f>
        <v>March</v>
      </c>
      <c r="C97" t="str">
        <f>TEXT(Table1[[#This Row],[Date]],"DDDD")</f>
        <v>Thursday</v>
      </c>
      <c r="D97" t="s">
        <v>44</v>
      </c>
      <c r="E97" t="s">
        <v>36</v>
      </c>
      <c r="F97" t="s">
        <v>41</v>
      </c>
      <c r="G97" t="s">
        <v>37</v>
      </c>
      <c r="H97" t="s">
        <v>67</v>
      </c>
      <c r="I97" t="s">
        <v>51</v>
      </c>
      <c r="J97" s="3">
        <v>420000</v>
      </c>
      <c r="K97">
        <v>10</v>
      </c>
      <c r="L97" t="s">
        <v>33</v>
      </c>
      <c r="M97" s="3">
        <v>336000</v>
      </c>
      <c r="N97" s="3">
        <f>Table1[[#This Row],[Unit Price]]*Table1[[#This Row],[Quantity]]</f>
        <v>4200000</v>
      </c>
      <c r="O97" s="3">
        <f>Table1[[#This Row],[Cost Price]]*Table1[[#This Row],[Quantity]]</f>
        <v>3360000</v>
      </c>
      <c r="P97" s="3">
        <f>Table1[[#This Row],[Revenue]]-Table1[[#This Row],[COGS]]</f>
        <v>840000</v>
      </c>
      <c r="Q97" s="1">
        <v>96</v>
      </c>
    </row>
    <row r="98" spans="1:17">
      <c r="A98" t="s">
        <v>121</v>
      </c>
      <c r="B98" t="str">
        <f>TEXT(Table1[[#This Row],[Date]],"MMMM")</f>
        <v>April</v>
      </c>
      <c r="C98" t="str">
        <f>TEXT(Table1[[#This Row],[Date]],"DDDD")</f>
        <v>Wednesday</v>
      </c>
      <c r="D98" t="s">
        <v>35</v>
      </c>
      <c r="E98" t="s">
        <v>45</v>
      </c>
      <c r="F98" t="s">
        <v>29</v>
      </c>
      <c r="G98" t="s">
        <v>30</v>
      </c>
      <c r="H98" t="s">
        <v>67</v>
      </c>
      <c r="I98" t="s">
        <v>51</v>
      </c>
      <c r="J98" s="3">
        <v>420000</v>
      </c>
      <c r="K98">
        <v>8</v>
      </c>
      <c r="L98" t="s">
        <v>47</v>
      </c>
      <c r="M98" s="3">
        <v>336000</v>
      </c>
      <c r="N98" s="3">
        <f>Table1[[#This Row],[Unit Price]]*Table1[[#This Row],[Quantity]]</f>
        <v>3360000</v>
      </c>
      <c r="O98" s="3">
        <f>Table1[[#This Row],[Cost Price]]*Table1[[#This Row],[Quantity]]</f>
        <v>2688000</v>
      </c>
      <c r="P98" s="3">
        <f>Table1[[#This Row],[Revenue]]-Table1[[#This Row],[COGS]]</f>
        <v>672000</v>
      </c>
      <c r="Q98" s="1">
        <v>97</v>
      </c>
    </row>
    <row r="99" spans="1:17">
      <c r="A99" t="s">
        <v>63</v>
      </c>
      <c r="B99" t="str">
        <f>TEXT(Table1[[#This Row],[Date]],"MMMM")</f>
        <v>January</v>
      </c>
      <c r="C99" t="str">
        <f>TEXT(Table1[[#This Row],[Date]],"DDDD")</f>
        <v>Monday</v>
      </c>
      <c r="D99" t="s">
        <v>44</v>
      </c>
      <c r="E99" t="s">
        <v>36</v>
      </c>
      <c r="F99" t="s">
        <v>29</v>
      </c>
      <c r="G99" t="s">
        <v>37</v>
      </c>
      <c r="H99" t="s">
        <v>54</v>
      </c>
      <c r="I99" t="s">
        <v>39</v>
      </c>
      <c r="J99" s="3">
        <v>180000</v>
      </c>
      <c r="K99">
        <v>8</v>
      </c>
      <c r="L99" t="s">
        <v>33</v>
      </c>
      <c r="M99" s="3">
        <v>144000</v>
      </c>
      <c r="N99" s="3">
        <f>Table1[[#This Row],[Unit Price]]*Table1[[#This Row],[Quantity]]</f>
        <v>1440000</v>
      </c>
      <c r="O99" s="3">
        <f>Table1[[#This Row],[Cost Price]]*Table1[[#This Row],[Quantity]]</f>
        <v>1152000</v>
      </c>
      <c r="P99" s="3">
        <f>Table1[[#This Row],[Revenue]]-Table1[[#This Row],[COGS]]</f>
        <v>288000</v>
      </c>
      <c r="Q99" s="1">
        <v>98</v>
      </c>
    </row>
    <row r="100" spans="1:17">
      <c r="A100" t="s">
        <v>94</v>
      </c>
      <c r="B100" t="str">
        <f>TEXT(Table1[[#This Row],[Date]],"MMMM")</f>
        <v>January</v>
      </c>
      <c r="C100" t="str">
        <f>TEXT(Table1[[#This Row],[Date]],"DDDD")</f>
        <v>Friday</v>
      </c>
      <c r="D100" t="s">
        <v>44</v>
      </c>
      <c r="E100" t="s">
        <v>45</v>
      </c>
      <c r="F100" t="s">
        <v>29</v>
      </c>
      <c r="G100" t="s">
        <v>37</v>
      </c>
      <c r="H100" t="s">
        <v>50</v>
      </c>
      <c r="I100" t="s">
        <v>51</v>
      </c>
      <c r="J100" s="3">
        <v>300000</v>
      </c>
      <c r="K100">
        <v>4</v>
      </c>
      <c r="L100" t="s">
        <v>65</v>
      </c>
      <c r="M100" s="3">
        <v>240000</v>
      </c>
      <c r="N100" s="3">
        <f>Table1[[#This Row],[Unit Price]]*Table1[[#This Row],[Quantity]]</f>
        <v>1200000</v>
      </c>
      <c r="O100" s="3">
        <f>Table1[[#This Row],[Cost Price]]*Table1[[#This Row],[Quantity]]</f>
        <v>960000</v>
      </c>
      <c r="P100" s="3">
        <f>Table1[[#This Row],[Revenue]]-Table1[[#This Row],[COGS]]</f>
        <v>240000</v>
      </c>
      <c r="Q100" s="1">
        <v>99</v>
      </c>
    </row>
    <row r="101" spans="1:17">
      <c r="A101" t="s">
        <v>117</v>
      </c>
      <c r="B101" t="str">
        <f>TEXT(Table1[[#This Row],[Date]],"MMMM")</f>
        <v>January</v>
      </c>
      <c r="C101" t="str">
        <f>TEXT(Table1[[#This Row],[Date]],"DDDD")</f>
        <v>Wednesday</v>
      </c>
      <c r="D101" t="s">
        <v>44</v>
      </c>
      <c r="E101" t="s">
        <v>45</v>
      </c>
      <c r="F101" t="s">
        <v>29</v>
      </c>
      <c r="G101" t="s">
        <v>37</v>
      </c>
      <c r="H101" t="s">
        <v>67</v>
      </c>
      <c r="I101" t="s">
        <v>51</v>
      </c>
      <c r="J101" s="3">
        <v>420000</v>
      </c>
      <c r="K101">
        <v>1</v>
      </c>
      <c r="L101" t="s">
        <v>58</v>
      </c>
      <c r="M101" s="3">
        <v>336000</v>
      </c>
      <c r="N101" s="3">
        <f>Table1[[#This Row],[Unit Price]]*Table1[[#This Row],[Quantity]]</f>
        <v>420000</v>
      </c>
      <c r="O101" s="3">
        <f>Table1[[#This Row],[Cost Price]]*Table1[[#This Row],[Quantity]]</f>
        <v>336000</v>
      </c>
      <c r="P101" s="3">
        <f>Table1[[#This Row],[Revenue]]-Table1[[#This Row],[COGS]]</f>
        <v>84000</v>
      </c>
      <c r="Q101" s="1">
        <v>100</v>
      </c>
    </row>
    <row r="102" spans="1:17">
      <c r="A102" t="s">
        <v>122</v>
      </c>
      <c r="B102" t="str">
        <f>TEXT(Table1[[#This Row],[Date]],"MMMM")</f>
        <v>March</v>
      </c>
      <c r="C102" t="str">
        <f>TEXT(Table1[[#This Row],[Date]],"DDDD")</f>
        <v>Thursday</v>
      </c>
      <c r="D102" t="s">
        <v>27</v>
      </c>
      <c r="E102" t="s">
        <v>45</v>
      </c>
      <c r="F102" t="s">
        <v>41</v>
      </c>
      <c r="G102" t="s">
        <v>30</v>
      </c>
      <c r="H102" t="s">
        <v>38</v>
      </c>
      <c r="I102" t="s">
        <v>39</v>
      </c>
      <c r="J102" s="3">
        <v>30000</v>
      </c>
      <c r="K102">
        <v>7</v>
      </c>
      <c r="L102" t="s">
        <v>47</v>
      </c>
      <c r="M102" s="3">
        <v>24000</v>
      </c>
      <c r="N102" s="3">
        <f>Table1[[#This Row],[Unit Price]]*Table1[[#This Row],[Quantity]]</f>
        <v>210000</v>
      </c>
      <c r="O102" s="3">
        <f>Table1[[#This Row],[Cost Price]]*Table1[[#This Row],[Quantity]]</f>
        <v>168000</v>
      </c>
      <c r="P102" s="3">
        <f>Table1[[#This Row],[Revenue]]-Table1[[#This Row],[COGS]]</f>
        <v>42000</v>
      </c>
      <c r="Q102" s="1">
        <v>101</v>
      </c>
    </row>
    <row r="103" spans="1:17">
      <c r="A103" t="s">
        <v>79</v>
      </c>
      <c r="B103" t="str">
        <f>TEXT(Table1[[#This Row],[Date]],"MMMM")</f>
        <v>February</v>
      </c>
      <c r="C103" t="str">
        <f>TEXT(Table1[[#This Row],[Date]],"DDDD")</f>
        <v>Wednesday</v>
      </c>
      <c r="D103" t="s">
        <v>44</v>
      </c>
      <c r="E103" t="s">
        <v>28</v>
      </c>
      <c r="F103" t="s">
        <v>29</v>
      </c>
      <c r="G103" t="s">
        <v>30</v>
      </c>
      <c r="H103" t="s">
        <v>67</v>
      </c>
      <c r="I103" t="s">
        <v>51</v>
      </c>
      <c r="J103" s="3">
        <v>420000</v>
      </c>
      <c r="K103">
        <v>3</v>
      </c>
      <c r="L103" t="s">
        <v>47</v>
      </c>
      <c r="M103" s="3">
        <v>336000</v>
      </c>
      <c r="N103" s="3">
        <f>Table1[[#This Row],[Unit Price]]*Table1[[#This Row],[Quantity]]</f>
        <v>1260000</v>
      </c>
      <c r="O103" s="3">
        <f>Table1[[#This Row],[Cost Price]]*Table1[[#This Row],[Quantity]]</f>
        <v>1008000</v>
      </c>
      <c r="P103" s="3">
        <f>Table1[[#This Row],[Revenue]]-Table1[[#This Row],[COGS]]</f>
        <v>252000</v>
      </c>
      <c r="Q103" s="1">
        <v>102</v>
      </c>
    </row>
    <row r="104" spans="1:17">
      <c r="A104" t="s">
        <v>123</v>
      </c>
      <c r="B104" t="str">
        <f>TEXT(Table1[[#This Row],[Date]],"MMMM")</f>
        <v>April</v>
      </c>
      <c r="C104" t="str">
        <f>TEXT(Table1[[#This Row],[Date]],"DDDD")</f>
        <v>Monday</v>
      </c>
      <c r="D104" t="s">
        <v>44</v>
      </c>
      <c r="E104" t="s">
        <v>28</v>
      </c>
      <c r="F104" t="s">
        <v>29</v>
      </c>
      <c r="G104" t="s">
        <v>37</v>
      </c>
      <c r="H104" t="s">
        <v>46</v>
      </c>
      <c r="I104" t="s">
        <v>39</v>
      </c>
      <c r="J104" s="3">
        <v>60000</v>
      </c>
      <c r="K104">
        <v>5</v>
      </c>
      <c r="L104" t="s">
        <v>69</v>
      </c>
      <c r="M104" s="3">
        <v>48000</v>
      </c>
      <c r="N104" s="3">
        <f>Table1[[#This Row],[Unit Price]]*Table1[[#This Row],[Quantity]]</f>
        <v>300000</v>
      </c>
      <c r="O104" s="3">
        <f>Table1[[#This Row],[Cost Price]]*Table1[[#This Row],[Quantity]]</f>
        <v>240000</v>
      </c>
      <c r="P104" s="3">
        <f>Table1[[#This Row],[Revenue]]-Table1[[#This Row],[COGS]]</f>
        <v>60000</v>
      </c>
      <c r="Q104" s="1">
        <v>103</v>
      </c>
    </row>
    <row r="105" spans="1:17">
      <c r="A105" t="s">
        <v>113</v>
      </c>
      <c r="B105" t="str">
        <f>TEXT(Table1[[#This Row],[Date]],"MMMM")</f>
        <v>April</v>
      </c>
      <c r="C105" t="str">
        <f>TEXT(Table1[[#This Row],[Date]],"DDDD")</f>
        <v>Monday</v>
      </c>
      <c r="D105" t="s">
        <v>27</v>
      </c>
      <c r="E105" t="s">
        <v>53</v>
      </c>
      <c r="F105" t="s">
        <v>41</v>
      </c>
      <c r="G105" t="s">
        <v>30</v>
      </c>
      <c r="H105" t="s">
        <v>50</v>
      </c>
      <c r="I105" t="s">
        <v>51</v>
      </c>
      <c r="J105" s="3">
        <v>300000</v>
      </c>
      <c r="K105">
        <v>9</v>
      </c>
      <c r="L105" t="s">
        <v>69</v>
      </c>
      <c r="M105" s="3">
        <v>240000</v>
      </c>
      <c r="N105" s="3">
        <f>Table1[[#This Row],[Unit Price]]*Table1[[#This Row],[Quantity]]</f>
        <v>2700000</v>
      </c>
      <c r="O105" s="3">
        <f>Table1[[#This Row],[Cost Price]]*Table1[[#This Row],[Quantity]]</f>
        <v>2160000</v>
      </c>
      <c r="P105" s="3">
        <f>Table1[[#This Row],[Revenue]]-Table1[[#This Row],[COGS]]</f>
        <v>540000</v>
      </c>
      <c r="Q105" s="1">
        <v>104</v>
      </c>
    </row>
    <row r="106" spans="1:17">
      <c r="A106" t="s">
        <v>64</v>
      </c>
      <c r="B106" t="str">
        <f>TEXT(Table1[[#This Row],[Date]],"MMMM")</f>
        <v>April</v>
      </c>
      <c r="C106" t="str">
        <f>TEXT(Table1[[#This Row],[Date]],"DDDD")</f>
        <v>Saturday</v>
      </c>
      <c r="D106" t="s">
        <v>35</v>
      </c>
      <c r="E106" t="s">
        <v>45</v>
      </c>
      <c r="F106" t="s">
        <v>29</v>
      </c>
      <c r="G106" t="s">
        <v>37</v>
      </c>
      <c r="H106" t="s">
        <v>56</v>
      </c>
      <c r="I106" t="s">
        <v>32</v>
      </c>
      <c r="J106" s="3">
        <v>320000</v>
      </c>
      <c r="K106">
        <v>4</v>
      </c>
      <c r="L106" t="s">
        <v>58</v>
      </c>
      <c r="M106" s="3">
        <v>256000</v>
      </c>
      <c r="N106" s="3">
        <f>Table1[[#This Row],[Unit Price]]*Table1[[#This Row],[Quantity]]</f>
        <v>1280000</v>
      </c>
      <c r="O106" s="3">
        <f>Table1[[#This Row],[Cost Price]]*Table1[[#This Row],[Quantity]]</f>
        <v>1024000</v>
      </c>
      <c r="P106" s="3">
        <f>Table1[[#This Row],[Revenue]]-Table1[[#This Row],[COGS]]</f>
        <v>256000</v>
      </c>
      <c r="Q106" s="1">
        <v>105</v>
      </c>
    </row>
    <row r="107" spans="1:17">
      <c r="A107" t="s">
        <v>92</v>
      </c>
      <c r="B107" t="str">
        <f>TEXT(Table1[[#This Row],[Date]],"MMMM")</f>
        <v>January</v>
      </c>
      <c r="C107" t="str">
        <f>TEXT(Table1[[#This Row],[Date]],"DDDD")</f>
        <v>Tuesday</v>
      </c>
      <c r="D107" t="s">
        <v>49</v>
      </c>
      <c r="E107" t="s">
        <v>36</v>
      </c>
      <c r="F107" t="s">
        <v>29</v>
      </c>
      <c r="G107" t="s">
        <v>37</v>
      </c>
      <c r="H107" t="s">
        <v>54</v>
      </c>
      <c r="I107" t="s">
        <v>39</v>
      </c>
      <c r="J107" s="3">
        <v>180000</v>
      </c>
      <c r="K107">
        <v>2</v>
      </c>
      <c r="L107" t="s">
        <v>69</v>
      </c>
      <c r="M107" s="3">
        <v>144000</v>
      </c>
      <c r="N107" s="3">
        <f>Table1[[#This Row],[Unit Price]]*Table1[[#This Row],[Quantity]]</f>
        <v>360000</v>
      </c>
      <c r="O107" s="3">
        <f>Table1[[#This Row],[Cost Price]]*Table1[[#This Row],[Quantity]]</f>
        <v>288000</v>
      </c>
      <c r="P107" s="3">
        <f>Table1[[#This Row],[Revenue]]-Table1[[#This Row],[COGS]]</f>
        <v>72000</v>
      </c>
      <c r="Q107" s="1">
        <v>106</v>
      </c>
    </row>
    <row r="108" spans="1:17">
      <c r="A108" t="s">
        <v>124</v>
      </c>
      <c r="B108" t="str">
        <f>TEXT(Table1[[#This Row],[Date]],"MMMM")</f>
        <v>February</v>
      </c>
      <c r="C108" t="str">
        <f>TEXT(Table1[[#This Row],[Date]],"DDDD")</f>
        <v>Monday</v>
      </c>
      <c r="D108" t="s">
        <v>35</v>
      </c>
      <c r="E108" t="s">
        <v>36</v>
      </c>
      <c r="F108" t="s">
        <v>29</v>
      </c>
      <c r="G108" t="s">
        <v>30</v>
      </c>
      <c r="H108" t="s">
        <v>31</v>
      </c>
      <c r="I108" t="s">
        <v>32</v>
      </c>
      <c r="J108" s="3">
        <v>85000</v>
      </c>
      <c r="K108">
        <v>1</v>
      </c>
      <c r="L108" t="s">
        <v>58</v>
      </c>
      <c r="M108" s="3">
        <v>68000</v>
      </c>
      <c r="N108" s="3">
        <f>Table1[[#This Row],[Unit Price]]*Table1[[#This Row],[Quantity]]</f>
        <v>85000</v>
      </c>
      <c r="O108" s="3">
        <f>Table1[[#This Row],[Cost Price]]*Table1[[#This Row],[Quantity]]</f>
        <v>68000</v>
      </c>
      <c r="P108" s="3">
        <f>Table1[[#This Row],[Revenue]]-Table1[[#This Row],[COGS]]</f>
        <v>17000</v>
      </c>
      <c r="Q108" s="1">
        <v>107</v>
      </c>
    </row>
    <row r="109" spans="1:17">
      <c r="A109" t="s">
        <v>125</v>
      </c>
      <c r="B109" t="str">
        <f>TEXT(Table1[[#This Row],[Date]],"MMMM")</f>
        <v>February</v>
      </c>
      <c r="C109" t="str">
        <f>TEXT(Table1[[#This Row],[Date]],"DDDD")</f>
        <v>Tuesday</v>
      </c>
      <c r="D109" t="s">
        <v>49</v>
      </c>
      <c r="E109" t="s">
        <v>45</v>
      </c>
      <c r="F109" t="s">
        <v>41</v>
      </c>
      <c r="G109" t="s">
        <v>37</v>
      </c>
      <c r="H109" t="s">
        <v>56</v>
      </c>
      <c r="I109" t="s">
        <v>32</v>
      </c>
      <c r="J109" s="3">
        <v>320000</v>
      </c>
      <c r="K109">
        <v>7</v>
      </c>
      <c r="L109" t="s">
        <v>58</v>
      </c>
      <c r="M109" s="3">
        <v>256000</v>
      </c>
      <c r="N109" s="3">
        <f>Table1[[#This Row],[Unit Price]]*Table1[[#This Row],[Quantity]]</f>
        <v>2240000</v>
      </c>
      <c r="O109" s="3">
        <f>Table1[[#This Row],[Cost Price]]*Table1[[#This Row],[Quantity]]</f>
        <v>1792000</v>
      </c>
      <c r="P109" s="3">
        <f>Table1[[#This Row],[Revenue]]-Table1[[#This Row],[COGS]]</f>
        <v>448000</v>
      </c>
      <c r="Q109" s="1">
        <v>108</v>
      </c>
    </row>
    <row r="110" spans="1:17">
      <c r="A110" t="s">
        <v>95</v>
      </c>
      <c r="B110" t="str">
        <f>TEXT(Table1[[#This Row],[Date]],"MMMM")</f>
        <v>February</v>
      </c>
      <c r="C110" t="str">
        <f>TEXT(Table1[[#This Row],[Date]],"DDDD")</f>
        <v>Saturday</v>
      </c>
      <c r="D110" t="s">
        <v>35</v>
      </c>
      <c r="E110" t="s">
        <v>53</v>
      </c>
      <c r="F110" t="s">
        <v>41</v>
      </c>
      <c r="G110" t="s">
        <v>30</v>
      </c>
      <c r="H110" t="s">
        <v>46</v>
      </c>
      <c r="I110" t="s">
        <v>39</v>
      </c>
      <c r="J110" s="3">
        <v>60000</v>
      </c>
      <c r="K110">
        <v>9</v>
      </c>
      <c r="L110" t="s">
        <v>33</v>
      </c>
      <c r="M110" s="3">
        <v>48000</v>
      </c>
      <c r="N110" s="3">
        <f>Table1[[#This Row],[Unit Price]]*Table1[[#This Row],[Quantity]]</f>
        <v>540000</v>
      </c>
      <c r="O110" s="3">
        <f>Table1[[#This Row],[Cost Price]]*Table1[[#This Row],[Quantity]]</f>
        <v>432000</v>
      </c>
      <c r="P110" s="3">
        <f>Table1[[#This Row],[Revenue]]-Table1[[#This Row],[COGS]]</f>
        <v>108000</v>
      </c>
      <c r="Q110" s="1">
        <v>109</v>
      </c>
    </row>
    <row r="111" spans="1:17">
      <c r="A111" t="s">
        <v>94</v>
      </c>
      <c r="B111" t="str">
        <f>TEXT(Table1[[#This Row],[Date]],"MMMM")</f>
        <v>January</v>
      </c>
      <c r="C111" t="str">
        <f>TEXT(Table1[[#This Row],[Date]],"DDDD")</f>
        <v>Friday</v>
      </c>
      <c r="D111" t="s">
        <v>49</v>
      </c>
      <c r="E111" t="s">
        <v>53</v>
      </c>
      <c r="F111" t="s">
        <v>41</v>
      </c>
      <c r="G111" t="s">
        <v>37</v>
      </c>
      <c r="H111" t="s">
        <v>31</v>
      </c>
      <c r="I111" t="s">
        <v>32</v>
      </c>
      <c r="J111" s="3">
        <v>85000</v>
      </c>
      <c r="K111">
        <v>1</v>
      </c>
      <c r="L111" t="s">
        <v>42</v>
      </c>
      <c r="M111" s="3">
        <v>68000</v>
      </c>
      <c r="N111" s="3">
        <f>Table1[[#This Row],[Unit Price]]*Table1[[#This Row],[Quantity]]</f>
        <v>85000</v>
      </c>
      <c r="O111" s="3">
        <f>Table1[[#This Row],[Cost Price]]*Table1[[#This Row],[Quantity]]</f>
        <v>68000</v>
      </c>
      <c r="P111" s="3">
        <f>Table1[[#This Row],[Revenue]]-Table1[[#This Row],[COGS]]</f>
        <v>17000</v>
      </c>
      <c r="Q111" s="1">
        <v>110</v>
      </c>
    </row>
    <row r="112" spans="1:17">
      <c r="A112" t="s">
        <v>60</v>
      </c>
      <c r="B112" t="str">
        <f>TEXT(Table1[[#This Row],[Date]],"MMMM")</f>
        <v>March</v>
      </c>
      <c r="C112" t="str">
        <f>TEXT(Table1[[#This Row],[Date]],"DDDD")</f>
        <v>Wednesday</v>
      </c>
      <c r="D112" t="s">
        <v>35</v>
      </c>
      <c r="E112" t="s">
        <v>36</v>
      </c>
      <c r="F112" t="s">
        <v>29</v>
      </c>
      <c r="G112" t="s">
        <v>30</v>
      </c>
      <c r="H112" t="s">
        <v>50</v>
      </c>
      <c r="I112" t="s">
        <v>51</v>
      </c>
      <c r="J112" s="3">
        <v>300000</v>
      </c>
      <c r="K112">
        <v>6</v>
      </c>
      <c r="L112" t="s">
        <v>69</v>
      </c>
      <c r="M112" s="3">
        <v>240000</v>
      </c>
      <c r="N112" s="3">
        <f>Table1[[#This Row],[Unit Price]]*Table1[[#This Row],[Quantity]]</f>
        <v>1800000</v>
      </c>
      <c r="O112" s="3">
        <f>Table1[[#This Row],[Cost Price]]*Table1[[#This Row],[Quantity]]</f>
        <v>1440000</v>
      </c>
      <c r="P112" s="3">
        <f>Table1[[#This Row],[Revenue]]-Table1[[#This Row],[COGS]]</f>
        <v>360000</v>
      </c>
      <c r="Q112" s="1">
        <v>111</v>
      </c>
    </row>
    <row r="113" spans="1:17">
      <c r="A113" t="s">
        <v>98</v>
      </c>
      <c r="B113" t="str">
        <f>TEXT(Table1[[#This Row],[Date]],"MMMM")</f>
        <v>January</v>
      </c>
      <c r="C113" t="str">
        <f>TEXT(Table1[[#This Row],[Date]],"DDDD")</f>
        <v>Friday</v>
      </c>
      <c r="D113" t="s">
        <v>49</v>
      </c>
      <c r="E113" t="s">
        <v>36</v>
      </c>
      <c r="F113" t="s">
        <v>41</v>
      </c>
      <c r="G113" t="s">
        <v>30</v>
      </c>
      <c r="H113" t="s">
        <v>38</v>
      </c>
      <c r="I113" t="s">
        <v>39</v>
      </c>
      <c r="J113" s="3">
        <v>30000</v>
      </c>
      <c r="K113">
        <v>5</v>
      </c>
      <c r="L113" t="s">
        <v>33</v>
      </c>
      <c r="M113" s="3">
        <v>24000</v>
      </c>
      <c r="N113" s="3">
        <f>Table1[[#This Row],[Unit Price]]*Table1[[#This Row],[Quantity]]</f>
        <v>150000</v>
      </c>
      <c r="O113" s="3">
        <f>Table1[[#This Row],[Cost Price]]*Table1[[#This Row],[Quantity]]</f>
        <v>120000</v>
      </c>
      <c r="P113" s="3">
        <f>Table1[[#This Row],[Revenue]]-Table1[[#This Row],[COGS]]</f>
        <v>30000</v>
      </c>
      <c r="Q113" s="1">
        <v>112</v>
      </c>
    </row>
    <row r="114" spans="1:17">
      <c r="A114" t="s">
        <v>55</v>
      </c>
      <c r="B114" t="str">
        <f>TEXT(Table1[[#This Row],[Date]],"MMMM")</f>
        <v>March</v>
      </c>
      <c r="C114" t="str">
        <f>TEXT(Table1[[#This Row],[Date]],"DDDD")</f>
        <v>Sunday</v>
      </c>
      <c r="D114" t="s">
        <v>49</v>
      </c>
      <c r="E114" t="s">
        <v>28</v>
      </c>
      <c r="F114" t="s">
        <v>29</v>
      </c>
      <c r="G114" t="s">
        <v>37</v>
      </c>
      <c r="H114" t="s">
        <v>62</v>
      </c>
      <c r="I114" t="s">
        <v>51</v>
      </c>
      <c r="J114" s="3">
        <v>150000</v>
      </c>
      <c r="K114">
        <v>4</v>
      </c>
      <c r="L114" t="s">
        <v>65</v>
      </c>
      <c r="M114" s="3">
        <v>120000</v>
      </c>
      <c r="N114" s="3">
        <f>Table1[[#This Row],[Unit Price]]*Table1[[#This Row],[Quantity]]</f>
        <v>600000</v>
      </c>
      <c r="O114" s="3">
        <f>Table1[[#This Row],[Cost Price]]*Table1[[#This Row],[Quantity]]</f>
        <v>480000</v>
      </c>
      <c r="P114" s="3">
        <f>Table1[[#This Row],[Revenue]]-Table1[[#This Row],[COGS]]</f>
        <v>120000</v>
      </c>
      <c r="Q114" s="1">
        <v>113</v>
      </c>
    </row>
    <row r="115" spans="1:17">
      <c r="A115" t="s">
        <v>60</v>
      </c>
      <c r="B115" t="str">
        <f>TEXT(Table1[[#This Row],[Date]],"MMMM")</f>
        <v>March</v>
      </c>
      <c r="C115" t="str">
        <f>TEXT(Table1[[#This Row],[Date]],"DDDD")</f>
        <v>Wednesday</v>
      </c>
      <c r="D115" t="s">
        <v>44</v>
      </c>
      <c r="E115" t="s">
        <v>28</v>
      </c>
      <c r="F115" t="s">
        <v>41</v>
      </c>
      <c r="G115" t="s">
        <v>37</v>
      </c>
      <c r="H115" t="s">
        <v>62</v>
      </c>
      <c r="I115" t="s">
        <v>51</v>
      </c>
      <c r="J115" s="3">
        <v>150000</v>
      </c>
      <c r="K115">
        <v>6</v>
      </c>
      <c r="L115" t="s">
        <v>65</v>
      </c>
      <c r="M115" s="3">
        <v>120000</v>
      </c>
      <c r="N115" s="3">
        <f>Table1[[#This Row],[Unit Price]]*Table1[[#This Row],[Quantity]]</f>
        <v>900000</v>
      </c>
      <c r="O115" s="3">
        <f>Table1[[#This Row],[Cost Price]]*Table1[[#This Row],[Quantity]]</f>
        <v>720000</v>
      </c>
      <c r="P115" s="3">
        <f>Table1[[#This Row],[Revenue]]-Table1[[#This Row],[COGS]]</f>
        <v>180000</v>
      </c>
      <c r="Q115" s="1">
        <v>114</v>
      </c>
    </row>
    <row r="116" spans="1:17">
      <c r="A116" t="s">
        <v>116</v>
      </c>
      <c r="B116" t="str">
        <f>TEXT(Table1[[#This Row],[Date]],"MMMM")</f>
        <v>April</v>
      </c>
      <c r="C116" t="str">
        <f>TEXT(Table1[[#This Row],[Date]],"DDDD")</f>
        <v>Saturday</v>
      </c>
      <c r="D116" t="s">
        <v>49</v>
      </c>
      <c r="E116" t="s">
        <v>36</v>
      </c>
      <c r="F116" t="s">
        <v>41</v>
      </c>
      <c r="G116" t="s">
        <v>37</v>
      </c>
      <c r="H116" t="s">
        <v>62</v>
      </c>
      <c r="I116" t="s">
        <v>51</v>
      </c>
      <c r="J116" s="3">
        <v>150000</v>
      </c>
      <c r="K116">
        <v>8</v>
      </c>
      <c r="L116" t="s">
        <v>65</v>
      </c>
      <c r="M116" s="3">
        <v>120000</v>
      </c>
      <c r="N116" s="3">
        <f>Table1[[#This Row],[Unit Price]]*Table1[[#This Row],[Quantity]]</f>
        <v>1200000</v>
      </c>
      <c r="O116" s="3">
        <f>Table1[[#This Row],[Cost Price]]*Table1[[#This Row],[Quantity]]</f>
        <v>960000</v>
      </c>
      <c r="P116" s="3">
        <f>Table1[[#This Row],[Revenue]]-Table1[[#This Row],[COGS]]</f>
        <v>240000</v>
      </c>
      <c r="Q116" s="1">
        <v>115</v>
      </c>
    </row>
    <row r="117" spans="1:17">
      <c r="A117" t="s">
        <v>126</v>
      </c>
      <c r="B117" t="str">
        <f>TEXT(Table1[[#This Row],[Date]],"MMMM")</f>
        <v>January</v>
      </c>
      <c r="C117" t="str">
        <f>TEXT(Table1[[#This Row],[Date]],"DDDD")</f>
        <v>Thursday</v>
      </c>
      <c r="D117" t="s">
        <v>44</v>
      </c>
      <c r="E117" t="s">
        <v>36</v>
      </c>
      <c r="F117" t="s">
        <v>29</v>
      </c>
      <c r="G117" t="s">
        <v>37</v>
      </c>
      <c r="H117" t="s">
        <v>38</v>
      </c>
      <c r="I117" t="s">
        <v>39</v>
      </c>
      <c r="J117" s="3">
        <v>30000</v>
      </c>
      <c r="K117">
        <v>6</v>
      </c>
      <c r="L117" t="s">
        <v>33</v>
      </c>
      <c r="M117" s="3">
        <v>24000</v>
      </c>
      <c r="N117" s="3">
        <f>Table1[[#This Row],[Unit Price]]*Table1[[#This Row],[Quantity]]</f>
        <v>180000</v>
      </c>
      <c r="O117" s="3">
        <f>Table1[[#This Row],[Cost Price]]*Table1[[#This Row],[Quantity]]</f>
        <v>144000</v>
      </c>
      <c r="P117" s="3">
        <f>Table1[[#This Row],[Revenue]]-Table1[[#This Row],[COGS]]</f>
        <v>36000</v>
      </c>
      <c r="Q117" s="1">
        <v>116</v>
      </c>
    </row>
    <row r="118" spans="1:17">
      <c r="A118" t="s">
        <v>127</v>
      </c>
      <c r="B118" t="str">
        <f>TEXT(Table1[[#This Row],[Date]],"MMMM")</f>
        <v>January</v>
      </c>
      <c r="C118" t="str">
        <f>TEXT(Table1[[#This Row],[Date]],"DDDD")</f>
        <v>Tuesday</v>
      </c>
      <c r="D118" t="s">
        <v>27</v>
      </c>
      <c r="E118" t="s">
        <v>36</v>
      </c>
      <c r="F118" t="s">
        <v>29</v>
      </c>
      <c r="G118" t="s">
        <v>30</v>
      </c>
      <c r="H118" t="s">
        <v>71</v>
      </c>
      <c r="I118" t="s">
        <v>51</v>
      </c>
      <c r="J118" s="3">
        <v>250000</v>
      </c>
      <c r="K118">
        <v>3</v>
      </c>
      <c r="L118" t="s">
        <v>58</v>
      </c>
      <c r="M118" s="3">
        <v>200000</v>
      </c>
      <c r="N118" s="3">
        <f>Table1[[#This Row],[Unit Price]]*Table1[[#This Row],[Quantity]]</f>
        <v>750000</v>
      </c>
      <c r="O118" s="3">
        <f>Table1[[#This Row],[Cost Price]]*Table1[[#This Row],[Quantity]]</f>
        <v>600000</v>
      </c>
      <c r="P118" s="3">
        <f>Table1[[#This Row],[Revenue]]-Table1[[#This Row],[COGS]]</f>
        <v>150000</v>
      </c>
      <c r="Q118" s="1">
        <v>117</v>
      </c>
    </row>
    <row r="119" spans="1:17">
      <c r="A119" t="s">
        <v>128</v>
      </c>
      <c r="B119" t="str">
        <f>TEXT(Table1[[#This Row],[Date]],"MMMM")</f>
        <v>March</v>
      </c>
      <c r="C119" t="str">
        <f>TEXT(Table1[[#This Row],[Date]],"DDDD")</f>
        <v>Friday</v>
      </c>
      <c r="D119" t="s">
        <v>44</v>
      </c>
      <c r="E119" t="s">
        <v>36</v>
      </c>
      <c r="F119" t="s">
        <v>41</v>
      </c>
      <c r="G119" t="s">
        <v>30</v>
      </c>
      <c r="H119" t="s">
        <v>62</v>
      </c>
      <c r="I119" t="s">
        <v>51</v>
      </c>
      <c r="J119" s="3">
        <v>150000</v>
      </c>
      <c r="K119">
        <v>5</v>
      </c>
      <c r="L119" t="s">
        <v>33</v>
      </c>
      <c r="M119" s="3">
        <v>120000</v>
      </c>
      <c r="N119" s="3">
        <f>Table1[[#This Row],[Unit Price]]*Table1[[#This Row],[Quantity]]</f>
        <v>750000</v>
      </c>
      <c r="O119" s="3">
        <f>Table1[[#This Row],[Cost Price]]*Table1[[#This Row],[Quantity]]</f>
        <v>600000</v>
      </c>
      <c r="P119" s="3">
        <f>Table1[[#This Row],[Revenue]]-Table1[[#This Row],[COGS]]</f>
        <v>150000</v>
      </c>
      <c r="Q119" s="1">
        <v>118</v>
      </c>
    </row>
    <row r="120" spans="1:17">
      <c r="A120" t="s">
        <v>129</v>
      </c>
      <c r="B120" t="str">
        <f>TEXT(Table1[[#This Row],[Date]],"MMMM")</f>
        <v>March</v>
      </c>
      <c r="C120" t="str">
        <f>TEXT(Table1[[#This Row],[Date]],"DDDD")</f>
        <v>Tuesday</v>
      </c>
      <c r="D120" t="s">
        <v>27</v>
      </c>
      <c r="E120" t="s">
        <v>36</v>
      </c>
      <c r="F120" t="s">
        <v>29</v>
      </c>
      <c r="G120" t="s">
        <v>30</v>
      </c>
      <c r="H120" t="s">
        <v>73</v>
      </c>
      <c r="I120" t="s">
        <v>39</v>
      </c>
      <c r="J120" s="3">
        <v>220000</v>
      </c>
      <c r="K120">
        <v>1</v>
      </c>
      <c r="L120" t="s">
        <v>65</v>
      </c>
      <c r="M120" s="3">
        <v>176000</v>
      </c>
      <c r="N120" s="3">
        <f>Table1[[#This Row],[Unit Price]]*Table1[[#This Row],[Quantity]]</f>
        <v>220000</v>
      </c>
      <c r="O120" s="3">
        <f>Table1[[#This Row],[Cost Price]]*Table1[[#This Row],[Quantity]]</f>
        <v>176000</v>
      </c>
      <c r="P120" s="3">
        <f>Table1[[#This Row],[Revenue]]-Table1[[#This Row],[COGS]]</f>
        <v>44000</v>
      </c>
      <c r="Q120" s="1">
        <v>119</v>
      </c>
    </row>
    <row r="121" spans="1:17">
      <c r="A121" t="s">
        <v>130</v>
      </c>
      <c r="B121" t="str">
        <f>TEXT(Table1[[#This Row],[Date]],"MMMM")</f>
        <v>January</v>
      </c>
      <c r="C121" t="str">
        <f>TEXT(Table1[[#This Row],[Date]],"DDDD")</f>
        <v>Monday</v>
      </c>
      <c r="D121" t="s">
        <v>49</v>
      </c>
      <c r="E121" t="s">
        <v>36</v>
      </c>
      <c r="F121" t="s">
        <v>29</v>
      </c>
      <c r="G121" t="s">
        <v>37</v>
      </c>
      <c r="H121" t="s">
        <v>56</v>
      </c>
      <c r="I121" t="s">
        <v>32</v>
      </c>
      <c r="J121" s="3">
        <v>320000</v>
      </c>
      <c r="K121">
        <v>10</v>
      </c>
      <c r="L121" t="s">
        <v>58</v>
      </c>
      <c r="M121" s="3">
        <v>256000</v>
      </c>
      <c r="N121" s="3">
        <f>Table1[[#This Row],[Unit Price]]*Table1[[#This Row],[Quantity]]</f>
        <v>3200000</v>
      </c>
      <c r="O121" s="3">
        <f>Table1[[#This Row],[Cost Price]]*Table1[[#This Row],[Quantity]]</f>
        <v>2560000</v>
      </c>
      <c r="P121" s="3">
        <f>Table1[[#This Row],[Revenue]]-Table1[[#This Row],[COGS]]</f>
        <v>640000</v>
      </c>
      <c r="Q121" s="1">
        <v>120</v>
      </c>
    </row>
    <row r="122" spans="1:17">
      <c r="A122" t="s">
        <v>97</v>
      </c>
      <c r="B122" t="str">
        <f>TEXT(Table1[[#This Row],[Date]],"MMMM")</f>
        <v>January</v>
      </c>
      <c r="C122" t="str">
        <f>TEXT(Table1[[#This Row],[Date]],"DDDD")</f>
        <v>Sunday</v>
      </c>
      <c r="D122" t="s">
        <v>44</v>
      </c>
      <c r="E122" t="s">
        <v>28</v>
      </c>
      <c r="F122" t="s">
        <v>41</v>
      </c>
      <c r="G122" t="s">
        <v>37</v>
      </c>
      <c r="H122" t="s">
        <v>46</v>
      </c>
      <c r="I122" t="s">
        <v>39</v>
      </c>
      <c r="J122" s="3">
        <v>60000</v>
      </c>
      <c r="K122">
        <v>5</v>
      </c>
      <c r="L122" t="s">
        <v>42</v>
      </c>
      <c r="M122" s="3">
        <v>48000</v>
      </c>
      <c r="N122" s="3">
        <f>Table1[[#This Row],[Unit Price]]*Table1[[#This Row],[Quantity]]</f>
        <v>300000</v>
      </c>
      <c r="O122" s="3">
        <f>Table1[[#This Row],[Cost Price]]*Table1[[#This Row],[Quantity]]</f>
        <v>240000</v>
      </c>
      <c r="P122" s="3">
        <f>Table1[[#This Row],[Revenue]]-Table1[[#This Row],[COGS]]</f>
        <v>60000</v>
      </c>
      <c r="Q122" s="1">
        <v>121</v>
      </c>
    </row>
    <row r="123" spans="1:17">
      <c r="A123" t="s">
        <v>108</v>
      </c>
      <c r="B123" t="str">
        <f>TEXT(Table1[[#This Row],[Date]],"MMMM")</f>
        <v>April</v>
      </c>
      <c r="C123" t="str">
        <f>TEXT(Table1[[#This Row],[Date]],"DDDD")</f>
        <v>Thursday</v>
      </c>
      <c r="D123" t="s">
        <v>35</v>
      </c>
      <c r="E123" t="s">
        <v>53</v>
      </c>
      <c r="F123" t="s">
        <v>29</v>
      </c>
      <c r="G123" t="s">
        <v>37</v>
      </c>
      <c r="H123" t="s">
        <v>62</v>
      </c>
      <c r="I123" t="s">
        <v>51</v>
      </c>
      <c r="J123" s="3">
        <v>150000</v>
      </c>
      <c r="K123">
        <v>7</v>
      </c>
      <c r="L123" t="s">
        <v>69</v>
      </c>
      <c r="M123" s="3">
        <v>120000</v>
      </c>
      <c r="N123" s="3">
        <f>Table1[[#This Row],[Unit Price]]*Table1[[#This Row],[Quantity]]</f>
        <v>1050000</v>
      </c>
      <c r="O123" s="3">
        <f>Table1[[#This Row],[Cost Price]]*Table1[[#This Row],[Quantity]]</f>
        <v>840000</v>
      </c>
      <c r="P123" s="3">
        <f>Table1[[#This Row],[Revenue]]-Table1[[#This Row],[COGS]]</f>
        <v>210000</v>
      </c>
      <c r="Q123" s="1">
        <v>122</v>
      </c>
    </row>
    <row r="124" spans="1:17">
      <c r="A124" t="s">
        <v>48</v>
      </c>
      <c r="B124" t="str">
        <f>TEXT(Table1[[#This Row],[Date]],"MMMM")</f>
        <v>April</v>
      </c>
      <c r="C124" t="str">
        <f>TEXT(Table1[[#This Row],[Date]],"DDDD")</f>
        <v>Sunday</v>
      </c>
      <c r="D124" t="s">
        <v>49</v>
      </c>
      <c r="E124" t="s">
        <v>45</v>
      </c>
      <c r="F124" t="s">
        <v>29</v>
      </c>
      <c r="G124" t="s">
        <v>30</v>
      </c>
      <c r="H124" t="s">
        <v>46</v>
      </c>
      <c r="I124" t="s">
        <v>39</v>
      </c>
      <c r="J124" s="3">
        <v>60000</v>
      </c>
      <c r="K124">
        <v>7</v>
      </c>
      <c r="L124" t="s">
        <v>47</v>
      </c>
      <c r="M124" s="3">
        <v>48000</v>
      </c>
      <c r="N124" s="3">
        <f>Table1[[#This Row],[Unit Price]]*Table1[[#This Row],[Quantity]]</f>
        <v>420000</v>
      </c>
      <c r="O124" s="3">
        <f>Table1[[#This Row],[Cost Price]]*Table1[[#This Row],[Quantity]]</f>
        <v>336000</v>
      </c>
      <c r="P124" s="3">
        <f>Table1[[#This Row],[Revenue]]-Table1[[#This Row],[COGS]]</f>
        <v>84000</v>
      </c>
      <c r="Q124" s="1">
        <v>123</v>
      </c>
    </row>
    <row r="125" spans="1:17">
      <c r="A125" t="s">
        <v>74</v>
      </c>
      <c r="B125" t="str">
        <f>TEXT(Table1[[#This Row],[Date]],"MMMM")</f>
        <v>February</v>
      </c>
      <c r="C125" t="str">
        <f>TEXT(Table1[[#This Row],[Date]],"DDDD")</f>
        <v>Monday</v>
      </c>
      <c r="D125" t="s">
        <v>49</v>
      </c>
      <c r="E125" t="s">
        <v>28</v>
      </c>
      <c r="F125" t="s">
        <v>41</v>
      </c>
      <c r="G125" t="s">
        <v>37</v>
      </c>
      <c r="H125" t="s">
        <v>73</v>
      </c>
      <c r="I125" t="s">
        <v>39</v>
      </c>
      <c r="J125" s="3">
        <v>220000</v>
      </c>
      <c r="K125">
        <v>4</v>
      </c>
      <c r="L125" t="s">
        <v>58</v>
      </c>
      <c r="M125" s="3">
        <v>176000</v>
      </c>
      <c r="N125" s="3">
        <f>Table1[[#This Row],[Unit Price]]*Table1[[#This Row],[Quantity]]</f>
        <v>880000</v>
      </c>
      <c r="O125" s="3">
        <f>Table1[[#This Row],[Cost Price]]*Table1[[#This Row],[Quantity]]</f>
        <v>704000</v>
      </c>
      <c r="P125" s="3">
        <f>Table1[[#This Row],[Revenue]]-Table1[[#This Row],[COGS]]</f>
        <v>176000</v>
      </c>
      <c r="Q125" s="1">
        <v>124</v>
      </c>
    </row>
    <row r="126" spans="1:17">
      <c r="A126" t="s">
        <v>91</v>
      </c>
      <c r="B126" t="str">
        <f>TEXT(Table1[[#This Row],[Date]],"MMMM")</f>
        <v>February</v>
      </c>
      <c r="C126" t="str">
        <f>TEXT(Table1[[#This Row],[Date]],"DDDD")</f>
        <v>Friday</v>
      </c>
      <c r="D126" t="s">
        <v>35</v>
      </c>
      <c r="E126" t="s">
        <v>45</v>
      </c>
      <c r="F126" t="s">
        <v>41</v>
      </c>
      <c r="G126" t="s">
        <v>37</v>
      </c>
      <c r="H126" t="s">
        <v>71</v>
      </c>
      <c r="I126" t="s">
        <v>51</v>
      </c>
      <c r="J126" s="3">
        <v>250000</v>
      </c>
      <c r="K126">
        <v>6</v>
      </c>
      <c r="L126" t="s">
        <v>42</v>
      </c>
      <c r="M126" s="3">
        <v>200000</v>
      </c>
      <c r="N126" s="3">
        <f>Table1[[#This Row],[Unit Price]]*Table1[[#This Row],[Quantity]]</f>
        <v>1500000</v>
      </c>
      <c r="O126" s="3">
        <f>Table1[[#This Row],[Cost Price]]*Table1[[#This Row],[Quantity]]</f>
        <v>1200000</v>
      </c>
      <c r="P126" s="3">
        <f>Table1[[#This Row],[Revenue]]-Table1[[#This Row],[COGS]]</f>
        <v>300000</v>
      </c>
      <c r="Q126" s="1">
        <v>125</v>
      </c>
    </row>
    <row r="127" spans="1:17">
      <c r="A127" t="s">
        <v>104</v>
      </c>
      <c r="B127" t="str">
        <f>TEXT(Table1[[#This Row],[Date]],"MMMM")</f>
        <v>March</v>
      </c>
      <c r="C127" t="str">
        <f>TEXT(Table1[[#This Row],[Date]],"DDDD")</f>
        <v>Friday</v>
      </c>
      <c r="D127" t="s">
        <v>49</v>
      </c>
      <c r="E127" t="s">
        <v>28</v>
      </c>
      <c r="F127" t="s">
        <v>41</v>
      </c>
      <c r="G127" t="s">
        <v>30</v>
      </c>
      <c r="H127" t="s">
        <v>67</v>
      </c>
      <c r="I127" t="s">
        <v>51</v>
      </c>
      <c r="J127" s="3">
        <v>420000</v>
      </c>
      <c r="K127">
        <v>10</v>
      </c>
      <c r="L127" t="s">
        <v>33</v>
      </c>
      <c r="M127" s="3">
        <v>336000</v>
      </c>
      <c r="N127" s="3">
        <f>Table1[[#This Row],[Unit Price]]*Table1[[#This Row],[Quantity]]</f>
        <v>4200000</v>
      </c>
      <c r="O127" s="3">
        <f>Table1[[#This Row],[Cost Price]]*Table1[[#This Row],[Quantity]]</f>
        <v>3360000</v>
      </c>
      <c r="P127" s="3">
        <f>Table1[[#This Row],[Revenue]]-Table1[[#This Row],[COGS]]</f>
        <v>840000</v>
      </c>
      <c r="Q127" s="1">
        <v>126</v>
      </c>
    </row>
    <row r="128" spans="1:17">
      <c r="A128" t="s">
        <v>81</v>
      </c>
      <c r="B128" t="str">
        <f>TEXT(Table1[[#This Row],[Date]],"MMMM")</f>
        <v>March</v>
      </c>
      <c r="C128" t="str">
        <f>TEXT(Table1[[#This Row],[Date]],"DDDD")</f>
        <v>Sunday</v>
      </c>
      <c r="D128" t="s">
        <v>35</v>
      </c>
      <c r="E128" t="s">
        <v>28</v>
      </c>
      <c r="F128" t="s">
        <v>29</v>
      </c>
      <c r="G128" t="s">
        <v>30</v>
      </c>
      <c r="H128" t="s">
        <v>38</v>
      </c>
      <c r="I128" t="s">
        <v>39</v>
      </c>
      <c r="J128" s="3">
        <v>30000</v>
      </c>
      <c r="K128">
        <v>9</v>
      </c>
      <c r="L128" t="s">
        <v>69</v>
      </c>
      <c r="M128" s="3">
        <v>24000</v>
      </c>
      <c r="N128" s="3">
        <f>Table1[[#This Row],[Unit Price]]*Table1[[#This Row],[Quantity]]</f>
        <v>270000</v>
      </c>
      <c r="O128" s="3">
        <f>Table1[[#This Row],[Cost Price]]*Table1[[#This Row],[Quantity]]</f>
        <v>216000</v>
      </c>
      <c r="P128" s="3">
        <f>Table1[[#This Row],[Revenue]]-Table1[[#This Row],[COGS]]</f>
        <v>54000</v>
      </c>
      <c r="Q128" s="1">
        <v>127</v>
      </c>
    </row>
    <row r="129" spans="1:17">
      <c r="A129" t="s">
        <v>131</v>
      </c>
      <c r="B129" t="str">
        <f>TEXT(Table1[[#This Row],[Date]],"MMMM")</f>
        <v>March</v>
      </c>
      <c r="C129" t="str">
        <f>TEXT(Table1[[#This Row],[Date]],"DDDD")</f>
        <v>Friday</v>
      </c>
      <c r="D129" t="s">
        <v>27</v>
      </c>
      <c r="E129" t="s">
        <v>45</v>
      </c>
      <c r="F129" t="s">
        <v>29</v>
      </c>
      <c r="G129" t="s">
        <v>37</v>
      </c>
      <c r="H129" t="s">
        <v>54</v>
      </c>
      <c r="I129" t="s">
        <v>39</v>
      </c>
      <c r="J129" s="3">
        <v>180000</v>
      </c>
      <c r="K129">
        <v>8</v>
      </c>
      <c r="L129" t="s">
        <v>47</v>
      </c>
      <c r="M129" s="3">
        <v>144000</v>
      </c>
      <c r="N129" s="3">
        <f>Table1[[#This Row],[Unit Price]]*Table1[[#This Row],[Quantity]]</f>
        <v>1440000</v>
      </c>
      <c r="O129" s="3">
        <f>Table1[[#This Row],[Cost Price]]*Table1[[#This Row],[Quantity]]</f>
        <v>1152000</v>
      </c>
      <c r="P129" s="3">
        <f>Table1[[#This Row],[Revenue]]-Table1[[#This Row],[COGS]]</f>
        <v>288000</v>
      </c>
      <c r="Q129" s="1">
        <v>128</v>
      </c>
    </row>
    <row r="130" spans="1:17">
      <c r="A130" t="s">
        <v>115</v>
      </c>
      <c r="B130" t="str">
        <f>TEXT(Table1[[#This Row],[Date]],"MMMM")</f>
        <v>January</v>
      </c>
      <c r="C130" t="str">
        <f>TEXT(Table1[[#This Row],[Date]],"DDDD")</f>
        <v>Thursday</v>
      </c>
      <c r="D130" t="s">
        <v>49</v>
      </c>
      <c r="E130" t="s">
        <v>36</v>
      </c>
      <c r="F130" t="s">
        <v>29</v>
      </c>
      <c r="G130" t="s">
        <v>30</v>
      </c>
      <c r="H130" t="s">
        <v>67</v>
      </c>
      <c r="I130" t="s">
        <v>51</v>
      </c>
      <c r="J130" s="3">
        <v>420000</v>
      </c>
      <c r="K130">
        <v>5</v>
      </c>
      <c r="L130" t="s">
        <v>65</v>
      </c>
      <c r="M130" s="3">
        <v>336000</v>
      </c>
      <c r="N130" s="3">
        <f>Table1[[#This Row],[Unit Price]]*Table1[[#This Row],[Quantity]]</f>
        <v>2100000</v>
      </c>
      <c r="O130" s="3">
        <f>Table1[[#This Row],[Cost Price]]*Table1[[#This Row],[Quantity]]</f>
        <v>1680000</v>
      </c>
      <c r="P130" s="3">
        <f>Table1[[#This Row],[Revenue]]-Table1[[#This Row],[COGS]]</f>
        <v>420000</v>
      </c>
      <c r="Q130" s="1">
        <v>129</v>
      </c>
    </row>
    <row r="131" spans="1:17">
      <c r="A131" t="s">
        <v>110</v>
      </c>
      <c r="B131" t="str">
        <f>TEXT(Table1[[#This Row],[Date]],"MMMM")</f>
        <v>January</v>
      </c>
      <c r="C131" t="str">
        <f>TEXT(Table1[[#This Row],[Date]],"DDDD")</f>
        <v>Thursday</v>
      </c>
      <c r="D131" t="s">
        <v>27</v>
      </c>
      <c r="E131" t="s">
        <v>28</v>
      </c>
      <c r="F131" t="s">
        <v>41</v>
      </c>
      <c r="G131" t="s">
        <v>30</v>
      </c>
      <c r="H131" t="s">
        <v>46</v>
      </c>
      <c r="I131" t="s">
        <v>39</v>
      </c>
      <c r="J131" s="3">
        <v>60000</v>
      </c>
      <c r="K131">
        <v>9</v>
      </c>
      <c r="L131" t="s">
        <v>33</v>
      </c>
      <c r="M131" s="3">
        <v>48000</v>
      </c>
      <c r="N131" s="3">
        <f>Table1[[#This Row],[Unit Price]]*Table1[[#This Row],[Quantity]]</f>
        <v>540000</v>
      </c>
      <c r="O131" s="3">
        <f>Table1[[#This Row],[Cost Price]]*Table1[[#This Row],[Quantity]]</f>
        <v>432000</v>
      </c>
      <c r="P131" s="3">
        <f>Table1[[#This Row],[Revenue]]-Table1[[#This Row],[COGS]]</f>
        <v>108000</v>
      </c>
      <c r="Q131" s="1">
        <v>130</v>
      </c>
    </row>
    <row r="132" spans="1:17">
      <c r="A132" t="s">
        <v>72</v>
      </c>
      <c r="B132" t="str">
        <f>TEXT(Table1[[#This Row],[Date]],"MMMM")</f>
        <v>February</v>
      </c>
      <c r="C132" t="str">
        <f>TEXT(Table1[[#This Row],[Date]],"DDDD")</f>
        <v>Wednesday</v>
      </c>
      <c r="D132" t="s">
        <v>44</v>
      </c>
      <c r="E132" t="s">
        <v>45</v>
      </c>
      <c r="F132" t="s">
        <v>41</v>
      </c>
      <c r="G132" t="s">
        <v>37</v>
      </c>
      <c r="H132" t="s">
        <v>31</v>
      </c>
      <c r="I132" t="s">
        <v>32</v>
      </c>
      <c r="J132" s="3">
        <v>85000</v>
      </c>
      <c r="K132">
        <v>5</v>
      </c>
      <c r="L132" t="s">
        <v>42</v>
      </c>
      <c r="M132" s="3">
        <v>68000</v>
      </c>
      <c r="N132" s="3">
        <f>Table1[[#This Row],[Unit Price]]*Table1[[#This Row],[Quantity]]</f>
        <v>425000</v>
      </c>
      <c r="O132" s="3">
        <f>Table1[[#This Row],[Cost Price]]*Table1[[#This Row],[Quantity]]</f>
        <v>340000</v>
      </c>
      <c r="P132" s="3">
        <f>Table1[[#This Row],[Revenue]]-Table1[[#This Row],[COGS]]</f>
        <v>85000</v>
      </c>
      <c r="Q132" s="1">
        <v>131</v>
      </c>
    </row>
    <row r="133" spans="1:17">
      <c r="A133" t="s">
        <v>132</v>
      </c>
      <c r="B133" t="str">
        <f>TEXT(Table1[[#This Row],[Date]],"MMMM")</f>
        <v>April</v>
      </c>
      <c r="C133" t="str">
        <f>TEXT(Table1[[#This Row],[Date]],"DDDD")</f>
        <v>Saturday</v>
      </c>
      <c r="D133" t="s">
        <v>44</v>
      </c>
      <c r="E133" t="s">
        <v>45</v>
      </c>
      <c r="F133" t="s">
        <v>41</v>
      </c>
      <c r="G133" t="s">
        <v>30</v>
      </c>
      <c r="H133" t="s">
        <v>31</v>
      </c>
      <c r="I133" t="s">
        <v>32</v>
      </c>
      <c r="J133" s="3">
        <v>85000</v>
      </c>
      <c r="K133">
        <v>1</v>
      </c>
      <c r="L133" t="s">
        <v>47</v>
      </c>
      <c r="M133" s="3">
        <v>68000</v>
      </c>
      <c r="N133" s="3">
        <f>Table1[[#This Row],[Unit Price]]*Table1[[#This Row],[Quantity]]</f>
        <v>85000</v>
      </c>
      <c r="O133" s="3">
        <f>Table1[[#This Row],[Cost Price]]*Table1[[#This Row],[Quantity]]</f>
        <v>68000</v>
      </c>
      <c r="P133" s="3">
        <f>Table1[[#This Row],[Revenue]]-Table1[[#This Row],[COGS]]</f>
        <v>17000</v>
      </c>
      <c r="Q133" s="1">
        <v>132</v>
      </c>
    </row>
    <row r="134" spans="1:17">
      <c r="A134" t="s">
        <v>97</v>
      </c>
      <c r="B134" t="str">
        <f>TEXT(Table1[[#This Row],[Date]],"MMMM")</f>
        <v>January</v>
      </c>
      <c r="C134" t="str">
        <f>TEXT(Table1[[#This Row],[Date]],"DDDD")</f>
        <v>Sunday</v>
      </c>
      <c r="D134" t="s">
        <v>35</v>
      </c>
      <c r="E134" t="s">
        <v>36</v>
      </c>
      <c r="F134" t="s">
        <v>29</v>
      </c>
      <c r="G134" t="s">
        <v>37</v>
      </c>
      <c r="H134" t="s">
        <v>46</v>
      </c>
      <c r="I134" t="s">
        <v>39</v>
      </c>
      <c r="J134" s="3">
        <v>60000</v>
      </c>
      <c r="K134">
        <v>8</v>
      </c>
      <c r="L134" t="s">
        <v>58</v>
      </c>
      <c r="M134" s="3">
        <v>48000</v>
      </c>
      <c r="N134" s="3">
        <f>Table1[[#This Row],[Unit Price]]*Table1[[#This Row],[Quantity]]</f>
        <v>480000</v>
      </c>
      <c r="O134" s="3">
        <f>Table1[[#This Row],[Cost Price]]*Table1[[#This Row],[Quantity]]</f>
        <v>384000</v>
      </c>
      <c r="P134" s="3">
        <f>Table1[[#This Row],[Revenue]]-Table1[[#This Row],[COGS]]</f>
        <v>96000</v>
      </c>
      <c r="Q134" s="1">
        <v>133</v>
      </c>
    </row>
    <row r="135" spans="1:17">
      <c r="A135" t="s">
        <v>48</v>
      </c>
      <c r="B135" t="str">
        <f>TEXT(Table1[[#This Row],[Date]],"MMMM")</f>
        <v>April</v>
      </c>
      <c r="C135" t="str">
        <f>TEXT(Table1[[#This Row],[Date]],"DDDD")</f>
        <v>Sunday</v>
      </c>
      <c r="D135" t="s">
        <v>27</v>
      </c>
      <c r="E135" t="s">
        <v>45</v>
      </c>
      <c r="F135" t="s">
        <v>41</v>
      </c>
      <c r="G135" t="s">
        <v>30</v>
      </c>
      <c r="H135" t="s">
        <v>62</v>
      </c>
      <c r="I135" t="s">
        <v>51</v>
      </c>
      <c r="J135" s="3">
        <v>150000</v>
      </c>
      <c r="K135">
        <v>5</v>
      </c>
      <c r="L135" t="s">
        <v>65</v>
      </c>
      <c r="M135" s="3">
        <v>120000</v>
      </c>
      <c r="N135" s="3">
        <f>Table1[[#This Row],[Unit Price]]*Table1[[#This Row],[Quantity]]</f>
        <v>750000</v>
      </c>
      <c r="O135" s="3">
        <f>Table1[[#This Row],[Cost Price]]*Table1[[#This Row],[Quantity]]</f>
        <v>600000</v>
      </c>
      <c r="P135" s="3">
        <f>Table1[[#This Row],[Revenue]]-Table1[[#This Row],[COGS]]</f>
        <v>150000</v>
      </c>
      <c r="Q135" s="1">
        <v>134</v>
      </c>
    </row>
    <row r="136" spans="1:17">
      <c r="A136" t="s">
        <v>81</v>
      </c>
      <c r="B136" t="str">
        <f>TEXT(Table1[[#This Row],[Date]],"MMMM")</f>
        <v>March</v>
      </c>
      <c r="C136" t="str">
        <f>TEXT(Table1[[#This Row],[Date]],"DDDD")</f>
        <v>Sunday</v>
      </c>
      <c r="D136" t="s">
        <v>27</v>
      </c>
      <c r="E136" t="s">
        <v>53</v>
      </c>
      <c r="F136" t="s">
        <v>29</v>
      </c>
      <c r="G136" t="s">
        <v>30</v>
      </c>
      <c r="H136" t="s">
        <v>56</v>
      </c>
      <c r="I136" t="s">
        <v>32</v>
      </c>
      <c r="J136" s="3">
        <v>320000</v>
      </c>
      <c r="K136">
        <v>10</v>
      </c>
      <c r="L136" t="s">
        <v>58</v>
      </c>
      <c r="M136" s="3">
        <v>256000</v>
      </c>
      <c r="N136" s="3">
        <f>Table1[[#This Row],[Unit Price]]*Table1[[#This Row],[Quantity]]</f>
        <v>3200000</v>
      </c>
      <c r="O136" s="3">
        <f>Table1[[#This Row],[Cost Price]]*Table1[[#This Row],[Quantity]]</f>
        <v>2560000</v>
      </c>
      <c r="P136" s="3">
        <f>Table1[[#This Row],[Revenue]]-Table1[[#This Row],[COGS]]</f>
        <v>640000</v>
      </c>
      <c r="Q136" s="1">
        <v>135</v>
      </c>
    </row>
    <row r="137" spans="1:17">
      <c r="A137" t="s">
        <v>133</v>
      </c>
      <c r="B137" t="str">
        <f>TEXT(Table1[[#This Row],[Date]],"MMMM")</f>
        <v>January</v>
      </c>
      <c r="C137" t="str">
        <f>TEXT(Table1[[#This Row],[Date]],"DDDD")</f>
        <v>Wednesday</v>
      </c>
      <c r="D137" t="s">
        <v>27</v>
      </c>
      <c r="E137" t="s">
        <v>53</v>
      </c>
      <c r="F137" t="s">
        <v>41</v>
      </c>
      <c r="G137" t="s">
        <v>30</v>
      </c>
      <c r="H137" t="s">
        <v>71</v>
      </c>
      <c r="I137" t="s">
        <v>51</v>
      </c>
      <c r="J137" s="3">
        <v>250000</v>
      </c>
      <c r="K137">
        <v>6</v>
      </c>
      <c r="L137" t="s">
        <v>69</v>
      </c>
      <c r="M137" s="3">
        <v>200000</v>
      </c>
      <c r="N137" s="3">
        <f>Table1[[#This Row],[Unit Price]]*Table1[[#This Row],[Quantity]]</f>
        <v>1500000</v>
      </c>
      <c r="O137" s="3">
        <f>Table1[[#This Row],[Cost Price]]*Table1[[#This Row],[Quantity]]</f>
        <v>1200000</v>
      </c>
      <c r="P137" s="3">
        <f>Table1[[#This Row],[Revenue]]-Table1[[#This Row],[COGS]]</f>
        <v>300000</v>
      </c>
      <c r="Q137" s="1">
        <v>136</v>
      </c>
    </row>
    <row r="138" spans="1:17">
      <c r="A138" t="s">
        <v>127</v>
      </c>
      <c r="B138" t="str">
        <f>TEXT(Table1[[#This Row],[Date]],"MMMM")</f>
        <v>January</v>
      </c>
      <c r="C138" t="str">
        <f>TEXT(Table1[[#This Row],[Date]],"DDDD")</f>
        <v>Tuesday</v>
      </c>
      <c r="D138" t="s">
        <v>44</v>
      </c>
      <c r="E138" t="s">
        <v>45</v>
      </c>
      <c r="F138" t="s">
        <v>41</v>
      </c>
      <c r="G138" t="s">
        <v>30</v>
      </c>
      <c r="H138" t="s">
        <v>62</v>
      </c>
      <c r="I138" t="s">
        <v>51</v>
      </c>
      <c r="J138" s="3">
        <v>150000</v>
      </c>
      <c r="K138">
        <v>3</v>
      </c>
      <c r="L138" t="s">
        <v>33</v>
      </c>
      <c r="M138" s="3">
        <v>120000</v>
      </c>
      <c r="N138" s="3">
        <f>Table1[[#This Row],[Unit Price]]*Table1[[#This Row],[Quantity]]</f>
        <v>450000</v>
      </c>
      <c r="O138" s="3">
        <f>Table1[[#This Row],[Cost Price]]*Table1[[#This Row],[Quantity]]</f>
        <v>360000</v>
      </c>
      <c r="P138" s="3">
        <f>Table1[[#This Row],[Revenue]]-Table1[[#This Row],[COGS]]</f>
        <v>90000</v>
      </c>
      <c r="Q138" s="1">
        <v>137</v>
      </c>
    </row>
    <row r="139" spans="1:17">
      <c r="A139" t="s">
        <v>131</v>
      </c>
      <c r="B139" t="str">
        <f>TEXT(Table1[[#This Row],[Date]],"MMMM")</f>
        <v>March</v>
      </c>
      <c r="C139" t="str">
        <f>TEXT(Table1[[#This Row],[Date]],"DDDD")</f>
        <v>Friday</v>
      </c>
      <c r="D139" t="s">
        <v>27</v>
      </c>
      <c r="E139" t="s">
        <v>36</v>
      </c>
      <c r="F139" t="s">
        <v>41</v>
      </c>
      <c r="G139" t="s">
        <v>30</v>
      </c>
      <c r="H139" t="s">
        <v>46</v>
      </c>
      <c r="I139" t="s">
        <v>39</v>
      </c>
      <c r="J139" s="3">
        <v>60000</v>
      </c>
      <c r="K139">
        <v>10</v>
      </c>
      <c r="L139" t="s">
        <v>65</v>
      </c>
      <c r="M139" s="3">
        <v>48000</v>
      </c>
      <c r="N139" s="3">
        <f>Table1[[#This Row],[Unit Price]]*Table1[[#This Row],[Quantity]]</f>
        <v>600000</v>
      </c>
      <c r="O139" s="3">
        <f>Table1[[#This Row],[Cost Price]]*Table1[[#This Row],[Quantity]]</f>
        <v>480000</v>
      </c>
      <c r="P139" s="3">
        <f>Table1[[#This Row],[Revenue]]-Table1[[#This Row],[COGS]]</f>
        <v>120000</v>
      </c>
      <c r="Q139" s="1">
        <v>138</v>
      </c>
    </row>
    <row r="140" spans="1:17">
      <c r="A140" t="s">
        <v>70</v>
      </c>
      <c r="B140" t="str">
        <f>TEXT(Table1[[#This Row],[Date]],"MMMM")</f>
        <v>April</v>
      </c>
      <c r="C140" t="str">
        <f>TEXT(Table1[[#This Row],[Date]],"DDDD")</f>
        <v>Friday</v>
      </c>
      <c r="D140" t="s">
        <v>49</v>
      </c>
      <c r="E140" t="s">
        <v>45</v>
      </c>
      <c r="F140" t="s">
        <v>29</v>
      </c>
      <c r="G140" t="s">
        <v>30</v>
      </c>
      <c r="H140" t="s">
        <v>62</v>
      </c>
      <c r="I140" t="s">
        <v>51</v>
      </c>
      <c r="J140" s="3">
        <v>150000</v>
      </c>
      <c r="K140">
        <v>8</v>
      </c>
      <c r="L140" t="s">
        <v>47</v>
      </c>
      <c r="M140" s="3">
        <v>120000</v>
      </c>
      <c r="N140" s="3">
        <f>Table1[[#This Row],[Unit Price]]*Table1[[#This Row],[Quantity]]</f>
        <v>1200000</v>
      </c>
      <c r="O140" s="3">
        <f>Table1[[#This Row],[Cost Price]]*Table1[[#This Row],[Quantity]]</f>
        <v>960000</v>
      </c>
      <c r="P140" s="3">
        <f>Table1[[#This Row],[Revenue]]-Table1[[#This Row],[COGS]]</f>
        <v>240000</v>
      </c>
      <c r="Q140" s="1">
        <v>139</v>
      </c>
    </row>
    <row r="141" spans="1:17">
      <c r="A141" t="s">
        <v>123</v>
      </c>
      <c r="B141" t="str">
        <f>TEXT(Table1[[#This Row],[Date]],"MMMM")</f>
        <v>April</v>
      </c>
      <c r="C141" t="str">
        <f>TEXT(Table1[[#This Row],[Date]],"DDDD")</f>
        <v>Monday</v>
      </c>
      <c r="D141" t="s">
        <v>44</v>
      </c>
      <c r="E141" t="s">
        <v>28</v>
      </c>
      <c r="F141" t="s">
        <v>29</v>
      </c>
      <c r="G141" t="s">
        <v>30</v>
      </c>
      <c r="H141" t="s">
        <v>71</v>
      </c>
      <c r="I141" t="s">
        <v>51</v>
      </c>
      <c r="J141" s="3">
        <v>250000</v>
      </c>
      <c r="K141">
        <v>7</v>
      </c>
      <c r="L141" t="s">
        <v>65</v>
      </c>
      <c r="M141" s="3">
        <v>200000</v>
      </c>
      <c r="N141" s="3">
        <f>Table1[[#This Row],[Unit Price]]*Table1[[#This Row],[Quantity]]</f>
        <v>1750000</v>
      </c>
      <c r="O141" s="3">
        <f>Table1[[#This Row],[Cost Price]]*Table1[[#This Row],[Quantity]]</f>
        <v>1400000</v>
      </c>
      <c r="P141" s="3">
        <f>Table1[[#This Row],[Revenue]]-Table1[[#This Row],[COGS]]</f>
        <v>350000</v>
      </c>
      <c r="Q141" s="1">
        <v>140</v>
      </c>
    </row>
    <row r="142" spans="1:17">
      <c r="A142" t="s">
        <v>48</v>
      </c>
      <c r="B142" t="str">
        <f>TEXT(Table1[[#This Row],[Date]],"MMMM")</f>
        <v>April</v>
      </c>
      <c r="C142" t="str">
        <f>TEXT(Table1[[#This Row],[Date]],"DDDD")</f>
        <v>Sunday</v>
      </c>
      <c r="D142" t="s">
        <v>44</v>
      </c>
      <c r="E142" t="s">
        <v>53</v>
      </c>
      <c r="F142" t="s">
        <v>41</v>
      </c>
      <c r="G142" t="s">
        <v>30</v>
      </c>
      <c r="H142" t="s">
        <v>31</v>
      </c>
      <c r="I142" t="s">
        <v>32</v>
      </c>
      <c r="J142" s="3">
        <v>85000</v>
      </c>
      <c r="K142">
        <v>6</v>
      </c>
      <c r="L142" t="s">
        <v>58</v>
      </c>
      <c r="M142" s="3">
        <v>68000</v>
      </c>
      <c r="N142" s="3">
        <f>Table1[[#This Row],[Unit Price]]*Table1[[#This Row],[Quantity]]</f>
        <v>510000</v>
      </c>
      <c r="O142" s="3">
        <f>Table1[[#This Row],[Cost Price]]*Table1[[#This Row],[Quantity]]</f>
        <v>408000</v>
      </c>
      <c r="P142" s="3">
        <f>Table1[[#This Row],[Revenue]]-Table1[[#This Row],[COGS]]</f>
        <v>102000</v>
      </c>
      <c r="Q142" s="1">
        <v>141</v>
      </c>
    </row>
    <row r="143" spans="1:17">
      <c r="A143" t="s">
        <v>125</v>
      </c>
      <c r="B143" t="str">
        <f>TEXT(Table1[[#This Row],[Date]],"MMMM")</f>
        <v>February</v>
      </c>
      <c r="C143" t="str">
        <f>TEXT(Table1[[#This Row],[Date]],"DDDD")</f>
        <v>Tuesday</v>
      </c>
      <c r="D143" t="s">
        <v>49</v>
      </c>
      <c r="E143" t="s">
        <v>28</v>
      </c>
      <c r="F143" t="s">
        <v>41</v>
      </c>
      <c r="G143" t="s">
        <v>30</v>
      </c>
      <c r="H143" t="s">
        <v>54</v>
      </c>
      <c r="I143" t="s">
        <v>39</v>
      </c>
      <c r="J143" s="3">
        <v>180000</v>
      </c>
      <c r="K143">
        <v>9</v>
      </c>
      <c r="L143" t="s">
        <v>65</v>
      </c>
      <c r="M143" s="3">
        <v>144000</v>
      </c>
      <c r="N143" s="3">
        <f>Table1[[#This Row],[Unit Price]]*Table1[[#This Row],[Quantity]]</f>
        <v>1620000</v>
      </c>
      <c r="O143" s="3">
        <f>Table1[[#This Row],[Cost Price]]*Table1[[#This Row],[Quantity]]</f>
        <v>1296000</v>
      </c>
      <c r="P143" s="3">
        <f>Table1[[#This Row],[Revenue]]-Table1[[#This Row],[COGS]]</f>
        <v>324000</v>
      </c>
      <c r="Q143" s="1">
        <v>142</v>
      </c>
    </row>
    <row r="144" spans="1:17">
      <c r="A144" t="s">
        <v>59</v>
      </c>
      <c r="B144" t="str">
        <f>TEXT(Table1[[#This Row],[Date]],"MMMM")</f>
        <v>March</v>
      </c>
      <c r="C144" t="str">
        <f>TEXT(Table1[[#This Row],[Date]],"DDDD")</f>
        <v>Monday</v>
      </c>
      <c r="D144" t="s">
        <v>27</v>
      </c>
      <c r="E144" t="s">
        <v>53</v>
      </c>
      <c r="F144" t="s">
        <v>41</v>
      </c>
      <c r="G144" t="s">
        <v>30</v>
      </c>
      <c r="H144" t="s">
        <v>38</v>
      </c>
      <c r="I144" t="s">
        <v>39</v>
      </c>
      <c r="J144" s="3">
        <v>30000</v>
      </c>
      <c r="K144">
        <v>8</v>
      </c>
      <c r="L144" t="s">
        <v>65</v>
      </c>
      <c r="M144" s="3">
        <v>24000</v>
      </c>
      <c r="N144" s="3">
        <f>Table1[[#This Row],[Unit Price]]*Table1[[#This Row],[Quantity]]</f>
        <v>240000</v>
      </c>
      <c r="O144" s="3">
        <f>Table1[[#This Row],[Cost Price]]*Table1[[#This Row],[Quantity]]</f>
        <v>192000</v>
      </c>
      <c r="P144" s="3">
        <f>Table1[[#This Row],[Revenue]]-Table1[[#This Row],[COGS]]</f>
        <v>48000</v>
      </c>
      <c r="Q144" s="1">
        <v>143</v>
      </c>
    </row>
    <row r="145" spans="1:17">
      <c r="A145" t="s">
        <v>134</v>
      </c>
      <c r="B145" t="str">
        <f>TEXT(Table1[[#This Row],[Date]],"MMMM")</f>
        <v>January</v>
      </c>
      <c r="C145" t="str">
        <f>TEXT(Table1[[#This Row],[Date]],"DDDD")</f>
        <v>Wednesday</v>
      </c>
      <c r="D145" t="s">
        <v>44</v>
      </c>
      <c r="E145" t="s">
        <v>28</v>
      </c>
      <c r="F145" t="s">
        <v>41</v>
      </c>
      <c r="G145" t="s">
        <v>37</v>
      </c>
      <c r="H145" t="s">
        <v>31</v>
      </c>
      <c r="I145" t="s">
        <v>32</v>
      </c>
      <c r="J145" s="3">
        <v>85000</v>
      </c>
      <c r="K145">
        <v>1</v>
      </c>
      <c r="L145" t="s">
        <v>42</v>
      </c>
      <c r="M145" s="3">
        <v>68000</v>
      </c>
      <c r="N145" s="3">
        <f>Table1[[#This Row],[Unit Price]]*Table1[[#This Row],[Quantity]]</f>
        <v>85000</v>
      </c>
      <c r="O145" s="3">
        <f>Table1[[#This Row],[Cost Price]]*Table1[[#This Row],[Quantity]]</f>
        <v>68000</v>
      </c>
      <c r="P145" s="3">
        <f>Table1[[#This Row],[Revenue]]-Table1[[#This Row],[COGS]]</f>
        <v>17000</v>
      </c>
      <c r="Q145" s="1">
        <v>144</v>
      </c>
    </row>
    <row r="146" spans="1:17">
      <c r="A146" t="s">
        <v>107</v>
      </c>
      <c r="B146" t="str">
        <f>TEXT(Table1[[#This Row],[Date]],"MMMM")</f>
        <v>February</v>
      </c>
      <c r="C146" t="str">
        <f>TEXT(Table1[[#This Row],[Date]],"DDDD")</f>
        <v>Wednesday</v>
      </c>
      <c r="D146" t="s">
        <v>27</v>
      </c>
      <c r="E146" t="s">
        <v>53</v>
      </c>
      <c r="F146" t="s">
        <v>41</v>
      </c>
      <c r="G146" t="s">
        <v>30</v>
      </c>
      <c r="H146" t="s">
        <v>38</v>
      </c>
      <c r="I146" t="s">
        <v>39</v>
      </c>
      <c r="J146" s="3">
        <v>30000</v>
      </c>
      <c r="K146">
        <v>8</v>
      </c>
      <c r="L146" t="s">
        <v>69</v>
      </c>
      <c r="M146" s="3">
        <v>24000</v>
      </c>
      <c r="N146" s="3">
        <f>Table1[[#This Row],[Unit Price]]*Table1[[#This Row],[Quantity]]</f>
        <v>240000</v>
      </c>
      <c r="O146" s="3">
        <f>Table1[[#This Row],[Cost Price]]*Table1[[#This Row],[Quantity]]</f>
        <v>192000</v>
      </c>
      <c r="P146" s="3">
        <f>Table1[[#This Row],[Revenue]]-Table1[[#This Row],[COGS]]</f>
        <v>48000</v>
      </c>
      <c r="Q146" s="1">
        <v>145</v>
      </c>
    </row>
    <row r="147" spans="1:17">
      <c r="A147" t="s">
        <v>126</v>
      </c>
      <c r="B147" t="str">
        <f>TEXT(Table1[[#This Row],[Date]],"MMMM")</f>
        <v>January</v>
      </c>
      <c r="C147" t="str">
        <f>TEXT(Table1[[#This Row],[Date]],"DDDD")</f>
        <v>Thursday</v>
      </c>
      <c r="D147" t="s">
        <v>49</v>
      </c>
      <c r="E147" t="s">
        <v>45</v>
      </c>
      <c r="F147" t="s">
        <v>29</v>
      </c>
      <c r="G147" t="s">
        <v>30</v>
      </c>
      <c r="H147" t="s">
        <v>56</v>
      </c>
      <c r="I147" t="s">
        <v>32</v>
      </c>
      <c r="J147" s="3">
        <v>320000</v>
      </c>
      <c r="K147">
        <v>2</v>
      </c>
      <c r="L147" t="s">
        <v>65</v>
      </c>
      <c r="M147" s="3">
        <v>256000</v>
      </c>
      <c r="N147" s="3">
        <f>Table1[[#This Row],[Unit Price]]*Table1[[#This Row],[Quantity]]</f>
        <v>640000</v>
      </c>
      <c r="O147" s="3">
        <f>Table1[[#This Row],[Cost Price]]*Table1[[#This Row],[Quantity]]</f>
        <v>512000</v>
      </c>
      <c r="P147" s="3">
        <f>Table1[[#This Row],[Revenue]]-Table1[[#This Row],[COGS]]</f>
        <v>128000</v>
      </c>
      <c r="Q147" s="1">
        <v>146</v>
      </c>
    </row>
    <row r="148" spans="1:17">
      <c r="A148" t="s">
        <v>66</v>
      </c>
      <c r="B148" t="str">
        <f>TEXT(Table1[[#This Row],[Date]],"MMMM")</f>
        <v>March</v>
      </c>
      <c r="C148" t="str">
        <f>TEXT(Table1[[#This Row],[Date]],"DDDD")</f>
        <v>Saturday</v>
      </c>
      <c r="D148" t="s">
        <v>35</v>
      </c>
      <c r="E148" t="s">
        <v>28</v>
      </c>
      <c r="F148" t="s">
        <v>29</v>
      </c>
      <c r="G148" t="s">
        <v>30</v>
      </c>
      <c r="H148" t="s">
        <v>62</v>
      </c>
      <c r="I148" t="s">
        <v>51</v>
      </c>
      <c r="J148" s="3">
        <v>150000</v>
      </c>
      <c r="K148">
        <v>5</v>
      </c>
      <c r="L148" t="s">
        <v>65</v>
      </c>
      <c r="M148" s="3">
        <v>120000</v>
      </c>
      <c r="N148" s="3">
        <f>Table1[[#This Row],[Unit Price]]*Table1[[#This Row],[Quantity]]</f>
        <v>750000</v>
      </c>
      <c r="O148" s="3">
        <f>Table1[[#This Row],[Cost Price]]*Table1[[#This Row],[Quantity]]</f>
        <v>600000</v>
      </c>
      <c r="P148" s="3">
        <f>Table1[[#This Row],[Revenue]]-Table1[[#This Row],[COGS]]</f>
        <v>150000</v>
      </c>
      <c r="Q148" s="1">
        <v>147</v>
      </c>
    </row>
    <row r="149" spans="1:17">
      <c r="A149" t="s">
        <v>135</v>
      </c>
      <c r="B149" t="str">
        <f>TEXT(Table1[[#This Row],[Date]],"MMMM")</f>
        <v>March</v>
      </c>
      <c r="C149" t="str">
        <f>TEXT(Table1[[#This Row],[Date]],"DDDD")</f>
        <v>Sunday</v>
      </c>
      <c r="D149" t="s">
        <v>35</v>
      </c>
      <c r="E149" t="s">
        <v>45</v>
      </c>
      <c r="F149" t="s">
        <v>41</v>
      </c>
      <c r="G149" t="s">
        <v>30</v>
      </c>
      <c r="H149" t="s">
        <v>71</v>
      </c>
      <c r="I149" t="s">
        <v>51</v>
      </c>
      <c r="J149" s="3">
        <v>250000</v>
      </c>
      <c r="K149">
        <v>5</v>
      </c>
      <c r="L149" t="s">
        <v>69</v>
      </c>
      <c r="M149" s="3">
        <v>200000</v>
      </c>
      <c r="N149" s="3">
        <f>Table1[[#This Row],[Unit Price]]*Table1[[#This Row],[Quantity]]</f>
        <v>1250000</v>
      </c>
      <c r="O149" s="3">
        <f>Table1[[#This Row],[Cost Price]]*Table1[[#This Row],[Quantity]]</f>
        <v>1000000</v>
      </c>
      <c r="P149" s="3">
        <f>Table1[[#This Row],[Revenue]]-Table1[[#This Row],[COGS]]</f>
        <v>250000</v>
      </c>
      <c r="Q149" s="1">
        <v>148</v>
      </c>
    </row>
    <row r="150" spans="1:17">
      <c r="A150" t="s">
        <v>26</v>
      </c>
      <c r="B150" t="str">
        <f>TEXT(Table1[[#This Row],[Date]],"MMMM")</f>
        <v>January</v>
      </c>
      <c r="C150" t="str">
        <f>TEXT(Table1[[#This Row],[Date]],"DDDD")</f>
        <v>Sunday</v>
      </c>
      <c r="D150" t="s">
        <v>49</v>
      </c>
      <c r="E150" t="s">
        <v>53</v>
      </c>
      <c r="F150" t="s">
        <v>41</v>
      </c>
      <c r="G150" t="s">
        <v>30</v>
      </c>
      <c r="H150" t="s">
        <v>73</v>
      </c>
      <c r="I150" t="s">
        <v>39</v>
      </c>
      <c r="J150" s="3">
        <v>220000</v>
      </c>
      <c r="K150">
        <v>10</v>
      </c>
      <c r="L150" t="s">
        <v>42</v>
      </c>
      <c r="M150" s="3">
        <v>176000</v>
      </c>
      <c r="N150" s="3">
        <f>Table1[[#This Row],[Unit Price]]*Table1[[#This Row],[Quantity]]</f>
        <v>2200000</v>
      </c>
      <c r="O150" s="3">
        <f>Table1[[#This Row],[Cost Price]]*Table1[[#This Row],[Quantity]]</f>
        <v>1760000</v>
      </c>
      <c r="P150" s="3">
        <f>Table1[[#This Row],[Revenue]]-Table1[[#This Row],[COGS]]</f>
        <v>440000</v>
      </c>
      <c r="Q150" s="1">
        <v>149</v>
      </c>
    </row>
    <row r="151" spans="1:17">
      <c r="A151" t="s">
        <v>114</v>
      </c>
      <c r="B151" t="str">
        <f>TEXT(Table1[[#This Row],[Date]],"MMMM")</f>
        <v>April</v>
      </c>
      <c r="C151" t="str">
        <f>TEXT(Table1[[#This Row],[Date]],"DDDD")</f>
        <v>Sunday</v>
      </c>
      <c r="D151" t="s">
        <v>49</v>
      </c>
      <c r="E151" t="s">
        <v>45</v>
      </c>
      <c r="F151" t="s">
        <v>41</v>
      </c>
      <c r="G151" t="s">
        <v>30</v>
      </c>
      <c r="H151" t="s">
        <v>46</v>
      </c>
      <c r="I151" t="s">
        <v>39</v>
      </c>
      <c r="J151" s="3">
        <v>60000</v>
      </c>
      <c r="K151">
        <v>2</v>
      </c>
      <c r="L151" t="s">
        <v>58</v>
      </c>
      <c r="M151" s="3">
        <v>48000</v>
      </c>
      <c r="N151" s="3">
        <f>Table1[[#This Row],[Unit Price]]*Table1[[#This Row],[Quantity]]</f>
        <v>120000</v>
      </c>
      <c r="O151" s="3">
        <f>Table1[[#This Row],[Cost Price]]*Table1[[#This Row],[Quantity]]</f>
        <v>96000</v>
      </c>
      <c r="P151" s="3">
        <f>Table1[[#This Row],[Revenue]]-Table1[[#This Row],[COGS]]</f>
        <v>24000</v>
      </c>
      <c r="Q151" s="1">
        <v>150</v>
      </c>
    </row>
    <row r="152" spans="1:17">
      <c r="A152" t="s">
        <v>126</v>
      </c>
      <c r="B152" t="str">
        <f>TEXT(Table1[[#This Row],[Date]],"MMMM")</f>
        <v>January</v>
      </c>
      <c r="C152" t="str">
        <f>TEXT(Table1[[#This Row],[Date]],"DDDD")</f>
        <v>Thursday</v>
      </c>
      <c r="D152" t="s">
        <v>49</v>
      </c>
      <c r="E152" t="s">
        <v>45</v>
      </c>
      <c r="F152" t="s">
        <v>41</v>
      </c>
      <c r="G152" t="s">
        <v>37</v>
      </c>
      <c r="H152" t="s">
        <v>71</v>
      </c>
      <c r="I152" t="s">
        <v>51</v>
      </c>
      <c r="J152" s="3">
        <v>250000</v>
      </c>
      <c r="K152">
        <v>1</v>
      </c>
      <c r="L152" t="s">
        <v>65</v>
      </c>
      <c r="M152" s="3">
        <v>200000</v>
      </c>
      <c r="N152" s="3">
        <f>Table1[[#This Row],[Unit Price]]*Table1[[#This Row],[Quantity]]</f>
        <v>250000</v>
      </c>
      <c r="O152" s="3">
        <f>Table1[[#This Row],[Cost Price]]*Table1[[#This Row],[Quantity]]</f>
        <v>200000</v>
      </c>
      <c r="P152" s="3">
        <f>Table1[[#This Row],[Revenue]]-Table1[[#This Row],[COGS]]</f>
        <v>50000</v>
      </c>
      <c r="Q152" s="1">
        <v>151</v>
      </c>
    </row>
    <row r="153" spans="1:17">
      <c r="A153" t="s">
        <v>117</v>
      </c>
      <c r="B153" t="str">
        <f>TEXT(Table1[[#This Row],[Date]],"MMMM")</f>
        <v>January</v>
      </c>
      <c r="C153" t="str">
        <f>TEXT(Table1[[#This Row],[Date]],"DDDD")</f>
        <v>Wednesday</v>
      </c>
      <c r="D153" t="s">
        <v>27</v>
      </c>
      <c r="E153" t="s">
        <v>28</v>
      </c>
      <c r="F153" t="s">
        <v>29</v>
      </c>
      <c r="G153" t="s">
        <v>30</v>
      </c>
      <c r="H153" t="s">
        <v>54</v>
      </c>
      <c r="I153" t="s">
        <v>39</v>
      </c>
      <c r="J153" s="3">
        <v>180000</v>
      </c>
      <c r="K153">
        <v>8</v>
      </c>
      <c r="L153" t="s">
        <v>69</v>
      </c>
      <c r="M153" s="3">
        <v>144000</v>
      </c>
      <c r="N153" s="3">
        <f>Table1[[#This Row],[Unit Price]]*Table1[[#This Row],[Quantity]]</f>
        <v>1440000</v>
      </c>
      <c r="O153" s="3">
        <f>Table1[[#This Row],[Cost Price]]*Table1[[#This Row],[Quantity]]</f>
        <v>1152000</v>
      </c>
      <c r="P153" s="3">
        <f>Table1[[#This Row],[Revenue]]-Table1[[#This Row],[COGS]]</f>
        <v>288000</v>
      </c>
      <c r="Q153" s="1">
        <v>152</v>
      </c>
    </row>
    <row r="154" spans="1:17">
      <c r="A154" t="s">
        <v>84</v>
      </c>
      <c r="B154" t="str">
        <f>TEXT(Table1[[#This Row],[Date]],"MMMM")</f>
        <v>January</v>
      </c>
      <c r="C154" t="str">
        <f>TEXT(Table1[[#This Row],[Date]],"DDDD")</f>
        <v>Wednesday</v>
      </c>
      <c r="D154" t="s">
        <v>49</v>
      </c>
      <c r="E154" t="s">
        <v>36</v>
      </c>
      <c r="F154" t="s">
        <v>29</v>
      </c>
      <c r="G154" t="s">
        <v>30</v>
      </c>
      <c r="H154" t="s">
        <v>62</v>
      </c>
      <c r="I154" t="s">
        <v>51</v>
      </c>
      <c r="J154" s="3">
        <v>150000</v>
      </c>
      <c r="K154">
        <v>1</v>
      </c>
      <c r="L154" t="s">
        <v>33</v>
      </c>
      <c r="M154" s="3">
        <v>120000</v>
      </c>
      <c r="N154" s="3">
        <f>Table1[[#This Row],[Unit Price]]*Table1[[#This Row],[Quantity]]</f>
        <v>150000</v>
      </c>
      <c r="O154" s="3">
        <f>Table1[[#This Row],[Cost Price]]*Table1[[#This Row],[Quantity]]</f>
        <v>120000</v>
      </c>
      <c r="P154" s="3">
        <f>Table1[[#This Row],[Revenue]]-Table1[[#This Row],[COGS]]</f>
        <v>30000</v>
      </c>
      <c r="Q154" s="1">
        <v>153</v>
      </c>
    </row>
    <row r="155" spans="1:17">
      <c r="A155" t="s">
        <v>136</v>
      </c>
      <c r="B155" t="str">
        <f>TEXT(Table1[[#This Row],[Date]],"MMMM")</f>
        <v>February</v>
      </c>
      <c r="C155" t="str">
        <f>TEXT(Table1[[#This Row],[Date]],"DDDD")</f>
        <v>Saturday</v>
      </c>
      <c r="D155" t="s">
        <v>49</v>
      </c>
      <c r="E155" t="s">
        <v>53</v>
      </c>
      <c r="F155" t="s">
        <v>29</v>
      </c>
      <c r="G155" t="s">
        <v>30</v>
      </c>
      <c r="H155" t="s">
        <v>38</v>
      </c>
      <c r="I155" t="s">
        <v>39</v>
      </c>
      <c r="J155" s="3">
        <v>30000</v>
      </c>
      <c r="K155">
        <v>6</v>
      </c>
      <c r="L155" t="s">
        <v>42</v>
      </c>
      <c r="M155" s="3">
        <v>24000</v>
      </c>
      <c r="N155" s="3">
        <f>Table1[[#This Row],[Unit Price]]*Table1[[#This Row],[Quantity]]</f>
        <v>180000</v>
      </c>
      <c r="O155" s="3">
        <f>Table1[[#This Row],[Cost Price]]*Table1[[#This Row],[Quantity]]</f>
        <v>144000</v>
      </c>
      <c r="P155" s="3">
        <f>Table1[[#This Row],[Revenue]]-Table1[[#This Row],[COGS]]</f>
        <v>36000</v>
      </c>
      <c r="Q155" s="1">
        <v>154</v>
      </c>
    </row>
    <row r="156" spans="1:17">
      <c r="A156" t="s">
        <v>127</v>
      </c>
      <c r="B156" t="str">
        <f>TEXT(Table1[[#This Row],[Date]],"MMMM")</f>
        <v>January</v>
      </c>
      <c r="C156" t="str">
        <f>TEXT(Table1[[#This Row],[Date]],"DDDD")</f>
        <v>Tuesday</v>
      </c>
      <c r="D156" t="s">
        <v>27</v>
      </c>
      <c r="E156" t="s">
        <v>28</v>
      </c>
      <c r="F156" t="s">
        <v>41</v>
      </c>
      <c r="G156" t="s">
        <v>30</v>
      </c>
      <c r="H156" t="s">
        <v>73</v>
      </c>
      <c r="I156" t="s">
        <v>39</v>
      </c>
      <c r="J156" s="3">
        <v>220000</v>
      </c>
      <c r="K156">
        <v>10</v>
      </c>
      <c r="L156" t="s">
        <v>69</v>
      </c>
      <c r="M156" s="3">
        <v>176000</v>
      </c>
      <c r="N156" s="3">
        <f>Table1[[#This Row],[Unit Price]]*Table1[[#This Row],[Quantity]]</f>
        <v>2200000</v>
      </c>
      <c r="O156" s="3">
        <f>Table1[[#This Row],[Cost Price]]*Table1[[#This Row],[Quantity]]</f>
        <v>1760000</v>
      </c>
      <c r="P156" s="3">
        <f>Table1[[#This Row],[Revenue]]-Table1[[#This Row],[COGS]]</f>
        <v>440000</v>
      </c>
      <c r="Q156" s="1">
        <v>155</v>
      </c>
    </row>
    <row r="157" spans="1:17">
      <c r="A157" t="s">
        <v>98</v>
      </c>
      <c r="B157" t="str">
        <f>TEXT(Table1[[#This Row],[Date]],"MMMM")</f>
        <v>January</v>
      </c>
      <c r="C157" t="str">
        <f>TEXT(Table1[[#This Row],[Date]],"DDDD")</f>
        <v>Friday</v>
      </c>
      <c r="D157" t="s">
        <v>27</v>
      </c>
      <c r="E157" t="s">
        <v>28</v>
      </c>
      <c r="F157" t="s">
        <v>29</v>
      </c>
      <c r="G157" t="s">
        <v>37</v>
      </c>
      <c r="H157" t="s">
        <v>67</v>
      </c>
      <c r="I157" t="s">
        <v>51</v>
      </c>
      <c r="J157" s="3">
        <v>420000</v>
      </c>
      <c r="K157">
        <v>1</v>
      </c>
      <c r="L157" t="s">
        <v>42</v>
      </c>
      <c r="M157" s="3">
        <v>336000</v>
      </c>
      <c r="N157" s="3">
        <f>Table1[[#This Row],[Unit Price]]*Table1[[#This Row],[Quantity]]</f>
        <v>420000</v>
      </c>
      <c r="O157" s="3">
        <f>Table1[[#This Row],[Cost Price]]*Table1[[#This Row],[Quantity]]</f>
        <v>336000</v>
      </c>
      <c r="P157" s="3">
        <f>Table1[[#This Row],[Revenue]]-Table1[[#This Row],[COGS]]</f>
        <v>84000</v>
      </c>
      <c r="Q157" s="1">
        <v>156</v>
      </c>
    </row>
    <row r="158" spans="1:17">
      <c r="A158" t="s">
        <v>83</v>
      </c>
      <c r="B158" t="str">
        <f>TEXT(Table1[[#This Row],[Date]],"MMMM")</f>
        <v>January</v>
      </c>
      <c r="C158" t="str">
        <f>TEXT(Table1[[#This Row],[Date]],"DDDD")</f>
        <v>Tuesday</v>
      </c>
      <c r="D158" t="s">
        <v>27</v>
      </c>
      <c r="E158" t="s">
        <v>36</v>
      </c>
      <c r="F158" t="s">
        <v>41</v>
      </c>
      <c r="G158" t="s">
        <v>37</v>
      </c>
      <c r="H158" t="s">
        <v>50</v>
      </c>
      <c r="I158" t="s">
        <v>51</v>
      </c>
      <c r="J158" s="3">
        <v>300000</v>
      </c>
      <c r="K158">
        <v>8</v>
      </c>
      <c r="L158" t="s">
        <v>42</v>
      </c>
      <c r="M158" s="3">
        <v>240000</v>
      </c>
      <c r="N158" s="3">
        <f>Table1[[#This Row],[Unit Price]]*Table1[[#This Row],[Quantity]]</f>
        <v>2400000</v>
      </c>
      <c r="O158" s="3">
        <f>Table1[[#This Row],[Cost Price]]*Table1[[#This Row],[Quantity]]</f>
        <v>1920000</v>
      </c>
      <c r="P158" s="3">
        <f>Table1[[#This Row],[Revenue]]-Table1[[#This Row],[COGS]]</f>
        <v>480000</v>
      </c>
      <c r="Q158" s="1">
        <v>157</v>
      </c>
    </row>
    <row r="159" spans="1:17">
      <c r="A159" t="s">
        <v>79</v>
      </c>
      <c r="B159" t="str">
        <f>TEXT(Table1[[#This Row],[Date]],"MMMM")</f>
        <v>February</v>
      </c>
      <c r="C159" t="str">
        <f>TEXT(Table1[[#This Row],[Date]],"DDDD")</f>
        <v>Wednesday</v>
      </c>
      <c r="D159" t="s">
        <v>49</v>
      </c>
      <c r="E159" t="s">
        <v>53</v>
      </c>
      <c r="F159" t="s">
        <v>41</v>
      </c>
      <c r="G159" t="s">
        <v>30</v>
      </c>
      <c r="H159" t="s">
        <v>71</v>
      </c>
      <c r="I159" t="s">
        <v>51</v>
      </c>
      <c r="J159" s="3">
        <v>250000</v>
      </c>
      <c r="K159">
        <v>3</v>
      </c>
      <c r="L159" t="s">
        <v>33</v>
      </c>
      <c r="M159" s="3">
        <v>200000</v>
      </c>
      <c r="N159" s="3">
        <f>Table1[[#This Row],[Unit Price]]*Table1[[#This Row],[Quantity]]</f>
        <v>750000</v>
      </c>
      <c r="O159" s="3">
        <f>Table1[[#This Row],[Cost Price]]*Table1[[#This Row],[Quantity]]</f>
        <v>600000</v>
      </c>
      <c r="P159" s="3">
        <f>Table1[[#This Row],[Revenue]]-Table1[[#This Row],[COGS]]</f>
        <v>150000</v>
      </c>
      <c r="Q159" s="1">
        <v>158</v>
      </c>
    </row>
    <row r="160" spans="1:17">
      <c r="A160" t="s">
        <v>87</v>
      </c>
      <c r="B160" t="str">
        <f>TEXT(Table1[[#This Row],[Date]],"MMMM")</f>
        <v>March</v>
      </c>
      <c r="C160" t="str">
        <f>TEXT(Table1[[#This Row],[Date]],"DDDD")</f>
        <v>Thursday</v>
      </c>
      <c r="D160" t="s">
        <v>27</v>
      </c>
      <c r="E160" t="s">
        <v>53</v>
      </c>
      <c r="F160" t="s">
        <v>41</v>
      </c>
      <c r="G160" t="s">
        <v>30</v>
      </c>
      <c r="H160" t="s">
        <v>50</v>
      </c>
      <c r="I160" t="s">
        <v>51</v>
      </c>
      <c r="J160" s="3">
        <v>300000</v>
      </c>
      <c r="K160">
        <v>4</v>
      </c>
      <c r="L160" t="s">
        <v>58</v>
      </c>
      <c r="M160" s="3">
        <v>240000</v>
      </c>
      <c r="N160" s="3">
        <f>Table1[[#This Row],[Unit Price]]*Table1[[#This Row],[Quantity]]</f>
        <v>1200000</v>
      </c>
      <c r="O160" s="3">
        <f>Table1[[#This Row],[Cost Price]]*Table1[[#This Row],[Quantity]]</f>
        <v>960000</v>
      </c>
      <c r="P160" s="3">
        <f>Table1[[#This Row],[Revenue]]-Table1[[#This Row],[COGS]]</f>
        <v>240000</v>
      </c>
      <c r="Q160" s="1">
        <v>159</v>
      </c>
    </row>
    <row r="161" spans="1:17">
      <c r="A161" t="s">
        <v>137</v>
      </c>
      <c r="B161" t="str">
        <f>TEXT(Table1[[#This Row],[Date]],"MMMM")</f>
        <v>April</v>
      </c>
      <c r="C161" t="str">
        <f>TEXT(Table1[[#This Row],[Date]],"DDDD")</f>
        <v>Wednesday</v>
      </c>
      <c r="D161" t="s">
        <v>27</v>
      </c>
      <c r="E161" t="s">
        <v>45</v>
      </c>
      <c r="F161" t="s">
        <v>29</v>
      </c>
      <c r="G161" t="s">
        <v>30</v>
      </c>
      <c r="H161" t="s">
        <v>62</v>
      </c>
      <c r="I161" t="s">
        <v>51</v>
      </c>
      <c r="J161" s="3">
        <v>150000</v>
      </c>
      <c r="K161">
        <v>6</v>
      </c>
      <c r="L161" t="s">
        <v>58</v>
      </c>
      <c r="M161" s="3">
        <v>120000</v>
      </c>
      <c r="N161" s="3">
        <f>Table1[[#This Row],[Unit Price]]*Table1[[#This Row],[Quantity]]</f>
        <v>900000</v>
      </c>
      <c r="O161" s="3">
        <f>Table1[[#This Row],[Cost Price]]*Table1[[#This Row],[Quantity]]</f>
        <v>720000</v>
      </c>
      <c r="P161" s="3">
        <f>Table1[[#This Row],[Revenue]]-Table1[[#This Row],[COGS]]</f>
        <v>180000</v>
      </c>
      <c r="Q161" s="1">
        <v>160</v>
      </c>
    </row>
    <row r="162" spans="1:17">
      <c r="A162" t="s">
        <v>138</v>
      </c>
      <c r="B162" t="str">
        <f>TEXT(Table1[[#This Row],[Date]],"MMMM")</f>
        <v>April</v>
      </c>
      <c r="C162" t="str">
        <f>TEXT(Table1[[#This Row],[Date]],"DDDD")</f>
        <v>Monday</v>
      </c>
      <c r="D162" t="s">
        <v>27</v>
      </c>
      <c r="E162" t="s">
        <v>53</v>
      </c>
      <c r="F162" t="s">
        <v>29</v>
      </c>
      <c r="G162" t="s">
        <v>30</v>
      </c>
      <c r="H162" t="s">
        <v>67</v>
      </c>
      <c r="I162" t="s">
        <v>51</v>
      </c>
      <c r="J162" s="3">
        <v>420000</v>
      </c>
      <c r="K162">
        <v>2</v>
      </c>
      <c r="L162" t="s">
        <v>33</v>
      </c>
      <c r="M162" s="3">
        <v>336000</v>
      </c>
      <c r="N162" s="3">
        <f>Table1[[#This Row],[Unit Price]]*Table1[[#This Row],[Quantity]]</f>
        <v>840000</v>
      </c>
      <c r="O162" s="3">
        <f>Table1[[#This Row],[Cost Price]]*Table1[[#This Row],[Quantity]]</f>
        <v>672000</v>
      </c>
      <c r="P162" s="3">
        <f>Table1[[#This Row],[Revenue]]-Table1[[#This Row],[COGS]]</f>
        <v>168000</v>
      </c>
      <c r="Q162" s="1">
        <v>161</v>
      </c>
    </row>
    <row r="163" spans="1:17">
      <c r="A163" t="s">
        <v>139</v>
      </c>
      <c r="B163" t="str">
        <f>TEXT(Table1[[#This Row],[Date]],"MMMM")</f>
        <v>January</v>
      </c>
      <c r="C163" t="str">
        <f>TEXT(Table1[[#This Row],[Date]],"DDDD")</f>
        <v>Monday</v>
      </c>
      <c r="D163" t="s">
        <v>44</v>
      </c>
      <c r="E163" t="s">
        <v>36</v>
      </c>
      <c r="F163" t="s">
        <v>29</v>
      </c>
      <c r="G163" t="s">
        <v>30</v>
      </c>
      <c r="H163" t="s">
        <v>73</v>
      </c>
      <c r="I163" t="s">
        <v>39</v>
      </c>
      <c r="J163" s="3">
        <v>220000</v>
      </c>
      <c r="K163">
        <v>1</v>
      </c>
      <c r="L163" t="s">
        <v>42</v>
      </c>
      <c r="M163" s="3">
        <v>176000</v>
      </c>
      <c r="N163" s="3">
        <f>Table1[[#This Row],[Unit Price]]*Table1[[#This Row],[Quantity]]</f>
        <v>220000</v>
      </c>
      <c r="O163" s="3">
        <f>Table1[[#This Row],[Cost Price]]*Table1[[#This Row],[Quantity]]</f>
        <v>176000</v>
      </c>
      <c r="P163" s="3">
        <f>Table1[[#This Row],[Revenue]]-Table1[[#This Row],[COGS]]</f>
        <v>44000</v>
      </c>
      <c r="Q163" s="1">
        <v>162</v>
      </c>
    </row>
    <row r="164" spans="1:17">
      <c r="A164" t="s">
        <v>140</v>
      </c>
      <c r="B164" t="str">
        <f>TEXT(Table1[[#This Row],[Date]],"MMMM")</f>
        <v>April</v>
      </c>
      <c r="C164" t="str">
        <f>TEXT(Table1[[#This Row],[Date]],"DDDD")</f>
        <v>Thursday</v>
      </c>
      <c r="D164" t="s">
        <v>44</v>
      </c>
      <c r="E164" t="s">
        <v>53</v>
      </c>
      <c r="F164" t="s">
        <v>29</v>
      </c>
      <c r="G164" t="s">
        <v>37</v>
      </c>
      <c r="H164" t="s">
        <v>73</v>
      </c>
      <c r="I164" t="s">
        <v>39</v>
      </c>
      <c r="J164" s="3">
        <v>220000</v>
      </c>
      <c r="K164">
        <v>8</v>
      </c>
      <c r="L164" t="s">
        <v>65</v>
      </c>
      <c r="M164" s="3">
        <v>176000</v>
      </c>
      <c r="N164" s="3">
        <f>Table1[[#This Row],[Unit Price]]*Table1[[#This Row],[Quantity]]</f>
        <v>1760000</v>
      </c>
      <c r="O164" s="3">
        <f>Table1[[#This Row],[Cost Price]]*Table1[[#This Row],[Quantity]]</f>
        <v>1408000</v>
      </c>
      <c r="P164" s="3">
        <f>Table1[[#This Row],[Revenue]]-Table1[[#This Row],[COGS]]</f>
        <v>352000</v>
      </c>
      <c r="Q164" s="1">
        <v>163</v>
      </c>
    </row>
    <row r="165" spans="1:17">
      <c r="A165" t="s">
        <v>102</v>
      </c>
      <c r="B165" t="str">
        <f>TEXT(Table1[[#This Row],[Date]],"MMMM")</f>
        <v>March</v>
      </c>
      <c r="C165" t="str">
        <f>TEXT(Table1[[#This Row],[Date]],"DDDD")</f>
        <v>Wednesday</v>
      </c>
      <c r="D165" t="s">
        <v>49</v>
      </c>
      <c r="E165" t="s">
        <v>45</v>
      </c>
      <c r="F165" t="s">
        <v>29</v>
      </c>
      <c r="G165" t="s">
        <v>37</v>
      </c>
      <c r="H165" t="s">
        <v>38</v>
      </c>
      <c r="I165" t="s">
        <v>39</v>
      </c>
      <c r="J165" s="3">
        <v>30000</v>
      </c>
      <c r="K165">
        <v>10</v>
      </c>
      <c r="L165" t="s">
        <v>69</v>
      </c>
      <c r="M165" s="3">
        <v>24000</v>
      </c>
      <c r="N165" s="3">
        <f>Table1[[#This Row],[Unit Price]]*Table1[[#This Row],[Quantity]]</f>
        <v>300000</v>
      </c>
      <c r="O165" s="3">
        <f>Table1[[#This Row],[Cost Price]]*Table1[[#This Row],[Quantity]]</f>
        <v>240000</v>
      </c>
      <c r="P165" s="3">
        <f>Table1[[#This Row],[Revenue]]-Table1[[#This Row],[COGS]]</f>
        <v>60000</v>
      </c>
      <c r="Q165" s="1">
        <v>164</v>
      </c>
    </row>
    <row r="166" spans="1:17">
      <c r="A166" t="s">
        <v>141</v>
      </c>
      <c r="B166" t="str">
        <f>TEXT(Table1[[#This Row],[Date]],"MMMM")</f>
        <v>March</v>
      </c>
      <c r="C166" t="str">
        <f>TEXT(Table1[[#This Row],[Date]],"DDDD")</f>
        <v>Sunday</v>
      </c>
      <c r="D166" t="s">
        <v>49</v>
      </c>
      <c r="E166" t="s">
        <v>36</v>
      </c>
      <c r="F166" t="s">
        <v>41</v>
      </c>
      <c r="G166" t="s">
        <v>30</v>
      </c>
      <c r="H166" t="s">
        <v>38</v>
      </c>
      <c r="I166" t="s">
        <v>39</v>
      </c>
      <c r="J166" s="3">
        <v>30000</v>
      </c>
      <c r="K166">
        <v>4</v>
      </c>
      <c r="L166" t="s">
        <v>69</v>
      </c>
      <c r="M166" s="3">
        <v>24000</v>
      </c>
      <c r="N166" s="3">
        <f>Table1[[#This Row],[Unit Price]]*Table1[[#This Row],[Quantity]]</f>
        <v>120000</v>
      </c>
      <c r="O166" s="3">
        <f>Table1[[#This Row],[Cost Price]]*Table1[[#This Row],[Quantity]]</f>
        <v>96000</v>
      </c>
      <c r="P166" s="3">
        <f>Table1[[#This Row],[Revenue]]-Table1[[#This Row],[COGS]]</f>
        <v>24000</v>
      </c>
      <c r="Q166" s="1">
        <v>165</v>
      </c>
    </row>
    <row r="167" spans="1:17">
      <c r="A167" t="s">
        <v>142</v>
      </c>
      <c r="B167" t="str">
        <f>TEXT(Table1[[#This Row],[Date]],"MMMM")</f>
        <v>April</v>
      </c>
      <c r="C167" t="str">
        <f>TEXT(Table1[[#This Row],[Date]],"DDDD")</f>
        <v>Monday</v>
      </c>
      <c r="D167" t="s">
        <v>27</v>
      </c>
      <c r="E167" t="s">
        <v>28</v>
      </c>
      <c r="F167" t="s">
        <v>41</v>
      </c>
      <c r="G167" t="s">
        <v>30</v>
      </c>
      <c r="H167" t="s">
        <v>54</v>
      </c>
      <c r="I167" t="s">
        <v>39</v>
      </c>
      <c r="J167" s="3">
        <v>180000</v>
      </c>
      <c r="K167">
        <v>6</v>
      </c>
      <c r="L167" t="s">
        <v>33</v>
      </c>
      <c r="M167" s="3">
        <v>144000</v>
      </c>
      <c r="N167" s="3">
        <f>Table1[[#This Row],[Unit Price]]*Table1[[#This Row],[Quantity]]</f>
        <v>1080000</v>
      </c>
      <c r="O167" s="3">
        <f>Table1[[#This Row],[Cost Price]]*Table1[[#This Row],[Quantity]]</f>
        <v>864000</v>
      </c>
      <c r="P167" s="3">
        <f>Table1[[#This Row],[Revenue]]-Table1[[#This Row],[COGS]]</f>
        <v>216000</v>
      </c>
      <c r="Q167" s="1">
        <v>166</v>
      </c>
    </row>
    <row r="168" spans="1:17">
      <c r="A168" t="s">
        <v>143</v>
      </c>
      <c r="B168" t="str">
        <f>TEXT(Table1[[#This Row],[Date]],"MMMM")</f>
        <v>April</v>
      </c>
      <c r="C168" t="str">
        <f>TEXT(Table1[[#This Row],[Date]],"DDDD")</f>
        <v>Thursday</v>
      </c>
      <c r="D168" t="s">
        <v>27</v>
      </c>
      <c r="E168" t="s">
        <v>53</v>
      </c>
      <c r="F168" t="s">
        <v>41</v>
      </c>
      <c r="G168" t="s">
        <v>30</v>
      </c>
      <c r="H168" t="s">
        <v>50</v>
      </c>
      <c r="I168" t="s">
        <v>51</v>
      </c>
      <c r="J168" s="3">
        <v>300000</v>
      </c>
      <c r="K168">
        <v>2</v>
      </c>
      <c r="L168" t="s">
        <v>69</v>
      </c>
      <c r="M168" s="3">
        <v>240000</v>
      </c>
      <c r="N168" s="3">
        <f>Table1[[#This Row],[Unit Price]]*Table1[[#This Row],[Quantity]]</f>
        <v>600000</v>
      </c>
      <c r="O168" s="3">
        <f>Table1[[#This Row],[Cost Price]]*Table1[[#This Row],[Quantity]]</f>
        <v>480000</v>
      </c>
      <c r="P168" s="3">
        <f>Table1[[#This Row],[Revenue]]-Table1[[#This Row],[COGS]]</f>
        <v>120000</v>
      </c>
      <c r="Q168" s="1">
        <v>167</v>
      </c>
    </row>
    <row r="169" spans="1:17">
      <c r="A169" t="s">
        <v>139</v>
      </c>
      <c r="B169" t="str">
        <f>TEXT(Table1[[#This Row],[Date]],"MMMM")</f>
        <v>January</v>
      </c>
      <c r="C169" t="str">
        <f>TEXT(Table1[[#This Row],[Date]],"DDDD")</f>
        <v>Monday</v>
      </c>
      <c r="D169" t="s">
        <v>35</v>
      </c>
      <c r="E169" t="s">
        <v>36</v>
      </c>
      <c r="F169" t="s">
        <v>29</v>
      </c>
      <c r="G169" t="s">
        <v>30</v>
      </c>
      <c r="H169" t="s">
        <v>62</v>
      </c>
      <c r="I169" t="s">
        <v>51</v>
      </c>
      <c r="J169" s="3">
        <v>150000</v>
      </c>
      <c r="K169">
        <v>9</v>
      </c>
      <c r="L169" t="s">
        <v>33</v>
      </c>
      <c r="M169" s="3">
        <v>120000</v>
      </c>
      <c r="N169" s="3">
        <f>Table1[[#This Row],[Unit Price]]*Table1[[#This Row],[Quantity]]</f>
        <v>1350000</v>
      </c>
      <c r="O169" s="3">
        <f>Table1[[#This Row],[Cost Price]]*Table1[[#This Row],[Quantity]]</f>
        <v>1080000</v>
      </c>
      <c r="P169" s="3">
        <f>Table1[[#This Row],[Revenue]]-Table1[[#This Row],[COGS]]</f>
        <v>270000</v>
      </c>
      <c r="Q169" s="1">
        <v>168</v>
      </c>
    </row>
    <row r="170" spans="1:17">
      <c r="A170" t="s">
        <v>81</v>
      </c>
      <c r="B170" t="str">
        <f>TEXT(Table1[[#This Row],[Date]],"MMMM")</f>
        <v>March</v>
      </c>
      <c r="C170" t="str">
        <f>TEXT(Table1[[#This Row],[Date]],"DDDD")</f>
        <v>Sunday</v>
      </c>
      <c r="D170" t="s">
        <v>49</v>
      </c>
      <c r="E170" t="s">
        <v>28</v>
      </c>
      <c r="F170" t="s">
        <v>29</v>
      </c>
      <c r="G170" t="s">
        <v>37</v>
      </c>
      <c r="H170" t="s">
        <v>62</v>
      </c>
      <c r="I170" t="s">
        <v>51</v>
      </c>
      <c r="J170" s="3">
        <v>150000</v>
      </c>
      <c r="K170">
        <v>9</v>
      </c>
      <c r="L170" t="s">
        <v>42</v>
      </c>
      <c r="M170" s="3">
        <v>120000</v>
      </c>
      <c r="N170" s="3">
        <f>Table1[[#This Row],[Unit Price]]*Table1[[#This Row],[Quantity]]</f>
        <v>1350000</v>
      </c>
      <c r="O170" s="3">
        <f>Table1[[#This Row],[Cost Price]]*Table1[[#This Row],[Quantity]]</f>
        <v>1080000</v>
      </c>
      <c r="P170" s="3">
        <f>Table1[[#This Row],[Revenue]]-Table1[[#This Row],[COGS]]</f>
        <v>270000</v>
      </c>
      <c r="Q170" s="1">
        <v>169</v>
      </c>
    </row>
    <row r="171" spans="1:17">
      <c r="A171" t="s">
        <v>144</v>
      </c>
      <c r="B171" t="str">
        <f>TEXT(Table1[[#This Row],[Date]],"MMMM")</f>
        <v>February</v>
      </c>
      <c r="C171" t="str">
        <f>TEXT(Table1[[#This Row],[Date]],"DDDD")</f>
        <v>Friday</v>
      </c>
      <c r="D171" t="s">
        <v>27</v>
      </c>
      <c r="E171" t="s">
        <v>28</v>
      </c>
      <c r="F171" t="s">
        <v>29</v>
      </c>
      <c r="G171" t="s">
        <v>30</v>
      </c>
      <c r="H171" t="s">
        <v>38</v>
      </c>
      <c r="I171" t="s">
        <v>39</v>
      </c>
      <c r="J171" s="3">
        <v>30000</v>
      </c>
      <c r="K171">
        <v>4</v>
      </c>
      <c r="L171" t="s">
        <v>33</v>
      </c>
      <c r="M171" s="3">
        <v>24000</v>
      </c>
      <c r="N171" s="3">
        <f>Table1[[#This Row],[Unit Price]]*Table1[[#This Row],[Quantity]]</f>
        <v>120000</v>
      </c>
      <c r="O171" s="3">
        <f>Table1[[#This Row],[Cost Price]]*Table1[[#This Row],[Quantity]]</f>
        <v>96000</v>
      </c>
      <c r="P171" s="3">
        <f>Table1[[#This Row],[Revenue]]-Table1[[#This Row],[COGS]]</f>
        <v>24000</v>
      </c>
      <c r="Q171" s="1">
        <v>170</v>
      </c>
    </row>
    <row r="172" spans="1:17">
      <c r="A172" t="s">
        <v>76</v>
      </c>
      <c r="B172" t="str">
        <f>TEXT(Table1[[#This Row],[Date]],"MMMM")</f>
        <v>May</v>
      </c>
      <c r="C172" t="str">
        <f>TEXT(Table1[[#This Row],[Date]],"DDDD")</f>
        <v>Thursday</v>
      </c>
      <c r="D172" t="s">
        <v>35</v>
      </c>
      <c r="E172" t="s">
        <v>45</v>
      </c>
      <c r="F172" t="s">
        <v>41</v>
      </c>
      <c r="G172" t="s">
        <v>30</v>
      </c>
      <c r="H172" t="s">
        <v>46</v>
      </c>
      <c r="I172" t="s">
        <v>39</v>
      </c>
      <c r="J172" s="3">
        <v>60000</v>
      </c>
      <c r="K172">
        <v>9</v>
      </c>
      <c r="L172" t="s">
        <v>47</v>
      </c>
      <c r="M172" s="3">
        <v>48000</v>
      </c>
      <c r="N172" s="3">
        <f>Table1[[#This Row],[Unit Price]]*Table1[[#This Row],[Quantity]]</f>
        <v>540000</v>
      </c>
      <c r="O172" s="3">
        <f>Table1[[#This Row],[Cost Price]]*Table1[[#This Row],[Quantity]]</f>
        <v>432000</v>
      </c>
      <c r="P172" s="3">
        <f>Table1[[#This Row],[Revenue]]-Table1[[#This Row],[COGS]]</f>
        <v>108000</v>
      </c>
      <c r="Q172" s="1">
        <v>171</v>
      </c>
    </row>
    <row r="173" spans="1:17">
      <c r="A173" t="s">
        <v>145</v>
      </c>
      <c r="B173" t="str">
        <f>TEXT(Table1[[#This Row],[Date]],"MMMM")</f>
        <v>January</v>
      </c>
      <c r="C173" t="str">
        <f>TEXT(Table1[[#This Row],[Date]],"DDDD")</f>
        <v>Friday</v>
      </c>
      <c r="D173" t="s">
        <v>44</v>
      </c>
      <c r="E173" t="s">
        <v>36</v>
      </c>
      <c r="F173" t="s">
        <v>29</v>
      </c>
      <c r="G173" t="s">
        <v>37</v>
      </c>
      <c r="H173" t="s">
        <v>50</v>
      </c>
      <c r="I173" t="s">
        <v>51</v>
      </c>
      <c r="J173" s="3">
        <v>300000</v>
      </c>
      <c r="K173">
        <v>9</v>
      </c>
      <c r="L173" t="s">
        <v>47</v>
      </c>
      <c r="M173" s="3">
        <v>240000</v>
      </c>
      <c r="N173" s="3">
        <f>Table1[[#This Row],[Unit Price]]*Table1[[#This Row],[Quantity]]</f>
        <v>2700000</v>
      </c>
      <c r="O173" s="3">
        <f>Table1[[#This Row],[Cost Price]]*Table1[[#This Row],[Quantity]]</f>
        <v>2160000</v>
      </c>
      <c r="P173" s="3">
        <f>Table1[[#This Row],[Revenue]]-Table1[[#This Row],[COGS]]</f>
        <v>540000</v>
      </c>
      <c r="Q173" s="1">
        <v>172</v>
      </c>
    </row>
    <row r="174" spans="1:17">
      <c r="A174" t="s">
        <v>113</v>
      </c>
      <c r="B174" t="str">
        <f>TEXT(Table1[[#This Row],[Date]],"MMMM")</f>
        <v>April</v>
      </c>
      <c r="C174" t="str">
        <f>TEXT(Table1[[#This Row],[Date]],"DDDD")</f>
        <v>Monday</v>
      </c>
      <c r="D174" t="s">
        <v>49</v>
      </c>
      <c r="E174" t="s">
        <v>53</v>
      </c>
      <c r="F174" t="s">
        <v>29</v>
      </c>
      <c r="G174" t="s">
        <v>30</v>
      </c>
      <c r="H174" t="s">
        <v>56</v>
      </c>
      <c r="I174" t="s">
        <v>32</v>
      </c>
      <c r="J174" s="3">
        <v>320000</v>
      </c>
      <c r="K174">
        <v>3</v>
      </c>
      <c r="L174" t="s">
        <v>69</v>
      </c>
      <c r="M174" s="3">
        <v>256000</v>
      </c>
      <c r="N174" s="3">
        <f>Table1[[#This Row],[Unit Price]]*Table1[[#This Row],[Quantity]]</f>
        <v>960000</v>
      </c>
      <c r="O174" s="3">
        <f>Table1[[#This Row],[Cost Price]]*Table1[[#This Row],[Quantity]]</f>
        <v>768000</v>
      </c>
      <c r="P174" s="3">
        <f>Table1[[#This Row],[Revenue]]-Table1[[#This Row],[COGS]]</f>
        <v>192000</v>
      </c>
      <c r="Q174" s="1">
        <v>173</v>
      </c>
    </row>
    <row r="175" spans="1:17">
      <c r="A175" t="s">
        <v>43</v>
      </c>
      <c r="B175" t="str">
        <f>TEXT(Table1[[#This Row],[Date]],"MMMM")</f>
        <v>April</v>
      </c>
      <c r="C175" t="str">
        <f>TEXT(Table1[[#This Row],[Date]],"DDDD")</f>
        <v>Friday</v>
      </c>
      <c r="D175" t="s">
        <v>27</v>
      </c>
      <c r="E175" t="s">
        <v>28</v>
      </c>
      <c r="F175" t="s">
        <v>29</v>
      </c>
      <c r="G175" t="s">
        <v>30</v>
      </c>
      <c r="H175" t="s">
        <v>62</v>
      </c>
      <c r="I175" t="s">
        <v>51</v>
      </c>
      <c r="J175" s="3">
        <v>150000</v>
      </c>
      <c r="K175">
        <v>1</v>
      </c>
      <c r="L175" t="s">
        <v>33</v>
      </c>
      <c r="M175" s="3">
        <v>120000</v>
      </c>
      <c r="N175" s="3">
        <f>Table1[[#This Row],[Unit Price]]*Table1[[#This Row],[Quantity]]</f>
        <v>150000</v>
      </c>
      <c r="O175" s="3">
        <f>Table1[[#This Row],[Cost Price]]*Table1[[#This Row],[Quantity]]</f>
        <v>120000</v>
      </c>
      <c r="P175" s="3">
        <f>Table1[[#This Row],[Revenue]]-Table1[[#This Row],[COGS]]</f>
        <v>30000</v>
      </c>
      <c r="Q175" s="1">
        <v>174</v>
      </c>
    </row>
    <row r="176" spans="1:17">
      <c r="A176" t="s">
        <v>137</v>
      </c>
      <c r="B176" t="str">
        <f>TEXT(Table1[[#This Row],[Date]],"MMMM")</f>
        <v>April</v>
      </c>
      <c r="C176" t="str">
        <f>TEXT(Table1[[#This Row],[Date]],"DDDD")</f>
        <v>Wednesday</v>
      </c>
      <c r="D176" t="s">
        <v>49</v>
      </c>
      <c r="E176" t="s">
        <v>36</v>
      </c>
      <c r="F176" t="s">
        <v>41</v>
      </c>
      <c r="G176" t="s">
        <v>30</v>
      </c>
      <c r="H176" t="s">
        <v>50</v>
      </c>
      <c r="I176" t="s">
        <v>51</v>
      </c>
      <c r="J176" s="3">
        <v>300000</v>
      </c>
      <c r="K176">
        <v>9</v>
      </c>
      <c r="L176" t="s">
        <v>47</v>
      </c>
      <c r="M176" s="3">
        <v>240000</v>
      </c>
      <c r="N176" s="3">
        <f>Table1[[#This Row],[Unit Price]]*Table1[[#This Row],[Quantity]]</f>
        <v>2700000</v>
      </c>
      <c r="O176" s="3">
        <f>Table1[[#This Row],[Cost Price]]*Table1[[#This Row],[Quantity]]</f>
        <v>2160000</v>
      </c>
      <c r="P176" s="3">
        <f>Table1[[#This Row],[Revenue]]-Table1[[#This Row],[COGS]]</f>
        <v>540000</v>
      </c>
      <c r="Q176" s="1">
        <v>175</v>
      </c>
    </row>
    <row r="177" spans="1:17">
      <c r="A177" t="s">
        <v>83</v>
      </c>
      <c r="B177" t="str">
        <f>TEXT(Table1[[#This Row],[Date]],"MMMM")</f>
        <v>January</v>
      </c>
      <c r="C177" t="str">
        <f>TEXT(Table1[[#This Row],[Date]],"DDDD")</f>
        <v>Tuesday</v>
      </c>
      <c r="D177" t="s">
        <v>35</v>
      </c>
      <c r="E177" t="s">
        <v>36</v>
      </c>
      <c r="F177" t="s">
        <v>29</v>
      </c>
      <c r="G177" t="s">
        <v>30</v>
      </c>
      <c r="H177" t="s">
        <v>73</v>
      </c>
      <c r="I177" t="s">
        <v>39</v>
      </c>
      <c r="J177" s="3">
        <v>220000</v>
      </c>
      <c r="K177">
        <v>3</v>
      </c>
      <c r="L177" t="s">
        <v>42</v>
      </c>
      <c r="M177" s="3">
        <v>176000</v>
      </c>
      <c r="N177" s="3">
        <f>Table1[[#This Row],[Unit Price]]*Table1[[#This Row],[Quantity]]</f>
        <v>660000</v>
      </c>
      <c r="O177" s="3">
        <f>Table1[[#This Row],[Cost Price]]*Table1[[#This Row],[Quantity]]</f>
        <v>528000</v>
      </c>
      <c r="P177" s="3">
        <f>Table1[[#This Row],[Revenue]]-Table1[[#This Row],[COGS]]</f>
        <v>132000</v>
      </c>
      <c r="Q177" s="1">
        <v>176</v>
      </c>
    </row>
    <row r="178" spans="1:17">
      <c r="A178" t="s">
        <v>116</v>
      </c>
      <c r="B178" t="str">
        <f>TEXT(Table1[[#This Row],[Date]],"MMMM")</f>
        <v>April</v>
      </c>
      <c r="C178" t="str">
        <f>TEXT(Table1[[#This Row],[Date]],"DDDD")</f>
        <v>Saturday</v>
      </c>
      <c r="D178" t="s">
        <v>27</v>
      </c>
      <c r="E178" t="s">
        <v>45</v>
      </c>
      <c r="F178" t="s">
        <v>41</v>
      </c>
      <c r="G178" t="s">
        <v>30</v>
      </c>
      <c r="H178" t="s">
        <v>73</v>
      </c>
      <c r="I178" t="s">
        <v>39</v>
      </c>
      <c r="J178" s="3">
        <v>220000</v>
      </c>
      <c r="K178">
        <v>9</v>
      </c>
      <c r="L178" t="s">
        <v>69</v>
      </c>
      <c r="M178" s="3">
        <v>176000</v>
      </c>
      <c r="N178" s="3">
        <f>Table1[[#This Row],[Unit Price]]*Table1[[#This Row],[Quantity]]</f>
        <v>1980000</v>
      </c>
      <c r="O178" s="3">
        <f>Table1[[#This Row],[Cost Price]]*Table1[[#This Row],[Quantity]]</f>
        <v>1584000</v>
      </c>
      <c r="P178" s="3">
        <f>Table1[[#This Row],[Revenue]]-Table1[[#This Row],[COGS]]</f>
        <v>396000</v>
      </c>
      <c r="Q178" s="1">
        <v>177</v>
      </c>
    </row>
    <row r="179" spans="1:17">
      <c r="A179" t="s">
        <v>146</v>
      </c>
      <c r="B179" t="str">
        <f>TEXT(Table1[[#This Row],[Date]],"MMMM")</f>
        <v>January</v>
      </c>
      <c r="C179" t="str">
        <f>TEXT(Table1[[#This Row],[Date]],"DDDD")</f>
        <v>Tuesday</v>
      </c>
      <c r="D179" t="s">
        <v>35</v>
      </c>
      <c r="E179" t="s">
        <v>45</v>
      </c>
      <c r="F179" t="s">
        <v>41</v>
      </c>
      <c r="G179" t="s">
        <v>37</v>
      </c>
      <c r="H179" t="s">
        <v>46</v>
      </c>
      <c r="I179" t="s">
        <v>39</v>
      </c>
      <c r="J179" s="3">
        <v>60000</v>
      </c>
      <c r="K179">
        <v>6</v>
      </c>
      <c r="L179" t="s">
        <v>69</v>
      </c>
      <c r="M179" s="3">
        <v>48000</v>
      </c>
      <c r="N179" s="3">
        <f>Table1[[#This Row],[Unit Price]]*Table1[[#This Row],[Quantity]]</f>
        <v>360000</v>
      </c>
      <c r="O179" s="3">
        <f>Table1[[#This Row],[Cost Price]]*Table1[[#This Row],[Quantity]]</f>
        <v>288000</v>
      </c>
      <c r="P179" s="3">
        <f>Table1[[#This Row],[Revenue]]-Table1[[#This Row],[COGS]]</f>
        <v>72000</v>
      </c>
      <c r="Q179" s="1">
        <v>178</v>
      </c>
    </row>
    <row r="180" spans="1:17">
      <c r="A180" t="s">
        <v>89</v>
      </c>
      <c r="B180" t="str">
        <f>TEXT(Table1[[#This Row],[Date]],"MMMM")</f>
        <v>February</v>
      </c>
      <c r="C180" t="str">
        <f>TEXT(Table1[[#This Row],[Date]],"DDDD")</f>
        <v>Tuesday</v>
      </c>
      <c r="D180" t="s">
        <v>49</v>
      </c>
      <c r="E180" t="s">
        <v>45</v>
      </c>
      <c r="F180" t="s">
        <v>29</v>
      </c>
      <c r="G180" t="s">
        <v>37</v>
      </c>
      <c r="H180" t="s">
        <v>38</v>
      </c>
      <c r="I180" t="s">
        <v>39</v>
      </c>
      <c r="J180" s="3">
        <v>30000</v>
      </c>
      <c r="K180">
        <v>10</v>
      </c>
      <c r="L180" t="s">
        <v>58</v>
      </c>
      <c r="M180" s="3">
        <v>24000</v>
      </c>
      <c r="N180" s="3">
        <f>Table1[[#This Row],[Unit Price]]*Table1[[#This Row],[Quantity]]</f>
        <v>300000</v>
      </c>
      <c r="O180" s="3">
        <f>Table1[[#This Row],[Cost Price]]*Table1[[#This Row],[Quantity]]</f>
        <v>240000</v>
      </c>
      <c r="P180" s="3">
        <f>Table1[[#This Row],[Revenue]]-Table1[[#This Row],[COGS]]</f>
        <v>60000</v>
      </c>
      <c r="Q180" s="1">
        <v>179</v>
      </c>
    </row>
    <row r="181" spans="1:17">
      <c r="A181" t="s">
        <v>101</v>
      </c>
      <c r="B181" t="str">
        <f>TEXT(Table1[[#This Row],[Date]],"MMMM")</f>
        <v>January</v>
      </c>
      <c r="C181" t="str">
        <f>TEXT(Table1[[#This Row],[Date]],"DDDD")</f>
        <v>Thursday</v>
      </c>
      <c r="D181" t="s">
        <v>44</v>
      </c>
      <c r="E181" t="s">
        <v>45</v>
      </c>
      <c r="F181" t="s">
        <v>41</v>
      </c>
      <c r="G181" t="s">
        <v>37</v>
      </c>
      <c r="H181" t="s">
        <v>67</v>
      </c>
      <c r="I181" t="s">
        <v>51</v>
      </c>
      <c r="J181" s="3">
        <v>420000</v>
      </c>
      <c r="K181">
        <v>8</v>
      </c>
      <c r="L181" t="s">
        <v>69</v>
      </c>
      <c r="M181" s="3">
        <v>336000</v>
      </c>
      <c r="N181" s="3">
        <f>Table1[[#This Row],[Unit Price]]*Table1[[#This Row],[Quantity]]</f>
        <v>3360000</v>
      </c>
      <c r="O181" s="3">
        <f>Table1[[#This Row],[Cost Price]]*Table1[[#This Row],[Quantity]]</f>
        <v>2688000</v>
      </c>
      <c r="P181" s="3">
        <f>Table1[[#This Row],[Revenue]]-Table1[[#This Row],[COGS]]</f>
        <v>672000</v>
      </c>
      <c r="Q181" s="1">
        <v>180</v>
      </c>
    </row>
    <row r="182" spans="1:17">
      <c r="A182" t="s">
        <v>60</v>
      </c>
      <c r="B182" t="str">
        <f>TEXT(Table1[[#This Row],[Date]],"MMMM")</f>
        <v>March</v>
      </c>
      <c r="C182" t="str">
        <f>TEXT(Table1[[#This Row],[Date]],"DDDD")</f>
        <v>Wednesday</v>
      </c>
      <c r="D182" t="s">
        <v>44</v>
      </c>
      <c r="E182" t="s">
        <v>45</v>
      </c>
      <c r="F182" t="s">
        <v>41</v>
      </c>
      <c r="G182" t="s">
        <v>30</v>
      </c>
      <c r="H182" t="s">
        <v>46</v>
      </c>
      <c r="I182" t="s">
        <v>39</v>
      </c>
      <c r="J182" s="3">
        <v>60000</v>
      </c>
      <c r="K182">
        <v>9</v>
      </c>
      <c r="L182" t="s">
        <v>33</v>
      </c>
      <c r="M182" s="3">
        <v>48000</v>
      </c>
      <c r="N182" s="3">
        <f>Table1[[#This Row],[Unit Price]]*Table1[[#This Row],[Quantity]]</f>
        <v>540000</v>
      </c>
      <c r="O182" s="3">
        <f>Table1[[#This Row],[Cost Price]]*Table1[[#This Row],[Quantity]]</f>
        <v>432000</v>
      </c>
      <c r="P182" s="3">
        <f>Table1[[#This Row],[Revenue]]-Table1[[#This Row],[COGS]]</f>
        <v>108000</v>
      </c>
      <c r="Q182" s="1">
        <v>181</v>
      </c>
    </row>
    <row r="183" spans="1:17">
      <c r="A183" t="s">
        <v>147</v>
      </c>
      <c r="B183" t="str">
        <f>TEXT(Table1[[#This Row],[Date]],"MMMM")</f>
        <v>January</v>
      </c>
      <c r="C183" t="str">
        <f>TEXT(Table1[[#This Row],[Date]],"DDDD")</f>
        <v>Saturday</v>
      </c>
      <c r="D183" t="s">
        <v>35</v>
      </c>
      <c r="E183" t="s">
        <v>45</v>
      </c>
      <c r="F183" t="s">
        <v>41</v>
      </c>
      <c r="G183" t="s">
        <v>30</v>
      </c>
      <c r="H183" t="s">
        <v>71</v>
      </c>
      <c r="I183" t="s">
        <v>51</v>
      </c>
      <c r="J183" s="3">
        <v>250000</v>
      </c>
      <c r="K183">
        <v>1</v>
      </c>
      <c r="L183" t="s">
        <v>58</v>
      </c>
      <c r="M183" s="3">
        <v>200000</v>
      </c>
      <c r="N183" s="3">
        <f>Table1[[#This Row],[Unit Price]]*Table1[[#This Row],[Quantity]]</f>
        <v>250000</v>
      </c>
      <c r="O183" s="3">
        <f>Table1[[#This Row],[Cost Price]]*Table1[[#This Row],[Quantity]]</f>
        <v>200000</v>
      </c>
      <c r="P183" s="3">
        <f>Table1[[#This Row],[Revenue]]-Table1[[#This Row],[COGS]]</f>
        <v>50000</v>
      </c>
      <c r="Q183" s="1">
        <v>182</v>
      </c>
    </row>
    <row r="184" spans="1:17">
      <c r="A184" t="s">
        <v>148</v>
      </c>
      <c r="B184" t="str">
        <f>TEXT(Table1[[#This Row],[Date]],"MMMM")</f>
        <v>February</v>
      </c>
      <c r="C184" t="str">
        <f>TEXT(Table1[[#This Row],[Date]],"DDDD")</f>
        <v>Sunday</v>
      </c>
      <c r="D184" t="s">
        <v>44</v>
      </c>
      <c r="E184" t="s">
        <v>45</v>
      </c>
      <c r="F184" t="s">
        <v>29</v>
      </c>
      <c r="G184" t="s">
        <v>30</v>
      </c>
      <c r="H184" t="s">
        <v>46</v>
      </c>
      <c r="I184" t="s">
        <v>39</v>
      </c>
      <c r="J184" s="3">
        <v>60000</v>
      </c>
      <c r="K184">
        <v>1</v>
      </c>
      <c r="L184" t="s">
        <v>69</v>
      </c>
      <c r="M184" s="3">
        <v>48000</v>
      </c>
      <c r="N184" s="3">
        <f>Table1[[#This Row],[Unit Price]]*Table1[[#This Row],[Quantity]]</f>
        <v>60000</v>
      </c>
      <c r="O184" s="3">
        <f>Table1[[#This Row],[Cost Price]]*Table1[[#This Row],[Quantity]]</f>
        <v>48000</v>
      </c>
      <c r="P184" s="3">
        <f>Table1[[#This Row],[Revenue]]-Table1[[#This Row],[COGS]]</f>
        <v>12000</v>
      </c>
      <c r="Q184" s="1">
        <v>183</v>
      </c>
    </row>
    <row r="185" spans="1:17">
      <c r="A185" t="s">
        <v>106</v>
      </c>
      <c r="B185" t="str">
        <f>TEXT(Table1[[#This Row],[Date]],"MMMM")</f>
        <v>April</v>
      </c>
      <c r="C185" t="str">
        <f>TEXT(Table1[[#This Row],[Date]],"DDDD")</f>
        <v>Wednesday</v>
      </c>
      <c r="D185" t="s">
        <v>44</v>
      </c>
      <c r="E185" t="s">
        <v>53</v>
      </c>
      <c r="F185" t="s">
        <v>29</v>
      </c>
      <c r="G185" t="s">
        <v>30</v>
      </c>
      <c r="H185" t="s">
        <v>67</v>
      </c>
      <c r="I185" t="s">
        <v>51</v>
      </c>
      <c r="J185" s="3">
        <v>420000</v>
      </c>
      <c r="K185">
        <v>8</v>
      </c>
      <c r="L185" t="s">
        <v>69</v>
      </c>
      <c r="M185" s="3">
        <v>336000</v>
      </c>
      <c r="N185" s="3">
        <f>Table1[[#This Row],[Unit Price]]*Table1[[#This Row],[Quantity]]</f>
        <v>3360000</v>
      </c>
      <c r="O185" s="3">
        <f>Table1[[#This Row],[Cost Price]]*Table1[[#This Row],[Quantity]]</f>
        <v>2688000</v>
      </c>
      <c r="P185" s="3">
        <f>Table1[[#This Row],[Revenue]]-Table1[[#This Row],[COGS]]</f>
        <v>672000</v>
      </c>
      <c r="Q185" s="1">
        <v>184</v>
      </c>
    </row>
    <row r="186" spans="1:17">
      <c r="A186" t="s">
        <v>88</v>
      </c>
      <c r="B186" t="str">
        <f>TEXT(Table1[[#This Row],[Date]],"MMMM")</f>
        <v>February</v>
      </c>
      <c r="C186" t="str">
        <f>TEXT(Table1[[#This Row],[Date]],"DDDD")</f>
        <v>Monday</v>
      </c>
      <c r="D186" t="s">
        <v>44</v>
      </c>
      <c r="E186" t="s">
        <v>28</v>
      </c>
      <c r="F186" t="s">
        <v>41</v>
      </c>
      <c r="G186" t="s">
        <v>37</v>
      </c>
      <c r="H186" t="s">
        <v>54</v>
      </c>
      <c r="I186" t="s">
        <v>39</v>
      </c>
      <c r="J186" s="3">
        <v>180000</v>
      </c>
      <c r="K186">
        <v>4</v>
      </c>
      <c r="L186" t="s">
        <v>69</v>
      </c>
      <c r="M186" s="3">
        <v>144000</v>
      </c>
      <c r="N186" s="3">
        <f>Table1[[#This Row],[Unit Price]]*Table1[[#This Row],[Quantity]]</f>
        <v>720000</v>
      </c>
      <c r="O186" s="3">
        <f>Table1[[#This Row],[Cost Price]]*Table1[[#This Row],[Quantity]]</f>
        <v>576000</v>
      </c>
      <c r="P186" s="3">
        <f>Table1[[#This Row],[Revenue]]-Table1[[#This Row],[COGS]]</f>
        <v>144000</v>
      </c>
      <c r="Q186" s="1">
        <v>185</v>
      </c>
    </row>
    <row r="187" spans="1:17">
      <c r="A187" t="s">
        <v>68</v>
      </c>
      <c r="B187" t="str">
        <f>TEXT(Table1[[#This Row],[Date]],"MMMM")</f>
        <v>March</v>
      </c>
      <c r="C187" t="str">
        <f>TEXT(Table1[[#This Row],[Date]],"DDDD")</f>
        <v>Monday</v>
      </c>
      <c r="D187" t="s">
        <v>35</v>
      </c>
      <c r="E187" t="s">
        <v>45</v>
      </c>
      <c r="F187" t="s">
        <v>29</v>
      </c>
      <c r="G187" t="s">
        <v>37</v>
      </c>
      <c r="H187" t="s">
        <v>54</v>
      </c>
      <c r="I187" t="s">
        <v>39</v>
      </c>
      <c r="J187" s="3">
        <v>180000</v>
      </c>
      <c r="K187">
        <v>7</v>
      </c>
      <c r="L187" t="s">
        <v>69</v>
      </c>
      <c r="M187" s="3">
        <v>144000</v>
      </c>
      <c r="N187" s="3">
        <f>Table1[[#This Row],[Unit Price]]*Table1[[#This Row],[Quantity]]</f>
        <v>1260000</v>
      </c>
      <c r="O187" s="3">
        <f>Table1[[#This Row],[Cost Price]]*Table1[[#This Row],[Quantity]]</f>
        <v>1008000</v>
      </c>
      <c r="P187" s="3">
        <f>Table1[[#This Row],[Revenue]]-Table1[[#This Row],[COGS]]</f>
        <v>252000</v>
      </c>
      <c r="Q187" s="1">
        <v>186</v>
      </c>
    </row>
    <row r="188" spans="1:17">
      <c r="A188" t="s">
        <v>94</v>
      </c>
      <c r="B188" t="str">
        <f>TEXT(Table1[[#This Row],[Date]],"MMMM")</f>
        <v>January</v>
      </c>
      <c r="C188" t="str">
        <f>TEXT(Table1[[#This Row],[Date]],"DDDD")</f>
        <v>Friday</v>
      </c>
      <c r="D188" t="s">
        <v>49</v>
      </c>
      <c r="E188" t="s">
        <v>45</v>
      </c>
      <c r="F188" t="s">
        <v>29</v>
      </c>
      <c r="G188" t="s">
        <v>30</v>
      </c>
      <c r="H188" t="s">
        <v>38</v>
      </c>
      <c r="I188" t="s">
        <v>39</v>
      </c>
      <c r="J188" s="3">
        <v>30000</v>
      </c>
      <c r="K188">
        <v>6</v>
      </c>
      <c r="L188" t="s">
        <v>65</v>
      </c>
      <c r="M188" s="3">
        <v>24000</v>
      </c>
      <c r="N188" s="3">
        <f>Table1[[#This Row],[Unit Price]]*Table1[[#This Row],[Quantity]]</f>
        <v>180000</v>
      </c>
      <c r="O188" s="3">
        <f>Table1[[#This Row],[Cost Price]]*Table1[[#This Row],[Quantity]]</f>
        <v>144000</v>
      </c>
      <c r="P188" s="3">
        <f>Table1[[#This Row],[Revenue]]-Table1[[#This Row],[COGS]]</f>
        <v>36000</v>
      </c>
      <c r="Q188" s="1">
        <v>187</v>
      </c>
    </row>
    <row r="189" spans="1:17">
      <c r="A189" t="s">
        <v>85</v>
      </c>
      <c r="B189" t="str">
        <f>TEXT(Table1[[#This Row],[Date]],"MMMM")</f>
        <v>February</v>
      </c>
      <c r="C189" t="str">
        <f>TEXT(Table1[[#This Row],[Date]],"DDDD")</f>
        <v>Thursday</v>
      </c>
      <c r="D189" t="s">
        <v>35</v>
      </c>
      <c r="E189" t="s">
        <v>28</v>
      </c>
      <c r="F189" t="s">
        <v>29</v>
      </c>
      <c r="G189" t="s">
        <v>30</v>
      </c>
      <c r="H189" t="s">
        <v>54</v>
      </c>
      <c r="I189" t="s">
        <v>39</v>
      </c>
      <c r="J189" s="3">
        <v>180000</v>
      </c>
      <c r="K189">
        <v>4</v>
      </c>
      <c r="L189" t="s">
        <v>42</v>
      </c>
      <c r="M189" s="3">
        <v>144000</v>
      </c>
      <c r="N189" s="3">
        <f>Table1[[#This Row],[Unit Price]]*Table1[[#This Row],[Quantity]]</f>
        <v>720000</v>
      </c>
      <c r="O189" s="3">
        <f>Table1[[#This Row],[Cost Price]]*Table1[[#This Row],[Quantity]]</f>
        <v>576000</v>
      </c>
      <c r="P189" s="3">
        <f>Table1[[#This Row],[Revenue]]-Table1[[#This Row],[COGS]]</f>
        <v>144000</v>
      </c>
      <c r="Q189" s="1">
        <v>188</v>
      </c>
    </row>
    <row r="190" spans="1:17">
      <c r="A190" t="s">
        <v>43</v>
      </c>
      <c r="B190" t="str">
        <f>TEXT(Table1[[#This Row],[Date]],"MMMM")</f>
        <v>April</v>
      </c>
      <c r="C190" t="str">
        <f>TEXT(Table1[[#This Row],[Date]],"DDDD")</f>
        <v>Friday</v>
      </c>
      <c r="D190" t="s">
        <v>35</v>
      </c>
      <c r="E190" t="s">
        <v>53</v>
      </c>
      <c r="F190" t="s">
        <v>41</v>
      </c>
      <c r="G190" t="s">
        <v>37</v>
      </c>
      <c r="H190" t="s">
        <v>50</v>
      </c>
      <c r="I190" t="s">
        <v>51</v>
      </c>
      <c r="J190" s="3">
        <v>300000</v>
      </c>
      <c r="K190">
        <v>3</v>
      </c>
      <c r="L190" t="s">
        <v>47</v>
      </c>
      <c r="M190" s="3">
        <v>240000</v>
      </c>
      <c r="N190" s="3">
        <f>Table1[[#This Row],[Unit Price]]*Table1[[#This Row],[Quantity]]</f>
        <v>900000</v>
      </c>
      <c r="O190" s="3">
        <f>Table1[[#This Row],[Cost Price]]*Table1[[#This Row],[Quantity]]</f>
        <v>720000</v>
      </c>
      <c r="P190" s="3">
        <f>Table1[[#This Row],[Revenue]]-Table1[[#This Row],[COGS]]</f>
        <v>180000</v>
      </c>
      <c r="Q190" s="1">
        <v>189</v>
      </c>
    </row>
    <row r="191" spans="1:17">
      <c r="A191" t="s">
        <v>127</v>
      </c>
      <c r="B191" t="str">
        <f>TEXT(Table1[[#This Row],[Date]],"MMMM")</f>
        <v>January</v>
      </c>
      <c r="C191" t="str">
        <f>TEXT(Table1[[#This Row],[Date]],"DDDD")</f>
        <v>Tuesday</v>
      </c>
      <c r="D191" t="s">
        <v>27</v>
      </c>
      <c r="E191" t="s">
        <v>36</v>
      </c>
      <c r="F191" t="s">
        <v>29</v>
      </c>
      <c r="G191" t="s">
        <v>30</v>
      </c>
      <c r="H191" t="s">
        <v>46</v>
      </c>
      <c r="I191" t="s">
        <v>39</v>
      </c>
      <c r="J191" s="3">
        <v>60000</v>
      </c>
      <c r="K191">
        <v>3</v>
      </c>
      <c r="L191" t="s">
        <v>33</v>
      </c>
      <c r="M191" s="3">
        <v>48000</v>
      </c>
      <c r="N191" s="3">
        <f>Table1[[#This Row],[Unit Price]]*Table1[[#This Row],[Quantity]]</f>
        <v>180000</v>
      </c>
      <c r="O191" s="3">
        <f>Table1[[#This Row],[Cost Price]]*Table1[[#This Row],[Quantity]]</f>
        <v>144000</v>
      </c>
      <c r="P191" s="3">
        <f>Table1[[#This Row],[Revenue]]-Table1[[#This Row],[COGS]]</f>
        <v>36000</v>
      </c>
      <c r="Q191" s="1">
        <v>190</v>
      </c>
    </row>
    <row r="192" spans="1:17">
      <c r="A192" t="s">
        <v>85</v>
      </c>
      <c r="B192" t="str">
        <f>TEXT(Table1[[#This Row],[Date]],"MMMM")</f>
        <v>February</v>
      </c>
      <c r="C192" t="str">
        <f>TEXT(Table1[[#This Row],[Date]],"DDDD")</f>
        <v>Thursday</v>
      </c>
      <c r="D192" t="s">
        <v>35</v>
      </c>
      <c r="E192" t="s">
        <v>28</v>
      </c>
      <c r="F192" t="s">
        <v>41</v>
      </c>
      <c r="G192" t="s">
        <v>30</v>
      </c>
      <c r="H192" t="s">
        <v>73</v>
      </c>
      <c r="I192" t="s">
        <v>39</v>
      </c>
      <c r="J192" s="3">
        <v>220000</v>
      </c>
      <c r="K192">
        <v>1</v>
      </c>
      <c r="L192" t="s">
        <v>47</v>
      </c>
      <c r="M192" s="3">
        <v>176000</v>
      </c>
      <c r="N192" s="3">
        <f>Table1[[#This Row],[Unit Price]]*Table1[[#This Row],[Quantity]]</f>
        <v>220000</v>
      </c>
      <c r="O192" s="3">
        <f>Table1[[#This Row],[Cost Price]]*Table1[[#This Row],[Quantity]]</f>
        <v>176000</v>
      </c>
      <c r="P192" s="3">
        <f>Table1[[#This Row],[Revenue]]-Table1[[#This Row],[COGS]]</f>
        <v>44000</v>
      </c>
      <c r="Q192" s="1">
        <v>191</v>
      </c>
    </row>
    <row r="193" spans="1:17">
      <c r="A193" t="s">
        <v>107</v>
      </c>
      <c r="B193" t="str">
        <f>TEXT(Table1[[#This Row],[Date]],"MMMM")</f>
        <v>February</v>
      </c>
      <c r="C193" t="str">
        <f>TEXT(Table1[[#This Row],[Date]],"DDDD")</f>
        <v>Wednesday</v>
      </c>
      <c r="D193" t="s">
        <v>49</v>
      </c>
      <c r="E193" t="s">
        <v>36</v>
      </c>
      <c r="F193" t="s">
        <v>29</v>
      </c>
      <c r="G193" t="s">
        <v>30</v>
      </c>
      <c r="H193" t="s">
        <v>50</v>
      </c>
      <c r="I193" t="s">
        <v>51</v>
      </c>
      <c r="J193" s="3">
        <v>300000</v>
      </c>
      <c r="K193">
        <v>2</v>
      </c>
      <c r="L193" t="s">
        <v>42</v>
      </c>
      <c r="M193" s="3">
        <v>240000</v>
      </c>
      <c r="N193" s="3">
        <f>Table1[[#This Row],[Unit Price]]*Table1[[#This Row],[Quantity]]</f>
        <v>600000</v>
      </c>
      <c r="O193" s="3">
        <f>Table1[[#This Row],[Cost Price]]*Table1[[#This Row],[Quantity]]</f>
        <v>480000</v>
      </c>
      <c r="P193" s="3">
        <f>Table1[[#This Row],[Revenue]]-Table1[[#This Row],[COGS]]</f>
        <v>120000</v>
      </c>
      <c r="Q193" s="1">
        <v>192</v>
      </c>
    </row>
    <row r="194" spans="1:17">
      <c r="A194" t="s">
        <v>103</v>
      </c>
      <c r="B194" t="str">
        <f>TEXT(Table1[[#This Row],[Date]],"MMMM")</f>
        <v>March</v>
      </c>
      <c r="C194" t="str">
        <f>TEXT(Table1[[#This Row],[Date]],"DDDD")</f>
        <v>Wednesday</v>
      </c>
      <c r="D194" t="s">
        <v>44</v>
      </c>
      <c r="E194" t="s">
        <v>45</v>
      </c>
      <c r="F194" t="s">
        <v>29</v>
      </c>
      <c r="G194" t="s">
        <v>30</v>
      </c>
      <c r="H194" t="s">
        <v>62</v>
      </c>
      <c r="I194" t="s">
        <v>51</v>
      </c>
      <c r="J194" s="3">
        <v>150000</v>
      </c>
      <c r="K194">
        <v>3</v>
      </c>
      <c r="L194" t="s">
        <v>42</v>
      </c>
      <c r="M194" s="3">
        <v>120000</v>
      </c>
      <c r="N194" s="3">
        <f>Table1[[#This Row],[Unit Price]]*Table1[[#This Row],[Quantity]]</f>
        <v>450000</v>
      </c>
      <c r="O194" s="3">
        <f>Table1[[#This Row],[Cost Price]]*Table1[[#This Row],[Quantity]]</f>
        <v>360000</v>
      </c>
      <c r="P194" s="3">
        <f>Table1[[#This Row],[Revenue]]-Table1[[#This Row],[COGS]]</f>
        <v>90000</v>
      </c>
      <c r="Q194" s="1">
        <v>193</v>
      </c>
    </row>
    <row r="195" spans="1:17">
      <c r="A195" t="s">
        <v>89</v>
      </c>
      <c r="B195" t="str">
        <f>TEXT(Table1[[#This Row],[Date]],"MMMM")</f>
        <v>February</v>
      </c>
      <c r="C195" t="str">
        <f>TEXT(Table1[[#This Row],[Date]],"DDDD")</f>
        <v>Tuesday</v>
      </c>
      <c r="D195" t="s">
        <v>49</v>
      </c>
      <c r="E195" t="s">
        <v>36</v>
      </c>
      <c r="F195" t="s">
        <v>41</v>
      </c>
      <c r="G195" t="s">
        <v>30</v>
      </c>
      <c r="H195" t="s">
        <v>31</v>
      </c>
      <c r="I195" t="s">
        <v>32</v>
      </c>
      <c r="J195" s="3">
        <v>85000</v>
      </c>
      <c r="K195">
        <v>1</v>
      </c>
      <c r="L195" t="s">
        <v>42</v>
      </c>
      <c r="M195" s="3">
        <v>68000</v>
      </c>
      <c r="N195" s="3">
        <f>Table1[[#This Row],[Unit Price]]*Table1[[#This Row],[Quantity]]</f>
        <v>85000</v>
      </c>
      <c r="O195" s="3">
        <f>Table1[[#This Row],[Cost Price]]*Table1[[#This Row],[Quantity]]</f>
        <v>68000</v>
      </c>
      <c r="P195" s="3">
        <f>Table1[[#This Row],[Revenue]]-Table1[[#This Row],[COGS]]</f>
        <v>17000</v>
      </c>
      <c r="Q195" s="1">
        <v>194</v>
      </c>
    </row>
    <row r="196" spans="1:17">
      <c r="A196" t="s">
        <v>101</v>
      </c>
      <c r="B196" t="str">
        <f>TEXT(Table1[[#This Row],[Date]],"MMMM")</f>
        <v>January</v>
      </c>
      <c r="C196" t="str">
        <f>TEXT(Table1[[#This Row],[Date]],"DDDD")</f>
        <v>Thursday</v>
      </c>
      <c r="D196" t="s">
        <v>44</v>
      </c>
      <c r="E196" t="s">
        <v>36</v>
      </c>
      <c r="F196" t="s">
        <v>29</v>
      </c>
      <c r="G196" t="s">
        <v>37</v>
      </c>
      <c r="H196" t="s">
        <v>38</v>
      </c>
      <c r="I196" t="s">
        <v>39</v>
      </c>
      <c r="J196" s="3">
        <v>30000</v>
      </c>
      <c r="K196">
        <v>6</v>
      </c>
      <c r="L196" t="s">
        <v>33</v>
      </c>
      <c r="M196" s="3">
        <v>24000</v>
      </c>
      <c r="N196" s="3">
        <f>Table1[[#This Row],[Unit Price]]*Table1[[#This Row],[Quantity]]</f>
        <v>180000</v>
      </c>
      <c r="O196" s="3">
        <f>Table1[[#This Row],[Cost Price]]*Table1[[#This Row],[Quantity]]</f>
        <v>144000</v>
      </c>
      <c r="P196" s="3">
        <f>Table1[[#This Row],[Revenue]]-Table1[[#This Row],[COGS]]</f>
        <v>36000</v>
      </c>
      <c r="Q196" s="1">
        <v>195</v>
      </c>
    </row>
    <row r="197" spans="1:17">
      <c r="A197" t="s">
        <v>141</v>
      </c>
      <c r="B197" t="str">
        <f>TEXT(Table1[[#This Row],[Date]],"MMMM")</f>
        <v>March</v>
      </c>
      <c r="C197" t="str">
        <f>TEXT(Table1[[#This Row],[Date]],"DDDD")</f>
        <v>Sunday</v>
      </c>
      <c r="D197" t="s">
        <v>27</v>
      </c>
      <c r="E197" t="s">
        <v>45</v>
      </c>
      <c r="F197" t="s">
        <v>41</v>
      </c>
      <c r="G197" t="s">
        <v>30</v>
      </c>
      <c r="H197" t="s">
        <v>62</v>
      </c>
      <c r="I197" t="s">
        <v>51</v>
      </c>
      <c r="J197" s="3">
        <v>150000</v>
      </c>
      <c r="K197">
        <v>5</v>
      </c>
      <c r="L197" t="s">
        <v>47</v>
      </c>
      <c r="M197" s="3">
        <v>120000</v>
      </c>
      <c r="N197" s="3">
        <f>Table1[[#This Row],[Unit Price]]*Table1[[#This Row],[Quantity]]</f>
        <v>750000</v>
      </c>
      <c r="O197" s="3">
        <f>Table1[[#This Row],[Cost Price]]*Table1[[#This Row],[Quantity]]</f>
        <v>600000</v>
      </c>
      <c r="P197" s="3">
        <f>Table1[[#This Row],[Revenue]]-Table1[[#This Row],[COGS]]</f>
        <v>150000</v>
      </c>
      <c r="Q197" s="1">
        <v>196</v>
      </c>
    </row>
    <row r="198" spans="1:17">
      <c r="A198" t="s">
        <v>116</v>
      </c>
      <c r="B198" t="str">
        <f>TEXT(Table1[[#This Row],[Date]],"MMMM")</f>
        <v>April</v>
      </c>
      <c r="C198" t="str">
        <f>TEXT(Table1[[#This Row],[Date]],"DDDD")</f>
        <v>Saturday</v>
      </c>
      <c r="D198" t="s">
        <v>27</v>
      </c>
      <c r="E198" t="s">
        <v>36</v>
      </c>
      <c r="F198" t="s">
        <v>29</v>
      </c>
      <c r="G198" t="s">
        <v>37</v>
      </c>
      <c r="H198" t="s">
        <v>38</v>
      </c>
      <c r="I198" t="s">
        <v>39</v>
      </c>
      <c r="J198" s="3">
        <v>30000</v>
      </c>
      <c r="K198">
        <v>5</v>
      </c>
      <c r="L198" t="s">
        <v>65</v>
      </c>
      <c r="M198" s="3">
        <v>24000</v>
      </c>
      <c r="N198" s="3">
        <f>Table1[[#This Row],[Unit Price]]*Table1[[#This Row],[Quantity]]</f>
        <v>150000</v>
      </c>
      <c r="O198" s="3">
        <f>Table1[[#This Row],[Cost Price]]*Table1[[#This Row],[Quantity]]</f>
        <v>120000</v>
      </c>
      <c r="P198" s="3">
        <f>Table1[[#This Row],[Revenue]]-Table1[[#This Row],[COGS]]</f>
        <v>30000</v>
      </c>
      <c r="Q198" s="1">
        <v>197</v>
      </c>
    </row>
    <row r="199" spans="1:17">
      <c r="A199" t="s">
        <v>149</v>
      </c>
      <c r="B199" t="str">
        <f>TEXT(Table1[[#This Row],[Date]],"MMMM")</f>
        <v>April</v>
      </c>
      <c r="C199" t="str">
        <f>TEXT(Table1[[#This Row],[Date]],"DDDD")</f>
        <v>Saturday</v>
      </c>
      <c r="D199" t="s">
        <v>35</v>
      </c>
      <c r="E199" t="s">
        <v>36</v>
      </c>
      <c r="F199" t="s">
        <v>29</v>
      </c>
      <c r="G199" t="s">
        <v>37</v>
      </c>
      <c r="H199" t="s">
        <v>54</v>
      </c>
      <c r="I199" t="s">
        <v>39</v>
      </c>
      <c r="J199" s="3">
        <v>180000</v>
      </c>
      <c r="K199">
        <v>9</v>
      </c>
      <c r="L199" t="s">
        <v>69</v>
      </c>
      <c r="M199" s="3">
        <v>144000</v>
      </c>
      <c r="N199" s="3">
        <f>Table1[[#This Row],[Unit Price]]*Table1[[#This Row],[Quantity]]</f>
        <v>1620000</v>
      </c>
      <c r="O199" s="3">
        <f>Table1[[#This Row],[Cost Price]]*Table1[[#This Row],[Quantity]]</f>
        <v>1296000</v>
      </c>
      <c r="P199" s="3">
        <f>Table1[[#This Row],[Revenue]]-Table1[[#This Row],[COGS]]</f>
        <v>324000</v>
      </c>
      <c r="Q199" s="1">
        <v>198</v>
      </c>
    </row>
    <row r="200" spans="1:17">
      <c r="A200" t="s">
        <v>107</v>
      </c>
      <c r="B200" t="str">
        <f>TEXT(Table1[[#This Row],[Date]],"MMMM")</f>
        <v>February</v>
      </c>
      <c r="C200" t="str">
        <f>TEXT(Table1[[#This Row],[Date]],"DDDD")</f>
        <v>Wednesday</v>
      </c>
      <c r="D200" t="s">
        <v>49</v>
      </c>
      <c r="E200" t="s">
        <v>45</v>
      </c>
      <c r="F200" t="s">
        <v>41</v>
      </c>
      <c r="G200" t="s">
        <v>37</v>
      </c>
      <c r="H200" t="s">
        <v>46</v>
      </c>
      <c r="I200" t="s">
        <v>39</v>
      </c>
      <c r="J200" s="3">
        <v>60000</v>
      </c>
      <c r="K200">
        <v>6</v>
      </c>
      <c r="L200" t="s">
        <v>47</v>
      </c>
      <c r="M200" s="3">
        <v>48000</v>
      </c>
      <c r="N200" s="3">
        <f>Table1[[#This Row],[Unit Price]]*Table1[[#This Row],[Quantity]]</f>
        <v>360000</v>
      </c>
      <c r="O200" s="3">
        <f>Table1[[#This Row],[Cost Price]]*Table1[[#This Row],[Quantity]]</f>
        <v>288000</v>
      </c>
      <c r="P200" s="3">
        <f>Table1[[#This Row],[Revenue]]-Table1[[#This Row],[COGS]]</f>
        <v>72000</v>
      </c>
      <c r="Q200" s="1">
        <v>199</v>
      </c>
    </row>
    <row r="201" spans="1:17">
      <c r="A201" t="s">
        <v>102</v>
      </c>
      <c r="B201" t="str">
        <f>TEXT(Table1[[#This Row],[Date]],"MMMM")</f>
        <v>March</v>
      </c>
      <c r="C201" t="str">
        <f>TEXT(Table1[[#This Row],[Date]],"DDDD")</f>
        <v>Wednesday</v>
      </c>
      <c r="D201" t="s">
        <v>49</v>
      </c>
      <c r="E201" t="s">
        <v>36</v>
      </c>
      <c r="F201" t="s">
        <v>29</v>
      </c>
      <c r="G201" t="s">
        <v>37</v>
      </c>
      <c r="H201" t="s">
        <v>71</v>
      </c>
      <c r="I201" t="s">
        <v>51</v>
      </c>
      <c r="J201" s="3">
        <v>250000</v>
      </c>
      <c r="K201">
        <v>10</v>
      </c>
      <c r="L201" t="s">
        <v>42</v>
      </c>
      <c r="M201" s="3">
        <v>200000</v>
      </c>
      <c r="N201" s="3">
        <f>Table1[[#This Row],[Unit Price]]*Table1[[#This Row],[Quantity]]</f>
        <v>2500000</v>
      </c>
      <c r="O201" s="3">
        <f>Table1[[#This Row],[Cost Price]]*Table1[[#This Row],[Quantity]]</f>
        <v>2000000</v>
      </c>
      <c r="P201" s="3">
        <f>Table1[[#This Row],[Revenue]]-Table1[[#This Row],[COGS]]</f>
        <v>500000</v>
      </c>
      <c r="Q201" s="1">
        <v>200</v>
      </c>
    </row>
    <row r="202" spans="1:17">
      <c r="A202" t="s">
        <v>89</v>
      </c>
      <c r="B202" t="str">
        <f>TEXT(Table1[[#This Row],[Date]],"MMMM")</f>
        <v>February</v>
      </c>
      <c r="C202" t="str">
        <f>TEXT(Table1[[#This Row],[Date]],"DDDD")</f>
        <v>Tuesday</v>
      </c>
      <c r="D202" t="s">
        <v>44</v>
      </c>
      <c r="E202" t="s">
        <v>45</v>
      </c>
      <c r="F202" t="s">
        <v>29</v>
      </c>
      <c r="G202" t="s">
        <v>37</v>
      </c>
      <c r="H202" t="s">
        <v>67</v>
      </c>
      <c r="I202" t="s">
        <v>51</v>
      </c>
      <c r="J202" s="3">
        <v>420000</v>
      </c>
      <c r="K202">
        <v>3</v>
      </c>
      <c r="L202" t="s">
        <v>42</v>
      </c>
      <c r="M202" s="3">
        <v>336000</v>
      </c>
      <c r="N202" s="3">
        <f>Table1[[#This Row],[Unit Price]]*Table1[[#This Row],[Quantity]]</f>
        <v>1260000</v>
      </c>
      <c r="O202" s="3">
        <f>Table1[[#This Row],[Cost Price]]*Table1[[#This Row],[Quantity]]</f>
        <v>1008000</v>
      </c>
      <c r="P202" s="3">
        <f>Table1[[#This Row],[Revenue]]-Table1[[#This Row],[COGS]]</f>
        <v>252000</v>
      </c>
      <c r="Q202" s="1">
        <v>201</v>
      </c>
    </row>
    <row r="203" spans="1:17">
      <c r="A203" t="s">
        <v>150</v>
      </c>
      <c r="B203" t="str">
        <f>TEXT(Table1[[#This Row],[Date]],"MMMM")</f>
        <v>January</v>
      </c>
      <c r="C203" t="str">
        <f>TEXT(Table1[[#This Row],[Date]],"DDDD")</f>
        <v>Sunday</v>
      </c>
      <c r="D203" t="s">
        <v>49</v>
      </c>
      <c r="E203" t="s">
        <v>28</v>
      </c>
      <c r="F203" t="s">
        <v>41</v>
      </c>
      <c r="G203" t="s">
        <v>37</v>
      </c>
      <c r="H203" t="s">
        <v>62</v>
      </c>
      <c r="I203" t="s">
        <v>51</v>
      </c>
      <c r="J203" s="3">
        <v>150000</v>
      </c>
      <c r="K203">
        <v>3</v>
      </c>
      <c r="L203" t="s">
        <v>42</v>
      </c>
      <c r="M203" s="3">
        <v>120000</v>
      </c>
      <c r="N203" s="3">
        <f>Table1[[#This Row],[Unit Price]]*Table1[[#This Row],[Quantity]]</f>
        <v>450000</v>
      </c>
      <c r="O203" s="3">
        <f>Table1[[#This Row],[Cost Price]]*Table1[[#This Row],[Quantity]]</f>
        <v>360000</v>
      </c>
      <c r="P203" s="3">
        <f>Table1[[#This Row],[Revenue]]-Table1[[#This Row],[COGS]]</f>
        <v>90000</v>
      </c>
      <c r="Q203" s="1">
        <v>202</v>
      </c>
    </row>
    <row r="204" spans="1:17">
      <c r="A204" t="s">
        <v>109</v>
      </c>
      <c r="B204" t="str">
        <f>TEXT(Table1[[#This Row],[Date]],"MMMM")</f>
        <v>March</v>
      </c>
      <c r="C204" t="str">
        <f>TEXT(Table1[[#This Row],[Date]],"DDDD")</f>
        <v>Monday</v>
      </c>
      <c r="D204" t="s">
        <v>44</v>
      </c>
      <c r="E204" t="s">
        <v>53</v>
      </c>
      <c r="F204" t="s">
        <v>41</v>
      </c>
      <c r="G204" t="s">
        <v>37</v>
      </c>
      <c r="H204" t="s">
        <v>73</v>
      </c>
      <c r="I204" t="s">
        <v>39</v>
      </c>
      <c r="J204" s="3">
        <v>220000</v>
      </c>
      <c r="K204">
        <v>4</v>
      </c>
      <c r="L204" t="s">
        <v>42</v>
      </c>
      <c r="M204" s="3">
        <v>176000</v>
      </c>
      <c r="N204" s="3">
        <f>Table1[[#This Row],[Unit Price]]*Table1[[#This Row],[Quantity]]</f>
        <v>880000</v>
      </c>
      <c r="O204" s="3">
        <f>Table1[[#This Row],[Cost Price]]*Table1[[#This Row],[Quantity]]</f>
        <v>704000</v>
      </c>
      <c r="P204" s="3">
        <f>Table1[[#This Row],[Revenue]]-Table1[[#This Row],[COGS]]</f>
        <v>176000</v>
      </c>
      <c r="Q204" s="1">
        <v>203</v>
      </c>
    </row>
    <row r="205" spans="1:17">
      <c r="A205" t="s">
        <v>84</v>
      </c>
      <c r="B205" t="str">
        <f>TEXT(Table1[[#This Row],[Date]],"MMMM")</f>
        <v>January</v>
      </c>
      <c r="C205" t="str">
        <f>TEXT(Table1[[#This Row],[Date]],"DDDD")</f>
        <v>Wednesday</v>
      </c>
      <c r="D205" t="s">
        <v>44</v>
      </c>
      <c r="E205" t="s">
        <v>36</v>
      </c>
      <c r="F205" t="s">
        <v>41</v>
      </c>
      <c r="G205" t="s">
        <v>37</v>
      </c>
      <c r="H205" t="s">
        <v>31</v>
      </c>
      <c r="I205" t="s">
        <v>32</v>
      </c>
      <c r="J205" s="3">
        <v>85000</v>
      </c>
      <c r="K205">
        <v>10</v>
      </c>
      <c r="L205" t="s">
        <v>42</v>
      </c>
      <c r="M205" s="3">
        <v>68000</v>
      </c>
      <c r="N205" s="3">
        <f>Table1[[#This Row],[Unit Price]]*Table1[[#This Row],[Quantity]]</f>
        <v>850000</v>
      </c>
      <c r="O205" s="3">
        <f>Table1[[#This Row],[Cost Price]]*Table1[[#This Row],[Quantity]]</f>
        <v>680000</v>
      </c>
      <c r="P205" s="3">
        <f>Table1[[#This Row],[Revenue]]-Table1[[#This Row],[COGS]]</f>
        <v>170000</v>
      </c>
      <c r="Q205" s="1">
        <v>204</v>
      </c>
    </row>
    <row r="206" spans="1:17">
      <c r="A206" t="s">
        <v>122</v>
      </c>
      <c r="B206" t="str">
        <f>TEXT(Table1[[#This Row],[Date]],"MMMM")</f>
        <v>March</v>
      </c>
      <c r="C206" t="str">
        <f>TEXT(Table1[[#This Row],[Date]],"DDDD")</f>
        <v>Thursday</v>
      </c>
      <c r="D206" t="s">
        <v>49</v>
      </c>
      <c r="E206" t="s">
        <v>45</v>
      </c>
      <c r="F206" t="s">
        <v>29</v>
      </c>
      <c r="G206" t="s">
        <v>37</v>
      </c>
      <c r="H206" t="s">
        <v>50</v>
      </c>
      <c r="I206" t="s">
        <v>51</v>
      </c>
      <c r="J206" s="3">
        <v>300000</v>
      </c>
      <c r="K206">
        <v>6</v>
      </c>
      <c r="L206" t="s">
        <v>69</v>
      </c>
      <c r="M206" s="3">
        <v>240000</v>
      </c>
      <c r="N206" s="3">
        <f>Table1[[#This Row],[Unit Price]]*Table1[[#This Row],[Quantity]]</f>
        <v>1800000</v>
      </c>
      <c r="O206" s="3">
        <f>Table1[[#This Row],[Cost Price]]*Table1[[#This Row],[Quantity]]</f>
        <v>1440000</v>
      </c>
      <c r="P206" s="3">
        <f>Table1[[#This Row],[Revenue]]-Table1[[#This Row],[COGS]]</f>
        <v>360000</v>
      </c>
      <c r="Q206" s="1">
        <v>205</v>
      </c>
    </row>
    <row r="207" spans="1:17">
      <c r="A207" t="s">
        <v>151</v>
      </c>
      <c r="B207" t="str">
        <f>TEXT(Table1[[#This Row],[Date]],"MMMM")</f>
        <v>February</v>
      </c>
      <c r="C207" t="str">
        <f>TEXT(Table1[[#This Row],[Date]],"DDDD")</f>
        <v>Tuesday</v>
      </c>
      <c r="D207" t="s">
        <v>27</v>
      </c>
      <c r="E207" t="s">
        <v>28</v>
      </c>
      <c r="F207" t="s">
        <v>29</v>
      </c>
      <c r="G207" t="s">
        <v>30</v>
      </c>
      <c r="H207" t="s">
        <v>50</v>
      </c>
      <c r="I207" t="s">
        <v>51</v>
      </c>
      <c r="J207" s="3">
        <v>300000</v>
      </c>
      <c r="K207">
        <v>8</v>
      </c>
      <c r="L207" t="s">
        <v>65</v>
      </c>
      <c r="M207" s="3">
        <v>240000</v>
      </c>
      <c r="N207" s="3">
        <f>Table1[[#This Row],[Unit Price]]*Table1[[#This Row],[Quantity]]</f>
        <v>2400000</v>
      </c>
      <c r="O207" s="3">
        <f>Table1[[#This Row],[Cost Price]]*Table1[[#This Row],[Quantity]]</f>
        <v>1920000</v>
      </c>
      <c r="P207" s="3">
        <f>Table1[[#This Row],[Revenue]]-Table1[[#This Row],[COGS]]</f>
        <v>480000</v>
      </c>
      <c r="Q207" s="1">
        <v>206</v>
      </c>
    </row>
    <row r="208" spans="1:17">
      <c r="A208" t="s">
        <v>88</v>
      </c>
      <c r="B208" t="str">
        <f>TEXT(Table1[[#This Row],[Date]],"MMMM")</f>
        <v>February</v>
      </c>
      <c r="C208" t="str">
        <f>TEXT(Table1[[#This Row],[Date]],"DDDD")</f>
        <v>Monday</v>
      </c>
      <c r="D208" t="s">
        <v>44</v>
      </c>
      <c r="E208" t="s">
        <v>53</v>
      </c>
      <c r="F208" t="s">
        <v>41</v>
      </c>
      <c r="G208" t="s">
        <v>37</v>
      </c>
      <c r="H208" t="s">
        <v>56</v>
      </c>
      <c r="I208" t="s">
        <v>32</v>
      </c>
      <c r="J208" s="3">
        <v>320000</v>
      </c>
      <c r="K208">
        <v>4</v>
      </c>
      <c r="L208" t="s">
        <v>47</v>
      </c>
      <c r="M208" s="3">
        <v>256000</v>
      </c>
      <c r="N208" s="3">
        <f>Table1[[#This Row],[Unit Price]]*Table1[[#This Row],[Quantity]]</f>
        <v>1280000</v>
      </c>
      <c r="O208" s="3">
        <f>Table1[[#This Row],[Cost Price]]*Table1[[#This Row],[Quantity]]</f>
        <v>1024000</v>
      </c>
      <c r="P208" s="3">
        <f>Table1[[#This Row],[Revenue]]-Table1[[#This Row],[COGS]]</f>
        <v>256000</v>
      </c>
      <c r="Q208" s="1">
        <v>207</v>
      </c>
    </row>
    <row r="209" spans="1:17">
      <c r="A209" t="s">
        <v>99</v>
      </c>
      <c r="B209" t="str">
        <f>TEXT(Table1[[#This Row],[Date]],"MMMM")</f>
        <v>April</v>
      </c>
      <c r="C209" t="str">
        <f>TEXT(Table1[[#This Row],[Date]],"DDDD")</f>
        <v>Sunday</v>
      </c>
      <c r="D209" t="s">
        <v>44</v>
      </c>
      <c r="E209" t="s">
        <v>36</v>
      </c>
      <c r="F209" t="s">
        <v>41</v>
      </c>
      <c r="G209" t="s">
        <v>30</v>
      </c>
      <c r="H209" t="s">
        <v>54</v>
      </c>
      <c r="I209" t="s">
        <v>39</v>
      </c>
      <c r="J209" s="3">
        <v>180000</v>
      </c>
      <c r="K209">
        <v>5</v>
      </c>
      <c r="L209" t="s">
        <v>69</v>
      </c>
      <c r="M209" s="3">
        <v>144000</v>
      </c>
      <c r="N209" s="3">
        <f>Table1[[#This Row],[Unit Price]]*Table1[[#This Row],[Quantity]]</f>
        <v>900000</v>
      </c>
      <c r="O209" s="3">
        <f>Table1[[#This Row],[Cost Price]]*Table1[[#This Row],[Quantity]]</f>
        <v>720000</v>
      </c>
      <c r="P209" s="3">
        <f>Table1[[#This Row],[Revenue]]-Table1[[#This Row],[COGS]]</f>
        <v>180000</v>
      </c>
      <c r="Q209" s="1">
        <v>208</v>
      </c>
    </row>
    <row r="210" spans="1:17">
      <c r="A210" t="s">
        <v>84</v>
      </c>
      <c r="B210" t="str">
        <f>TEXT(Table1[[#This Row],[Date]],"MMMM")</f>
        <v>January</v>
      </c>
      <c r="C210" t="str">
        <f>TEXT(Table1[[#This Row],[Date]],"DDDD")</f>
        <v>Wednesday</v>
      </c>
      <c r="D210" t="s">
        <v>27</v>
      </c>
      <c r="E210" t="s">
        <v>28</v>
      </c>
      <c r="F210" t="s">
        <v>29</v>
      </c>
      <c r="G210" t="s">
        <v>37</v>
      </c>
      <c r="H210" t="s">
        <v>54</v>
      </c>
      <c r="I210" t="s">
        <v>39</v>
      </c>
      <c r="J210" s="3">
        <v>180000</v>
      </c>
      <c r="K210">
        <v>6</v>
      </c>
      <c r="L210" t="s">
        <v>58</v>
      </c>
      <c r="M210" s="3">
        <v>144000</v>
      </c>
      <c r="N210" s="3">
        <f>Table1[[#This Row],[Unit Price]]*Table1[[#This Row],[Quantity]]</f>
        <v>1080000</v>
      </c>
      <c r="O210" s="3">
        <f>Table1[[#This Row],[Cost Price]]*Table1[[#This Row],[Quantity]]</f>
        <v>864000</v>
      </c>
      <c r="P210" s="3">
        <f>Table1[[#This Row],[Revenue]]-Table1[[#This Row],[COGS]]</f>
        <v>216000</v>
      </c>
      <c r="Q210" s="1">
        <v>209</v>
      </c>
    </row>
    <row r="211" spans="1:17">
      <c r="A211" t="s">
        <v>66</v>
      </c>
      <c r="B211" t="str">
        <f>TEXT(Table1[[#This Row],[Date]],"MMMM")</f>
        <v>March</v>
      </c>
      <c r="C211" t="str">
        <f>TEXT(Table1[[#This Row],[Date]],"DDDD")</f>
        <v>Saturday</v>
      </c>
      <c r="D211" t="s">
        <v>35</v>
      </c>
      <c r="E211" t="s">
        <v>45</v>
      </c>
      <c r="F211" t="s">
        <v>41</v>
      </c>
      <c r="G211" t="s">
        <v>37</v>
      </c>
      <c r="H211" t="s">
        <v>62</v>
      </c>
      <c r="I211" t="s">
        <v>51</v>
      </c>
      <c r="J211" s="3">
        <v>150000</v>
      </c>
      <c r="K211">
        <v>9</v>
      </c>
      <c r="L211" t="s">
        <v>47</v>
      </c>
      <c r="M211" s="3">
        <v>120000</v>
      </c>
      <c r="N211" s="3">
        <f>Table1[[#This Row],[Unit Price]]*Table1[[#This Row],[Quantity]]</f>
        <v>1350000</v>
      </c>
      <c r="O211" s="3">
        <f>Table1[[#This Row],[Cost Price]]*Table1[[#This Row],[Quantity]]</f>
        <v>1080000</v>
      </c>
      <c r="P211" s="3">
        <f>Table1[[#This Row],[Revenue]]-Table1[[#This Row],[COGS]]</f>
        <v>270000</v>
      </c>
      <c r="Q211" s="1">
        <v>210</v>
      </c>
    </row>
    <row r="212" spans="1:17">
      <c r="A212" t="s">
        <v>152</v>
      </c>
      <c r="B212" t="str">
        <f>TEXT(Table1[[#This Row],[Date]],"MMMM")</f>
        <v>January</v>
      </c>
      <c r="C212" t="str">
        <f>TEXT(Table1[[#This Row],[Date]],"DDDD")</f>
        <v>Friday</v>
      </c>
      <c r="D212" t="s">
        <v>27</v>
      </c>
      <c r="E212" t="s">
        <v>28</v>
      </c>
      <c r="F212" t="s">
        <v>29</v>
      </c>
      <c r="G212" t="s">
        <v>30</v>
      </c>
      <c r="H212" t="s">
        <v>62</v>
      </c>
      <c r="I212" t="s">
        <v>51</v>
      </c>
      <c r="J212" s="3">
        <v>150000</v>
      </c>
      <c r="K212">
        <v>1</v>
      </c>
      <c r="L212" t="s">
        <v>58</v>
      </c>
      <c r="M212" s="3">
        <v>120000</v>
      </c>
      <c r="N212" s="3">
        <f>Table1[[#This Row],[Unit Price]]*Table1[[#This Row],[Quantity]]</f>
        <v>150000</v>
      </c>
      <c r="O212" s="3">
        <f>Table1[[#This Row],[Cost Price]]*Table1[[#This Row],[Quantity]]</f>
        <v>120000</v>
      </c>
      <c r="P212" s="3">
        <f>Table1[[#This Row],[Revenue]]-Table1[[#This Row],[COGS]]</f>
        <v>30000</v>
      </c>
      <c r="Q212" s="1">
        <v>211</v>
      </c>
    </row>
    <row r="213" spans="1:17">
      <c r="A213" t="s">
        <v>150</v>
      </c>
      <c r="B213" t="str">
        <f>TEXT(Table1[[#This Row],[Date]],"MMMM")</f>
        <v>January</v>
      </c>
      <c r="C213" t="str">
        <f>TEXT(Table1[[#This Row],[Date]],"DDDD")</f>
        <v>Sunday</v>
      </c>
      <c r="D213" t="s">
        <v>35</v>
      </c>
      <c r="E213" t="s">
        <v>45</v>
      </c>
      <c r="F213" t="s">
        <v>29</v>
      </c>
      <c r="G213" t="s">
        <v>30</v>
      </c>
      <c r="H213" t="s">
        <v>54</v>
      </c>
      <c r="I213" t="s">
        <v>39</v>
      </c>
      <c r="J213" s="3">
        <v>180000</v>
      </c>
      <c r="K213">
        <v>8</v>
      </c>
      <c r="L213" t="s">
        <v>58</v>
      </c>
      <c r="M213" s="3">
        <v>144000</v>
      </c>
      <c r="N213" s="3">
        <f>Table1[[#This Row],[Unit Price]]*Table1[[#This Row],[Quantity]]</f>
        <v>1440000</v>
      </c>
      <c r="O213" s="3">
        <f>Table1[[#This Row],[Cost Price]]*Table1[[#This Row],[Quantity]]</f>
        <v>1152000</v>
      </c>
      <c r="P213" s="3">
        <f>Table1[[#This Row],[Revenue]]-Table1[[#This Row],[COGS]]</f>
        <v>288000</v>
      </c>
      <c r="Q213" s="1">
        <v>212</v>
      </c>
    </row>
    <row r="214" spans="1:17">
      <c r="A214" t="s">
        <v>153</v>
      </c>
      <c r="B214" t="str">
        <f>TEXT(Table1[[#This Row],[Date]],"MMMM")</f>
        <v>March</v>
      </c>
      <c r="C214" t="str">
        <f>TEXT(Table1[[#This Row],[Date]],"DDDD")</f>
        <v>Tuesday</v>
      </c>
      <c r="D214" t="s">
        <v>27</v>
      </c>
      <c r="E214" t="s">
        <v>28</v>
      </c>
      <c r="F214" t="s">
        <v>29</v>
      </c>
      <c r="G214" t="s">
        <v>37</v>
      </c>
      <c r="H214" t="s">
        <v>54</v>
      </c>
      <c r="I214" t="s">
        <v>39</v>
      </c>
      <c r="J214" s="3">
        <v>180000</v>
      </c>
      <c r="K214">
        <v>6</v>
      </c>
      <c r="L214" t="s">
        <v>47</v>
      </c>
      <c r="M214" s="3">
        <v>144000</v>
      </c>
      <c r="N214" s="3">
        <f>Table1[[#This Row],[Unit Price]]*Table1[[#This Row],[Quantity]]</f>
        <v>1080000</v>
      </c>
      <c r="O214" s="3">
        <f>Table1[[#This Row],[Cost Price]]*Table1[[#This Row],[Quantity]]</f>
        <v>864000</v>
      </c>
      <c r="P214" s="3">
        <f>Table1[[#This Row],[Revenue]]-Table1[[#This Row],[COGS]]</f>
        <v>216000</v>
      </c>
      <c r="Q214" s="1">
        <v>213</v>
      </c>
    </row>
    <row r="215" spans="1:17">
      <c r="A215" t="s">
        <v>70</v>
      </c>
      <c r="B215" t="str">
        <f>TEXT(Table1[[#This Row],[Date]],"MMMM")</f>
        <v>April</v>
      </c>
      <c r="C215" t="str">
        <f>TEXT(Table1[[#This Row],[Date]],"DDDD")</f>
        <v>Friday</v>
      </c>
      <c r="D215" t="s">
        <v>49</v>
      </c>
      <c r="E215" t="s">
        <v>53</v>
      </c>
      <c r="F215" t="s">
        <v>41</v>
      </c>
      <c r="G215" t="s">
        <v>30</v>
      </c>
      <c r="H215" t="s">
        <v>54</v>
      </c>
      <c r="I215" t="s">
        <v>39</v>
      </c>
      <c r="J215" s="3">
        <v>180000</v>
      </c>
      <c r="K215">
        <v>3</v>
      </c>
      <c r="L215" t="s">
        <v>65</v>
      </c>
      <c r="M215" s="3">
        <v>144000</v>
      </c>
      <c r="N215" s="3">
        <f>Table1[[#This Row],[Unit Price]]*Table1[[#This Row],[Quantity]]</f>
        <v>540000</v>
      </c>
      <c r="O215" s="3">
        <f>Table1[[#This Row],[Cost Price]]*Table1[[#This Row],[Quantity]]</f>
        <v>432000</v>
      </c>
      <c r="P215" s="3">
        <f>Table1[[#This Row],[Revenue]]-Table1[[#This Row],[COGS]]</f>
        <v>108000</v>
      </c>
      <c r="Q215" s="1">
        <v>214</v>
      </c>
    </row>
    <row r="216" spans="1:17">
      <c r="A216" t="s">
        <v>128</v>
      </c>
      <c r="B216" t="str">
        <f>TEXT(Table1[[#This Row],[Date]],"MMMM")</f>
        <v>March</v>
      </c>
      <c r="C216" t="str">
        <f>TEXT(Table1[[#This Row],[Date]],"DDDD")</f>
        <v>Friday</v>
      </c>
      <c r="D216" t="s">
        <v>49</v>
      </c>
      <c r="E216" t="s">
        <v>45</v>
      </c>
      <c r="F216" t="s">
        <v>29</v>
      </c>
      <c r="G216" t="s">
        <v>30</v>
      </c>
      <c r="H216" t="s">
        <v>62</v>
      </c>
      <c r="I216" t="s">
        <v>51</v>
      </c>
      <c r="J216" s="3">
        <v>150000</v>
      </c>
      <c r="K216">
        <v>10</v>
      </c>
      <c r="L216" t="s">
        <v>33</v>
      </c>
      <c r="M216" s="3">
        <v>120000</v>
      </c>
      <c r="N216" s="3">
        <f>Table1[[#This Row],[Unit Price]]*Table1[[#This Row],[Quantity]]</f>
        <v>1500000</v>
      </c>
      <c r="O216" s="3">
        <f>Table1[[#This Row],[Cost Price]]*Table1[[#This Row],[Quantity]]</f>
        <v>1200000</v>
      </c>
      <c r="P216" s="3">
        <f>Table1[[#This Row],[Revenue]]-Table1[[#This Row],[COGS]]</f>
        <v>300000</v>
      </c>
      <c r="Q216" s="1">
        <v>215</v>
      </c>
    </row>
    <row r="217" spans="1:17">
      <c r="A217" t="s">
        <v>149</v>
      </c>
      <c r="B217" t="str">
        <f>TEXT(Table1[[#This Row],[Date]],"MMMM")</f>
        <v>April</v>
      </c>
      <c r="C217" t="str">
        <f>TEXT(Table1[[#This Row],[Date]],"DDDD")</f>
        <v>Saturday</v>
      </c>
      <c r="D217" t="s">
        <v>44</v>
      </c>
      <c r="E217" t="s">
        <v>45</v>
      </c>
      <c r="F217" t="s">
        <v>29</v>
      </c>
      <c r="G217" t="s">
        <v>37</v>
      </c>
      <c r="H217" t="s">
        <v>54</v>
      </c>
      <c r="I217" t="s">
        <v>39</v>
      </c>
      <c r="J217" s="3">
        <v>180000</v>
      </c>
      <c r="K217">
        <v>8</v>
      </c>
      <c r="L217" t="s">
        <v>65</v>
      </c>
      <c r="M217" s="3">
        <v>144000</v>
      </c>
      <c r="N217" s="3">
        <f>Table1[[#This Row],[Unit Price]]*Table1[[#This Row],[Quantity]]</f>
        <v>1440000</v>
      </c>
      <c r="O217" s="3">
        <f>Table1[[#This Row],[Cost Price]]*Table1[[#This Row],[Quantity]]</f>
        <v>1152000</v>
      </c>
      <c r="P217" s="3">
        <f>Table1[[#This Row],[Revenue]]-Table1[[#This Row],[COGS]]</f>
        <v>288000</v>
      </c>
      <c r="Q217" s="1">
        <v>216</v>
      </c>
    </row>
    <row r="218" spans="1:17">
      <c r="A218" t="s">
        <v>85</v>
      </c>
      <c r="B218" t="str">
        <f>TEXT(Table1[[#This Row],[Date]],"MMMM")</f>
        <v>February</v>
      </c>
      <c r="C218" t="str">
        <f>TEXT(Table1[[#This Row],[Date]],"DDDD")</f>
        <v>Thursday</v>
      </c>
      <c r="D218" t="s">
        <v>27</v>
      </c>
      <c r="E218" t="s">
        <v>45</v>
      </c>
      <c r="F218" t="s">
        <v>29</v>
      </c>
      <c r="G218" t="s">
        <v>37</v>
      </c>
      <c r="H218" t="s">
        <v>50</v>
      </c>
      <c r="I218" t="s">
        <v>51</v>
      </c>
      <c r="J218" s="3">
        <v>300000</v>
      </c>
      <c r="K218">
        <v>8</v>
      </c>
      <c r="L218" t="s">
        <v>47</v>
      </c>
      <c r="M218" s="3">
        <v>240000</v>
      </c>
      <c r="N218" s="3">
        <f>Table1[[#This Row],[Unit Price]]*Table1[[#This Row],[Quantity]]</f>
        <v>2400000</v>
      </c>
      <c r="O218" s="3">
        <f>Table1[[#This Row],[Cost Price]]*Table1[[#This Row],[Quantity]]</f>
        <v>1920000</v>
      </c>
      <c r="P218" s="3">
        <f>Table1[[#This Row],[Revenue]]-Table1[[#This Row],[COGS]]</f>
        <v>480000</v>
      </c>
      <c r="Q218" s="1">
        <v>217</v>
      </c>
    </row>
    <row r="219" spans="1:17">
      <c r="A219" t="s">
        <v>107</v>
      </c>
      <c r="B219" t="str">
        <f>TEXT(Table1[[#This Row],[Date]],"MMMM")</f>
        <v>February</v>
      </c>
      <c r="C219" t="str">
        <f>TEXT(Table1[[#This Row],[Date]],"DDDD")</f>
        <v>Wednesday</v>
      </c>
      <c r="D219" t="s">
        <v>27</v>
      </c>
      <c r="E219" t="s">
        <v>45</v>
      </c>
      <c r="F219" t="s">
        <v>29</v>
      </c>
      <c r="G219" t="s">
        <v>37</v>
      </c>
      <c r="H219" t="s">
        <v>56</v>
      </c>
      <c r="I219" t="s">
        <v>32</v>
      </c>
      <c r="J219" s="3">
        <v>320000</v>
      </c>
      <c r="K219">
        <v>9</v>
      </c>
      <c r="L219" t="s">
        <v>58</v>
      </c>
      <c r="M219" s="3">
        <v>256000</v>
      </c>
      <c r="N219" s="3">
        <f>Table1[[#This Row],[Unit Price]]*Table1[[#This Row],[Quantity]]</f>
        <v>2880000</v>
      </c>
      <c r="O219" s="3">
        <f>Table1[[#This Row],[Cost Price]]*Table1[[#This Row],[Quantity]]</f>
        <v>2304000</v>
      </c>
      <c r="P219" s="3">
        <f>Table1[[#This Row],[Revenue]]-Table1[[#This Row],[COGS]]</f>
        <v>576000</v>
      </c>
      <c r="Q219" s="1">
        <v>218</v>
      </c>
    </row>
    <row r="220" spans="1:17">
      <c r="A220" t="s">
        <v>147</v>
      </c>
      <c r="B220" t="str">
        <f>TEXT(Table1[[#This Row],[Date]],"MMMM")</f>
        <v>January</v>
      </c>
      <c r="C220" t="str">
        <f>TEXT(Table1[[#This Row],[Date]],"DDDD")</f>
        <v>Saturday</v>
      </c>
      <c r="D220" t="s">
        <v>44</v>
      </c>
      <c r="E220" t="s">
        <v>45</v>
      </c>
      <c r="F220" t="s">
        <v>29</v>
      </c>
      <c r="G220" t="s">
        <v>30</v>
      </c>
      <c r="H220" t="s">
        <v>56</v>
      </c>
      <c r="I220" t="s">
        <v>32</v>
      </c>
      <c r="J220" s="3">
        <v>320000</v>
      </c>
      <c r="K220">
        <v>7</v>
      </c>
      <c r="L220" t="s">
        <v>69</v>
      </c>
      <c r="M220" s="3">
        <v>256000</v>
      </c>
      <c r="N220" s="3">
        <f>Table1[[#This Row],[Unit Price]]*Table1[[#This Row],[Quantity]]</f>
        <v>2240000</v>
      </c>
      <c r="O220" s="3">
        <f>Table1[[#This Row],[Cost Price]]*Table1[[#This Row],[Quantity]]</f>
        <v>1792000</v>
      </c>
      <c r="P220" s="3">
        <f>Table1[[#This Row],[Revenue]]-Table1[[#This Row],[COGS]]</f>
        <v>448000</v>
      </c>
      <c r="Q220" s="1">
        <v>219</v>
      </c>
    </row>
    <row r="221" spans="1:17">
      <c r="A221" t="s">
        <v>64</v>
      </c>
      <c r="B221" t="str">
        <f>TEXT(Table1[[#This Row],[Date]],"MMMM")</f>
        <v>April</v>
      </c>
      <c r="C221" t="str">
        <f>TEXT(Table1[[#This Row],[Date]],"DDDD")</f>
        <v>Saturday</v>
      </c>
      <c r="D221" t="s">
        <v>35</v>
      </c>
      <c r="E221" t="s">
        <v>53</v>
      </c>
      <c r="F221" t="s">
        <v>29</v>
      </c>
      <c r="G221" t="s">
        <v>30</v>
      </c>
      <c r="H221" t="s">
        <v>62</v>
      </c>
      <c r="I221" t="s">
        <v>51</v>
      </c>
      <c r="J221" s="3">
        <v>150000</v>
      </c>
      <c r="K221">
        <v>7</v>
      </c>
      <c r="L221" t="s">
        <v>42</v>
      </c>
      <c r="M221" s="3">
        <v>120000</v>
      </c>
      <c r="N221" s="3">
        <f>Table1[[#This Row],[Unit Price]]*Table1[[#This Row],[Quantity]]</f>
        <v>1050000</v>
      </c>
      <c r="O221" s="3">
        <f>Table1[[#This Row],[Cost Price]]*Table1[[#This Row],[Quantity]]</f>
        <v>840000</v>
      </c>
      <c r="P221" s="3">
        <f>Table1[[#This Row],[Revenue]]-Table1[[#This Row],[COGS]]</f>
        <v>210000</v>
      </c>
      <c r="Q221" s="1">
        <v>220</v>
      </c>
    </row>
    <row r="222" spans="1:17">
      <c r="A222" t="s">
        <v>127</v>
      </c>
      <c r="B222" t="str">
        <f>TEXT(Table1[[#This Row],[Date]],"MMMM")</f>
        <v>January</v>
      </c>
      <c r="C222" t="str">
        <f>TEXT(Table1[[#This Row],[Date]],"DDDD")</f>
        <v>Tuesday</v>
      </c>
      <c r="D222" t="s">
        <v>35</v>
      </c>
      <c r="E222" t="s">
        <v>53</v>
      </c>
      <c r="F222" t="s">
        <v>29</v>
      </c>
      <c r="G222" t="s">
        <v>37</v>
      </c>
      <c r="H222" t="s">
        <v>73</v>
      </c>
      <c r="I222" t="s">
        <v>39</v>
      </c>
      <c r="J222" s="3">
        <v>220000</v>
      </c>
      <c r="K222">
        <v>6</v>
      </c>
      <c r="L222" t="s">
        <v>69</v>
      </c>
      <c r="M222" s="3">
        <v>176000</v>
      </c>
      <c r="N222" s="3">
        <f>Table1[[#This Row],[Unit Price]]*Table1[[#This Row],[Quantity]]</f>
        <v>1320000</v>
      </c>
      <c r="O222" s="3">
        <f>Table1[[#This Row],[Cost Price]]*Table1[[#This Row],[Quantity]]</f>
        <v>1056000</v>
      </c>
      <c r="P222" s="3">
        <f>Table1[[#This Row],[Revenue]]-Table1[[#This Row],[COGS]]</f>
        <v>264000</v>
      </c>
      <c r="Q222" s="1">
        <v>221</v>
      </c>
    </row>
    <row r="223" spans="1:17">
      <c r="A223" t="s">
        <v>96</v>
      </c>
      <c r="B223" t="str">
        <f>TEXT(Table1[[#This Row],[Date]],"MMMM")</f>
        <v>March</v>
      </c>
      <c r="C223" t="str">
        <f>TEXT(Table1[[#This Row],[Date]],"DDDD")</f>
        <v>Sunday</v>
      </c>
      <c r="D223" t="s">
        <v>49</v>
      </c>
      <c r="E223" t="s">
        <v>36</v>
      </c>
      <c r="F223" t="s">
        <v>29</v>
      </c>
      <c r="G223" t="s">
        <v>30</v>
      </c>
      <c r="H223" t="s">
        <v>71</v>
      </c>
      <c r="I223" t="s">
        <v>51</v>
      </c>
      <c r="J223" s="3">
        <v>250000</v>
      </c>
      <c r="K223">
        <v>1</v>
      </c>
      <c r="L223" t="s">
        <v>58</v>
      </c>
      <c r="M223" s="3">
        <v>200000</v>
      </c>
      <c r="N223" s="3">
        <f>Table1[[#This Row],[Unit Price]]*Table1[[#This Row],[Quantity]]</f>
        <v>250000</v>
      </c>
      <c r="O223" s="3">
        <f>Table1[[#This Row],[Cost Price]]*Table1[[#This Row],[Quantity]]</f>
        <v>200000</v>
      </c>
      <c r="P223" s="3">
        <f>Table1[[#This Row],[Revenue]]-Table1[[#This Row],[COGS]]</f>
        <v>50000</v>
      </c>
      <c r="Q223" s="1">
        <v>222</v>
      </c>
    </row>
    <row r="224" spans="1:17">
      <c r="A224" t="s">
        <v>129</v>
      </c>
      <c r="B224" t="str">
        <f>TEXT(Table1[[#This Row],[Date]],"MMMM")</f>
        <v>March</v>
      </c>
      <c r="C224" t="str">
        <f>TEXT(Table1[[#This Row],[Date]],"DDDD")</f>
        <v>Tuesday</v>
      </c>
      <c r="D224" t="s">
        <v>27</v>
      </c>
      <c r="E224" t="s">
        <v>36</v>
      </c>
      <c r="F224" t="s">
        <v>29</v>
      </c>
      <c r="G224" t="s">
        <v>30</v>
      </c>
      <c r="H224" t="s">
        <v>46</v>
      </c>
      <c r="I224" t="s">
        <v>39</v>
      </c>
      <c r="J224" s="3">
        <v>60000</v>
      </c>
      <c r="K224">
        <v>4</v>
      </c>
      <c r="L224" t="s">
        <v>42</v>
      </c>
      <c r="M224" s="3">
        <v>48000</v>
      </c>
      <c r="N224" s="3">
        <f>Table1[[#This Row],[Unit Price]]*Table1[[#This Row],[Quantity]]</f>
        <v>240000</v>
      </c>
      <c r="O224" s="3">
        <f>Table1[[#This Row],[Cost Price]]*Table1[[#This Row],[Quantity]]</f>
        <v>192000</v>
      </c>
      <c r="P224" s="3">
        <f>Table1[[#This Row],[Revenue]]-Table1[[#This Row],[COGS]]</f>
        <v>48000</v>
      </c>
      <c r="Q224" s="1">
        <v>223</v>
      </c>
    </row>
    <row r="225" spans="1:17">
      <c r="A225" t="s">
        <v>101</v>
      </c>
      <c r="B225" t="str">
        <f>TEXT(Table1[[#This Row],[Date]],"MMMM")</f>
        <v>January</v>
      </c>
      <c r="C225" t="str">
        <f>TEXT(Table1[[#This Row],[Date]],"DDDD")</f>
        <v>Thursday</v>
      </c>
      <c r="D225" t="s">
        <v>49</v>
      </c>
      <c r="E225" t="s">
        <v>36</v>
      </c>
      <c r="F225" t="s">
        <v>29</v>
      </c>
      <c r="G225" t="s">
        <v>30</v>
      </c>
      <c r="H225" t="s">
        <v>31</v>
      </c>
      <c r="I225" t="s">
        <v>32</v>
      </c>
      <c r="J225" s="3">
        <v>85000</v>
      </c>
      <c r="K225">
        <v>9</v>
      </c>
      <c r="L225" t="s">
        <v>42</v>
      </c>
      <c r="M225" s="3">
        <v>68000</v>
      </c>
      <c r="N225" s="3">
        <f>Table1[[#This Row],[Unit Price]]*Table1[[#This Row],[Quantity]]</f>
        <v>765000</v>
      </c>
      <c r="O225" s="3">
        <f>Table1[[#This Row],[Cost Price]]*Table1[[#This Row],[Quantity]]</f>
        <v>612000</v>
      </c>
      <c r="P225" s="3">
        <f>Table1[[#This Row],[Revenue]]-Table1[[#This Row],[COGS]]</f>
        <v>153000</v>
      </c>
      <c r="Q225" s="1">
        <v>224</v>
      </c>
    </row>
    <row r="226" spans="1:17">
      <c r="A226" t="s">
        <v>141</v>
      </c>
      <c r="B226" t="str">
        <f>TEXT(Table1[[#This Row],[Date]],"MMMM")</f>
        <v>March</v>
      </c>
      <c r="C226" t="str">
        <f>TEXT(Table1[[#This Row],[Date]],"DDDD")</f>
        <v>Sunday</v>
      </c>
      <c r="D226" t="s">
        <v>27</v>
      </c>
      <c r="E226" t="s">
        <v>28</v>
      </c>
      <c r="F226" t="s">
        <v>29</v>
      </c>
      <c r="G226" t="s">
        <v>30</v>
      </c>
      <c r="H226" t="s">
        <v>54</v>
      </c>
      <c r="I226" t="s">
        <v>39</v>
      </c>
      <c r="J226" s="3">
        <v>180000</v>
      </c>
      <c r="K226">
        <v>5</v>
      </c>
      <c r="L226" t="s">
        <v>33</v>
      </c>
      <c r="M226" s="3">
        <v>144000</v>
      </c>
      <c r="N226" s="3">
        <f>Table1[[#This Row],[Unit Price]]*Table1[[#This Row],[Quantity]]</f>
        <v>900000</v>
      </c>
      <c r="O226" s="3">
        <f>Table1[[#This Row],[Cost Price]]*Table1[[#This Row],[Quantity]]</f>
        <v>720000</v>
      </c>
      <c r="P226" s="3">
        <f>Table1[[#This Row],[Revenue]]-Table1[[#This Row],[COGS]]</f>
        <v>180000</v>
      </c>
      <c r="Q226" s="1">
        <v>225</v>
      </c>
    </row>
    <row r="227" spans="1:17">
      <c r="A227" t="s">
        <v>61</v>
      </c>
      <c r="B227" t="str">
        <f>TEXT(Table1[[#This Row],[Date]],"MMMM")</f>
        <v>January</v>
      </c>
      <c r="C227" t="str">
        <f>TEXT(Table1[[#This Row],[Date]],"DDDD")</f>
        <v>Friday</v>
      </c>
      <c r="D227" t="s">
        <v>27</v>
      </c>
      <c r="E227" t="s">
        <v>36</v>
      </c>
      <c r="F227" t="s">
        <v>29</v>
      </c>
      <c r="G227" t="s">
        <v>37</v>
      </c>
      <c r="H227" t="s">
        <v>62</v>
      </c>
      <c r="I227" t="s">
        <v>51</v>
      </c>
      <c r="J227" s="3">
        <v>150000</v>
      </c>
      <c r="K227">
        <v>4</v>
      </c>
      <c r="L227" t="s">
        <v>33</v>
      </c>
      <c r="M227" s="3">
        <v>120000</v>
      </c>
      <c r="N227" s="3">
        <f>Table1[[#This Row],[Unit Price]]*Table1[[#This Row],[Quantity]]</f>
        <v>600000</v>
      </c>
      <c r="O227" s="3">
        <f>Table1[[#This Row],[Cost Price]]*Table1[[#This Row],[Quantity]]</f>
        <v>480000</v>
      </c>
      <c r="P227" s="3">
        <f>Table1[[#This Row],[Revenue]]-Table1[[#This Row],[COGS]]</f>
        <v>120000</v>
      </c>
      <c r="Q227" s="1">
        <v>226</v>
      </c>
    </row>
    <row r="228" spans="1:17">
      <c r="A228" t="s">
        <v>154</v>
      </c>
      <c r="B228" t="str">
        <f>TEXT(Table1[[#This Row],[Date]],"MMMM")</f>
        <v>February</v>
      </c>
      <c r="C228" t="str">
        <f>TEXT(Table1[[#This Row],[Date]],"DDDD")</f>
        <v>Saturday</v>
      </c>
      <c r="D228" t="s">
        <v>49</v>
      </c>
      <c r="E228" t="s">
        <v>36</v>
      </c>
      <c r="F228" t="s">
        <v>29</v>
      </c>
      <c r="G228" t="s">
        <v>30</v>
      </c>
      <c r="H228" t="s">
        <v>62</v>
      </c>
      <c r="I228" t="s">
        <v>51</v>
      </c>
      <c r="J228" s="3">
        <v>150000</v>
      </c>
      <c r="K228">
        <v>4</v>
      </c>
      <c r="L228" t="s">
        <v>47</v>
      </c>
      <c r="M228" s="3">
        <v>120000</v>
      </c>
      <c r="N228" s="3">
        <f>Table1[[#This Row],[Unit Price]]*Table1[[#This Row],[Quantity]]</f>
        <v>600000</v>
      </c>
      <c r="O228" s="3">
        <f>Table1[[#This Row],[Cost Price]]*Table1[[#This Row],[Quantity]]</f>
        <v>480000</v>
      </c>
      <c r="P228" s="3">
        <f>Table1[[#This Row],[Revenue]]-Table1[[#This Row],[COGS]]</f>
        <v>120000</v>
      </c>
      <c r="Q228" s="1">
        <v>227</v>
      </c>
    </row>
    <row r="229" spans="1:17">
      <c r="A229" t="s">
        <v>106</v>
      </c>
      <c r="B229" t="str">
        <f>TEXT(Table1[[#This Row],[Date]],"MMMM")</f>
        <v>April</v>
      </c>
      <c r="C229" t="str">
        <f>TEXT(Table1[[#This Row],[Date]],"DDDD")</f>
        <v>Wednesday</v>
      </c>
      <c r="D229" t="s">
        <v>35</v>
      </c>
      <c r="E229" t="s">
        <v>36</v>
      </c>
      <c r="F229" t="s">
        <v>41</v>
      </c>
      <c r="G229" t="s">
        <v>30</v>
      </c>
      <c r="H229" t="s">
        <v>38</v>
      </c>
      <c r="I229" t="s">
        <v>39</v>
      </c>
      <c r="J229" s="3">
        <v>30000</v>
      </c>
      <c r="K229">
        <v>2</v>
      </c>
      <c r="L229" t="s">
        <v>47</v>
      </c>
      <c r="M229" s="3">
        <v>24000</v>
      </c>
      <c r="N229" s="3">
        <f>Table1[[#This Row],[Unit Price]]*Table1[[#This Row],[Quantity]]</f>
        <v>60000</v>
      </c>
      <c r="O229" s="3">
        <f>Table1[[#This Row],[Cost Price]]*Table1[[#This Row],[Quantity]]</f>
        <v>48000</v>
      </c>
      <c r="P229" s="3">
        <f>Table1[[#This Row],[Revenue]]-Table1[[#This Row],[COGS]]</f>
        <v>12000</v>
      </c>
      <c r="Q229" s="1">
        <v>228</v>
      </c>
    </row>
    <row r="230" spans="1:17">
      <c r="A230" t="s">
        <v>155</v>
      </c>
      <c r="B230" t="str">
        <f>TEXT(Table1[[#This Row],[Date]],"MMMM")</f>
        <v>April</v>
      </c>
      <c r="C230" t="str">
        <f>TEXT(Table1[[#This Row],[Date]],"DDDD")</f>
        <v>Thursday</v>
      </c>
      <c r="D230" t="s">
        <v>44</v>
      </c>
      <c r="E230" t="s">
        <v>53</v>
      </c>
      <c r="F230" t="s">
        <v>41</v>
      </c>
      <c r="G230" t="s">
        <v>30</v>
      </c>
      <c r="H230" t="s">
        <v>54</v>
      </c>
      <c r="I230" t="s">
        <v>39</v>
      </c>
      <c r="J230" s="3">
        <v>180000</v>
      </c>
      <c r="K230">
        <v>6</v>
      </c>
      <c r="L230" t="s">
        <v>65</v>
      </c>
      <c r="M230" s="3">
        <v>144000</v>
      </c>
      <c r="N230" s="3">
        <f>Table1[[#This Row],[Unit Price]]*Table1[[#This Row],[Quantity]]</f>
        <v>1080000</v>
      </c>
      <c r="O230" s="3">
        <f>Table1[[#This Row],[Cost Price]]*Table1[[#This Row],[Quantity]]</f>
        <v>864000</v>
      </c>
      <c r="P230" s="3">
        <f>Table1[[#This Row],[Revenue]]-Table1[[#This Row],[COGS]]</f>
        <v>216000</v>
      </c>
      <c r="Q230" s="1">
        <v>229</v>
      </c>
    </row>
    <row r="231" spans="1:17">
      <c r="A231" t="s">
        <v>108</v>
      </c>
      <c r="B231" t="str">
        <f>TEXT(Table1[[#This Row],[Date]],"MMMM")</f>
        <v>April</v>
      </c>
      <c r="C231" t="str">
        <f>TEXT(Table1[[#This Row],[Date]],"DDDD")</f>
        <v>Thursday</v>
      </c>
      <c r="D231" t="s">
        <v>49</v>
      </c>
      <c r="E231" t="s">
        <v>45</v>
      </c>
      <c r="F231" t="s">
        <v>41</v>
      </c>
      <c r="G231" t="s">
        <v>37</v>
      </c>
      <c r="H231" t="s">
        <v>46</v>
      </c>
      <c r="I231" t="s">
        <v>39</v>
      </c>
      <c r="J231" s="3">
        <v>60000</v>
      </c>
      <c r="K231">
        <v>9</v>
      </c>
      <c r="L231" t="s">
        <v>69</v>
      </c>
      <c r="M231" s="3">
        <v>48000</v>
      </c>
      <c r="N231" s="3">
        <f>Table1[[#This Row],[Unit Price]]*Table1[[#This Row],[Quantity]]</f>
        <v>540000</v>
      </c>
      <c r="O231" s="3">
        <f>Table1[[#This Row],[Cost Price]]*Table1[[#This Row],[Quantity]]</f>
        <v>432000</v>
      </c>
      <c r="P231" s="3">
        <f>Table1[[#This Row],[Revenue]]-Table1[[#This Row],[COGS]]</f>
        <v>108000</v>
      </c>
      <c r="Q231" s="1">
        <v>230</v>
      </c>
    </row>
    <row r="232" spans="1:17">
      <c r="A232" t="s">
        <v>75</v>
      </c>
      <c r="B232" t="str">
        <f>TEXT(Table1[[#This Row],[Date]],"MMMM")</f>
        <v>March</v>
      </c>
      <c r="C232" t="str">
        <f>TEXT(Table1[[#This Row],[Date]],"DDDD")</f>
        <v>Monday</v>
      </c>
      <c r="D232" t="s">
        <v>44</v>
      </c>
      <c r="E232" t="s">
        <v>28</v>
      </c>
      <c r="F232" t="s">
        <v>29</v>
      </c>
      <c r="G232" t="s">
        <v>30</v>
      </c>
      <c r="H232" t="s">
        <v>62</v>
      </c>
      <c r="I232" t="s">
        <v>51</v>
      </c>
      <c r="J232" s="3">
        <v>150000</v>
      </c>
      <c r="K232">
        <v>3</v>
      </c>
      <c r="L232" t="s">
        <v>42</v>
      </c>
      <c r="M232" s="3">
        <v>120000</v>
      </c>
      <c r="N232" s="3">
        <f>Table1[[#This Row],[Unit Price]]*Table1[[#This Row],[Quantity]]</f>
        <v>450000</v>
      </c>
      <c r="O232" s="3">
        <f>Table1[[#This Row],[Cost Price]]*Table1[[#This Row],[Quantity]]</f>
        <v>360000</v>
      </c>
      <c r="P232" s="3">
        <f>Table1[[#This Row],[Revenue]]-Table1[[#This Row],[COGS]]</f>
        <v>90000</v>
      </c>
      <c r="Q232" s="1">
        <v>231</v>
      </c>
    </row>
    <row r="233" spans="1:17">
      <c r="A233" t="s">
        <v>93</v>
      </c>
      <c r="B233" t="str">
        <f>TEXT(Table1[[#This Row],[Date]],"MMMM")</f>
        <v>April</v>
      </c>
      <c r="C233" t="str">
        <f>TEXT(Table1[[#This Row],[Date]],"DDDD")</f>
        <v>Friday</v>
      </c>
      <c r="D233" t="s">
        <v>49</v>
      </c>
      <c r="E233" t="s">
        <v>36</v>
      </c>
      <c r="F233" t="s">
        <v>29</v>
      </c>
      <c r="G233" t="s">
        <v>30</v>
      </c>
      <c r="H233" t="s">
        <v>31</v>
      </c>
      <c r="I233" t="s">
        <v>32</v>
      </c>
      <c r="J233" s="3">
        <v>85000</v>
      </c>
      <c r="K233">
        <v>3</v>
      </c>
      <c r="L233" t="s">
        <v>47</v>
      </c>
      <c r="M233" s="3">
        <v>68000</v>
      </c>
      <c r="N233" s="3">
        <f>Table1[[#This Row],[Unit Price]]*Table1[[#This Row],[Quantity]]</f>
        <v>255000</v>
      </c>
      <c r="O233" s="3">
        <f>Table1[[#This Row],[Cost Price]]*Table1[[#This Row],[Quantity]]</f>
        <v>204000</v>
      </c>
      <c r="P233" s="3">
        <f>Table1[[#This Row],[Revenue]]-Table1[[#This Row],[COGS]]</f>
        <v>51000</v>
      </c>
      <c r="Q233" s="1">
        <v>232</v>
      </c>
    </row>
    <row r="234" spans="1:17">
      <c r="A234" t="s">
        <v>143</v>
      </c>
      <c r="B234" t="str">
        <f>TEXT(Table1[[#This Row],[Date]],"MMMM")</f>
        <v>April</v>
      </c>
      <c r="C234" t="str">
        <f>TEXT(Table1[[#This Row],[Date]],"DDDD")</f>
        <v>Thursday</v>
      </c>
      <c r="D234" t="s">
        <v>35</v>
      </c>
      <c r="E234" t="s">
        <v>28</v>
      </c>
      <c r="F234" t="s">
        <v>41</v>
      </c>
      <c r="G234" t="s">
        <v>37</v>
      </c>
      <c r="H234" t="s">
        <v>38</v>
      </c>
      <c r="I234" t="s">
        <v>39</v>
      </c>
      <c r="J234" s="3">
        <v>30000</v>
      </c>
      <c r="K234">
        <v>3</v>
      </c>
      <c r="L234" t="s">
        <v>58</v>
      </c>
      <c r="M234" s="3">
        <v>24000</v>
      </c>
      <c r="N234" s="3">
        <f>Table1[[#This Row],[Unit Price]]*Table1[[#This Row],[Quantity]]</f>
        <v>90000</v>
      </c>
      <c r="O234" s="3">
        <f>Table1[[#This Row],[Cost Price]]*Table1[[#This Row],[Quantity]]</f>
        <v>72000</v>
      </c>
      <c r="P234" s="3">
        <f>Table1[[#This Row],[Revenue]]-Table1[[#This Row],[COGS]]</f>
        <v>18000</v>
      </c>
      <c r="Q234" s="1">
        <v>233</v>
      </c>
    </row>
    <row r="235" spans="1:17">
      <c r="A235" t="s">
        <v>52</v>
      </c>
      <c r="B235" t="str">
        <f>TEXT(Table1[[#This Row],[Date]],"MMMM")</f>
        <v>March</v>
      </c>
      <c r="C235" t="str">
        <f>TEXT(Table1[[#This Row],[Date]],"DDDD")</f>
        <v>Saturday</v>
      </c>
      <c r="D235" t="s">
        <v>35</v>
      </c>
      <c r="E235" t="s">
        <v>45</v>
      </c>
      <c r="F235" t="s">
        <v>41</v>
      </c>
      <c r="G235" t="s">
        <v>30</v>
      </c>
      <c r="H235" t="s">
        <v>31</v>
      </c>
      <c r="I235" t="s">
        <v>32</v>
      </c>
      <c r="J235" s="3">
        <v>85000</v>
      </c>
      <c r="K235">
        <v>2</v>
      </c>
      <c r="L235" t="s">
        <v>33</v>
      </c>
      <c r="M235" s="3">
        <v>68000</v>
      </c>
      <c r="N235" s="3">
        <f>Table1[[#This Row],[Unit Price]]*Table1[[#This Row],[Quantity]]</f>
        <v>170000</v>
      </c>
      <c r="O235" s="3">
        <f>Table1[[#This Row],[Cost Price]]*Table1[[#This Row],[Quantity]]</f>
        <v>136000</v>
      </c>
      <c r="P235" s="3">
        <f>Table1[[#This Row],[Revenue]]-Table1[[#This Row],[COGS]]</f>
        <v>34000</v>
      </c>
      <c r="Q235" s="1">
        <v>234</v>
      </c>
    </row>
    <row r="236" spans="1:17">
      <c r="A236" t="s">
        <v>145</v>
      </c>
      <c r="B236" t="str">
        <f>TEXT(Table1[[#This Row],[Date]],"MMMM")</f>
        <v>January</v>
      </c>
      <c r="C236" t="str">
        <f>TEXT(Table1[[#This Row],[Date]],"DDDD")</f>
        <v>Friday</v>
      </c>
      <c r="D236" t="s">
        <v>27</v>
      </c>
      <c r="E236" t="s">
        <v>53</v>
      </c>
      <c r="F236" t="s">
        <v>41</v>
      </c>
      <c r="G236" t="s">
        <v>30</v>
      </c>
      <c r="H236" t="s">
        <v>38</v>
      </c>
      <c r="I236" t="s">
        <v>39</v>
      </c>
      <c r="J236" s="3">
        <v>30000</v>
      </c>
      <c r="K236">
        <v>6</v>
      </c>
      <c r="L236" t="s">
        <v>33</v>
      </c>
      <c r="M236" s="3">
        <v>24000</v>
      </c>
      <c r="N236" s="3">
        <f>Table1[[#This Row],[Unit Price]]*Table1[[#This Row],[Quantity]]</f>
        <v>180000</v>
      </c>
      <c r="O236" s="3">
        <f>Table1[[#This Row],[Cost Price]]*Table1[[#This Row],[Quantity]]</f>
        <v>144000</v>
      </c>
      <c r="P236" s="3">
        <f>Table1[[#This Row],[Revenue]]-Table1[[#This Row],[COGS]]</f>
        <v>36000</v>
      </c>
      <c r="Q236" s="1">
        <v>235</v>
      </c>
    </row>
    <row r="237" spans="1:17">
      <c r="A237" t="s">
        <v>123</v>
      </c>
      <c r="B237" t="str">
        <f>TEXT(Table1[[#This Row],[Date]],"MMMM")</f>
        <v>April</v>
      </c>
      <c r="C237" t="str">
        <f>TEXT(Table1[[#This Row],[Date]],"DDDD")</f>
        <v>Monday</v>
      </c>
      <c r="D237" t="s">
        <v>27</v>
      </c>
      <c r="E237" t="s">
        <v>53</v>
      </c>
      <c r="F237" t="s">
        <v>41</v>
      </c>
      <c r="G237" t="s">
        <v>30</v>
      </c>
      <c r="H237" t="s">
        <v>56</v>
      </c>
      <c r="I237" t="s">
        <v>32</v>
      </c>
      <c r="J237" s="3">
        <v>320000</v>
      </c>
      <c r="K237">
        <v>1</v>
      </c>
      <c r="L237" t="s">
        <v>33</v>
      </c>
      <c r="M237" s="3">
        <v>256000</v>
      </c>
      <c r="N237" s="3">
        <f>Table1[[#This Row],[Unit Price]]*Table1[[#This Row],[Quantity]]</f>
        <v>320000</v>
      </c>
      <c r="O237" s="3">
        <f>Table1[[#This Row],[Cost Price]]*Table1[[#This Row],[Quantity]]</f>
        <v>256000</v>
      </c>
      <c r="P237" s="3">
        <f>Table1[[#This Row],[Revenue]]-Table1[[#This Row],[COGS]]</f>
        <v>64000</v>
      </c>
      <c r="Q237" s="1">
        <v>236</v>
      </c>
    </row>
    <row r="238" spans="1:17">
      <c r="A238" t="s">
        <v>116</v>
      </c>
      <c r="B238" t="str">
        <f>TEXT(Table1[[#This Row],[Date]],"MMMM")</f>
        <v>April</v>
      </c>
      <c r="C238" t="str">
        <f>TEXT(Table1[[#This Row],[Date]],"DDDD")</f>
        <v>Saturday</v>
      </c>
      <c r="D238" t="s">
        <v>44</v>
      </c>
      <c r="E238" t="s">
        <v>36</v>
      </c>
      <c r="F238" t="s">
        <v>29</v>
      </c>
      <c r="G238" t="s">
        <v>37</v>
      </c>
      <c r="H238" t="s">
        <v>67</v>
      </c>
      <c r="I238" t="s">
        <v>51</v>
      </c>
      <c r="J238" s="3">
        <v>420000</v>
      </c>
      <c r="K238">
        <v>5</v>
      </c>
      <c r="L238" t="s">
        <v>65</v>
      </c>
      <c r="M238" s="3">
        <v>336000</v>
      </c>
      <c r="N238" s="3">
        <f>Table1[[#This Row],[Unit Price]]*Table1[[#This Row],[Quantity]]</f>
        <v>2100000</v>
      </c>
      <c r="O238" s="3">
        <f>Table1[[#This Row],[Cost Price]]*Table1[[#This Row],[Quantity]]</f>
        <v>1680000</v>
      </c>
      <c r="P238" s="3">
        <f>Table1[[#This Row],[Revenue]]-Table1[[#This Row],[COGS]]</f>
        <v>420000</v>
      </c>
      <c r="Q238" s="1">
        <v>237</v>
      </c>
    </row>
    <row r="239" spans="1:17">
      <c r="A239" t="s">
        <v>137</v>
      </c>
      <c r="B239" t="str">
        <f>TEXT(Table1[[#This Row],[Date]],"MMMM")</f>
        <v>April</v>
      </c>
      <c r="C239" t="str">
        <f>TEXT(Table1[[#This Row],[Date]],"DDDD")</f>
        <v>Wednesday</v>
      </c>
      <c r="D239" t="s">
        <v>27</v>
      </c>
      <c r="E239" t="s">
        <v>53</v>
      </c>
      <c r="F239" t="s">
        <v>29</v>
      </c>
      <c r="G239" t="s">
        <v>37</v>
      </c>
      <c r="H239" t="s">
        <v>38</v>
      </c>
      <c r="I239" t="s">
        <v>39</v>
      </c>
      <c r="J239" s="3">
        <v>30000</v>
      </c>
      <c r="K239">
        <v>9</v>
      </c>
      <c r="L239" t="s">
        <v>69</v>
      </c>
      <c r="M239" s="3">
        <v>24000</v>
      </c>
      <c r="N239" s="3">
        <f>Table1[[#This Row],[Unit Price]]*Table1[[#This Row],[Quantity]]</f>
        <v>270000</v>
      </c>
      <c r="O239" s="3">
        <f>Table1[[#This Row],[Cost Price]]*Table1[[#This Row],[Quantity]]</f>
        <v>216000</v>
      </c>
      <c r="P239" s="3">
        <f>Table1[[#This Row],[Revenue]]-Table1[[#This Row],[COGS]]</f>
        <v>54000</v>
      </c>
      <c r="Q239" s="1">
        <v>238</v>
      </c>
    </row>
    <row r="240" spans="1:17">
      <c r="A240" t="s">
        <v>147</v>
      </c>
      <c r="B240" t="str">
        <f>TEXT(Table1[[#This Row],[Date]],"MMMM")</f>
        <v>January</v>
      </c>
      <c r="C240" t="str">
        <f>TEXT(Table1[[#This Row],[Date]],"DDDD")</f>
        <v>Saturday</v>
      </c>
      <c r="D240" t="s">
        <v>44</v>
      </c>
      <c r="E240" t="s">
        <v>53</v>
      </c>
      <c r="F240" t="s">
        <v>29</v>
      </c>
      <c r="G240" t="s">
        <v>30</v>
      </c>
      <c r="H240" t="s">
        <v>46</v>
      </c>
      <c r="I240" t="s">
        <v>39</v>
      </c>
      <c r="J240" s="3">
        <v>60000</v>
      </c>
      <c r="K240">
        <v>8</v>
      </c>
      <c r="L240" t="s">
        <v>65</v>
      </c>
      <c r="M240" s="3">
        <v>48000</v>
      </c>
      <c r="N240" s="3">
        <f>Table1[[#This Row],[Unit Price]]*Table1[[#This Row],[Quantity]]</f>
        <v>480000</v>
      </c>
      <c r="O240" s="3">
        <f>Table1[[#This Row],[Cost Price]]*Table1[[#This Row],[Quantity]]</f>
        <v>384000</v>
      </c>
      <c r="P240" s="3">
        <f>Table1[[#This Row],[Revenue]]-Table1[[#This Row],[COGS]]</f>
        <v>96000</v>
      </c>
      <c r="Q240" s="1">
        <v>239</v>
      </c>
    </row>
    <row r="241" spans="1:17">
      <c r="A241" t="s">
        <v>145</v>
      </c>
      <c r="B241" t="str">
        <f>TEXT(Table1[[#This Row],[Date]],"MMMM")</f>
        <v>January</v>
      </c>
      <c r="C241" t="str">
        <f>TEXT(Table1[[#This Row],[Date]],"DDDD")</f>
        <v>Friday</v>
      </c>
      <c r="D241" t="s">
        <v>27</v>
      </c>
      <c r="E241" t="s">
        <v>45</v>
      </c>
      <c r="F241" t="s">
        <v>29</v>
      </c>
      <c r="G241" t="s">
        <v>30</v>
      </c>
      <c r="H241" t="s">
        <v>50</v>
      </c>
      <c r="I241" t="s">
        <v>51</v>
      </c>
      <c r="J241" s="3">
        <v>300000</v>
      </c>
      <c r="K241">
        <v>2</v>
      </c>
      <c r="L241" t="s">
        <v>47</v>
      </c>
      <c r="M241" s="3">
        <v>240000</v>
      </c>
      <c r="N241" s="3">
        <f>Table1[[#This Row],[Unit Price]]*Table1[[#This Row],[Quantity]]</f>
        <v>600000</v>
      </c>
      <c r="O241" s="3">
        <f>Table1[[#This Row],[Cost Price]]*Table1[[#This Row],[Quantity]]</f>
        <v>480000</v>
      </c>
      <c r="P241" s="3">
        <f>Table1[[#This Row],[Revenue]]-Table1[[#This Row],[COGS]]</f>
        <v>120000</v>
      </c>
      <c r="Q241" s="1">
        <v>240</v>
      </c>
    </row>
    <row r="242" spans="1:17">
      <c r="A242" t="s">
        <v>96</v>
      </c>
      <c r="B242" t="str">
        <f>TEXT(Table1[[#This Row],[Date]],"MMMM")</f>
        <v>March</v>
      </c>
      <c r="C242" t="str">
        <f>TEXT(Table1[[#This Row],[Date]],"DDDD")</f>
        <v>Sunday</v>
      </c>
      <c r="D242" t="s">
        <v>44</v>
      </c>
      <c r="E242" t="s">
        <v>28</v>
      </c>
      <c r="F242" t="s">
        <v>29</v>
      </c>
      <c r="G242" t="s">
        <v>30</v>
      </c>
      <c r="H242" t="s">
        <v>73</v>
      </c>
      <c r="I242" t="s">
        <v>39</v>
      </c>
      <c r="J242" s="3">
        <v>220000</v>
      </c>
      <c r="K242">
        <v>7</v>
      </c>
      <c r="L242" t="s">
        <v>47</v>
      </c>
      <c r="M242" s="3">
        <v>176000</v>
      </c>
      <c r="N242" s="3">
        <f>Table1[[#This Row],[Unit Price]]*Table1[[#This Row],[Quantity]]</f>
        <v>1540000</v>
      </c>
      <c r="O242" s="3">
        <f>Table1[[#This Row],[Cost Price]]*Table1[[#This Row],[Quantity]]</f>
        <v>1232000</v>
      </c>
      <c r="P242" s="3">
        <f>Table1[[#This Row],[Revenue]]-Table1[[#This Row],[COGS]]</f>
        <v>308000</v>
      </c>
      <c r="Q242" s="1">
        <v>241</v>
      </c>
    </row>
    <row r="243" spans="1:17">
      <c r="A243" t="s">
        <v>95</v>
      </c>
      <c r="B243" t="str">
        <f>TEXT(Table1[[#This Row],[Date]],"MMMM")</f>
        <v>February</v>
      </c>
      <c r="C243" t="str">
        <f>TEXT(Table1[[#This Row],[Date]],"DDDD")</f>
        <v>Saturday</v>
      </c>
      <c r="D243" t="s">
        <v>49</v>
      </c>
      <c r="E243" t="s">
        <v>36</v>
      </c>
      <c r="F243" t="s">
        <v>41</v>
      </c>
      <c r="G243" t="s">
        <v>37</v>
      </c>
      <c r="H243" t="s">
        <v>50</v>
      </c>
      <c r="I243" t="s">
        <v>51</v>
      </c>
      <c r="J243" s="3">
        <v>300000</v>
      </c>
      <c r="K243">
        <v>8</v>
      </c>
      <c r="L243" t="s">
        <v>33</v>
      </c>
      <c r="M243" s="3">
        <v>240000</v>
      </c>
      <c r="N243" s="3">
        <f>Table1[[#This Row],[Unit Price]]*Table1[[#This Row],[Quantity]]</f>
        <v>2400000</v>
      </c>
      <c r="O243" s="3">
        <f>Table1[[#This Row],[Cost Price]]*Table1[[#This Row],[Quantity]]</f>
        <v>1920000</v>
      </c>
      <c r="P243" s="3">
        <f>Table1[[#This Row],[Revenue]]-Table1[[#This Row],[COGS]]</f>
        <v>480000</v>
      </c>
      <c r="Q243" s="1">
        <v>242</v>
      </c>
    </row>
    <row r="244" spans="1:17">
      <c r="A244" t="s">
        <v>72</v>
      </c>
      <c r="B244" t="str">
        <f>TEXT(Table1[[#This Row],[Date]],"MMMM")</f>
        <v>February</v>
      </c>
      <c r="C244" t="str">
        <f>TEXT(Table1[[#This Row],[Date]],"DDDD")</f>
        <v>Wednesday</v>
      </c>
      <c r="D244" t="s">
        <v>35</v>
      </c>
      <c r="E244" t="s">
        <v>36</v>
      </c>
      <c r="F244" t="s">
        <v>41</v>
      </c>
      <c r="G244" t="s">
        <v>37</v>
      </c>
      <c r="H244" t="s">
        <v>67</v>
      </c>
      <c r="I244" t="s">
        <v>51</v>
      </c>
      <c r="J244" s="3">
        <v>420000</v>
      </c>
      <c r="K244">
        <v>10</v>
      </c>
      <c r="L244" t="s">
        <v>58</v>
      </c>
      <c r="M244" s="3">
        <v>336000</v>
      </c>
      <c r="N244" s="3">
        <f>Table1[[#This Row],[Unit Price]]*Table1[[#This Row],[Quantity]]</f>
        <v>4200000</v>
      </c>
      <c r="O244" s="3">
        <f>Table1[[#This Row],[Cost Price]]*Table1[[#This Row],[Quantity]]</f>
        <v>3360000</v>
      </c>
      <c r="P244" s="3">
        <f>Table1[[#This Row],[Revenue]]-Table1[[#This Row],[COGS]]</f>
        <v>840000</v>
      </c>
      <c r="Q244" s="1">
        <v>243</v>
      </c>
    </row>
    <row r="245" spans="1:17">
      <c r="A245" t="s">
        <v>108</v>
      </c>
      <c r="B245" t="str">
        <f>TEXT(Table1[[#This Row],[Date]],"MMMM")</f>
        <v>April</v>
      </c>
      <c r="C245" t="str">
        <f>TEXT(Table1[[#This Row],[Date]],"DDDD")</f>
        <v>Thursday</v>
      </c>
      <c r="D245" t="s">
        <v>35</v>
      </c>
      <c r="E245" t="s">
        <v>53</v>
      </c>
      <c r="F245" t="s">
        <v>41</v>
      </c>
      <c r="G245" t="s">
        <v>30</v>
      </c>
      <c r="H245" t="s">
        <v>50</v>
      </c>
      <c r="I245" t="s">
        <v>51</v>
      </c>
      <c r="J245" s="3">
        <v>300000</v>
      </c>
      <c r="K245">
        <v>2</v>
      </c>
      <c r="L245" t="s">
        <v>58</v>
      </c>
      <c r="M245" s="3">
        <v>240000</v>
      </c>
      <c r="N245" s="3">
        <f>Table1[[#This Row],[Unit Price]]*Table1[[#This Row],[Quantity]]</f>
        <v>600000</v>
      </c>
      <c r="O245" s="3">
        <f>Table1[[#This Row],[Cost Price]]*Table1[[#This Row],[Quantity]]</f>
        <v>480000</v>
      </c>
      <c r="P245" s="3">
        <f>Table1[[#This Row],[Revenue]]-Table1[[#This Row],[COGS]]</f>
        <v>120000</v>
      </c>
      <c r="Q245" s="1">
        <v>244</v>
      </c>
    </row>
    <row r="246" spans="1:17">
      <c r="A246" t="s">
        <v>144</v>
      </c>
      <c r="B246" t="str">
        <f>TEXT(Table1[[#This Row],[Date]],"MMMM")</f>
        <v>February</v>
      </c>
      <c r="C246" t="str">
        <f>TEXT(Table1[[#This Row],[Date]],"DDDD")</f>
        <v>Friday</v>
      </c>
      <c r="D246" t="s">
        <v>35</v>
      </c>
      <c r="E246" t="s">
        <v>36</v>
      </c>
      <c r="F246" t="s">
        <v>41</v>
      </c>
      <c r="G246" t="s">
        <v>30</v>
      </c>
      <c r="H246" t="s">
        <v>73</v>
      </c>
      <c r="I246" t="s">
        <v>39</v>
      </c>
      <c r="J246" s="3">
        <v>220000</v>
      </c>
      <c r="K246">
        <v>3</v>
      </c>
      <c r="L246" t="s">
        <v>47</v>
      </c>
      <c r="M246" s="3">
        <v>176000</v>
      </c>
      <c r="N246" s="3">
        <f>Table1[[#This Row],[Unit Price]]*Table1[[#This Row],[Quantity]]</f>
        <v>660000</v>
      </c>
      <c r="O246" s="3">
        <f>Table1[[#This Row],[Cost Price]]*Table1[[#This Row],[Quantity]]</f>
        <v>528000</v>
      </c>
      <c r="P246" s="3">
        <f>Table1[[#This Row],[Revenue]]-Table1[[#This Row],[COGS]]</f>
        <v>132000</v>
      </c>
      <c r="Q246" s="1">
        <v>245</v>
      </c>
    </row>
    <row r="247" spans="1:17">
      <c r="A247" t="s">
        <v>88</v>
      </c>
      <c r="B247" t="str">
        <f>TEXT(Table1[[#This Row],[Date]],"MMMM")</f>
        <v>February</v>
      </c>
      <c r="C247" t="str">
        <f>TEXT(Table1[[#This Row],[Date]],"DDDD")</f>
        <v>Monday</v>
      </c>
      <c r="D247" t="s">
        <v>35</v>
      </c>
      <c r="E247" t="s">
        <v>45</v>
      </c>
      <c r="F247" t="s">
        <v>41</v>
      </c>
      <c r="G247" t="s">
        <v>37</v>
      </c>
      <c r="H247" t="s">
        <v>31</v>
      </c>
      <c r="I247" t="s">
        <v>32</v>
      </c>
      <c r="J247" s="3">
        <v>85000</v>
      </c>
      <c r="K247">
        <v>6</v>
      </c>
      <c r="L247" t="s">
        <v>42</v>
      </c>
      <c r="M247" s="3">
        <v>68000</v>
      </c>
      <c r="N247" s="3">
        <f>Table1[[#This Row],[Unit Price]]*Table1[[#This Row],[Quantity]]</f>
        <v>510000</v>
      </c>
      <c r="O247" s="3">
        <f>Table1[[#This Row],[Cost Price]]*Table1[[#This Row],[Quantity]]</f>
        <v>408000</v>
      </c>
      <c r="P247" s="3">
        <f>Table1[[#This Row],[Revenue]]-Table1[[#This Row],[COGS]]</f>
        <v>102000</v>
      </c>
      <c r="Q247" s="1">
        <v>246</v>
      </c>
    </row>
    <row r="248" spans="1:17">
      <c r="A248" t="s">
        <v>124</v>
      </c>
      <c r="B248" t="str">
        <f>TEXT(Table1[[#This Row],[Date]],"MMMM")</f>
        <v>February</v>
      </c>
      <c r="C248" t="str">
        <f>TEXT(Table1[[#This Row],[Date]],"DDDD")</f>
        <v>Monday</v>
      </c>
      <c r="D248" t="s">
        <v>49</v>
      </c>
      <c r="E248" t="s">
        <v>53</v>
      </c>
      <c r="F248" t="s">
        <v>41</v>
      </c>
      <c r="G248" t="s">
        <v>30</v>
      </c>
      <c r="H248" t="s">
        <v>56</v>
      </c>
      <c r="I248" t="s">
        <v>32</v>
      </c>
      <c r="J248" s="3">
        <v>320000</v>
      </c>
      <c r="K248">
        <v>10</v>
      </c>
      <c r="L248" t="s">
        <v>69</v>
      </c>
      <c r="M248" s="3">
        <v>256000</v>
      </c>
      <c r="N248" s="3">
        <f>Table1[[#This Row],[Unit Price]]*Table1[[#This Row],[Quantity]]</f>
        <v>3200000</v>
      </c>
      <c r="O248" s="3">
        <f>Table1[[#This Row],[Cost Price]]*Table1[[#This Row],[Quantity]]</f>
        <v>2560000</v>
      </c>
      <c r="P248" s="3">
        <f>Table1[[#This Row],[Revenue]]-Table1[[#This Row],[COGS]]</f>
        <v>640000</v>
      </c>
      <c r="Q248" s="1">
        <v>247</v>
      </c>
    </row>
    <row r="249" spans="1:17">
      <c r="A249" t="s">
        <v>94</v>
      </c>
      <c r="B249" t="str">
        <f>TEXT(Table1[[#This Row],[Date]],"MMMM")</f>
        <v>January</v>
      </c>
      <c r="C249" t="str">
        <f>TEXT(Table1[[#This Row],[Date]],"DDDD")</f>
        <v>Friday</v>
      </c>
      <c r="D249" t="s">
        <v>35</v>
      </c>
      <c r="E249" t="s">
        <v>28</v>
      </c>
      <c r="F249" t="s">
        <v>41</v>
      </c>
      <c r="G249" t="s">
        <v>30</v>
      </c>
      <c r="H249" t="s">
        <v>50</v>
      </c>
      <c r="I249" t="s">
        <v>51</v>
      </c>
      <c r="J249" s="3">
        <v>300000</v>
      </c>
      <c r="K249">
        <v>2</v>
      </c>
      <c r="L249" t="s">
        <v>42</v>
      </c>
      <c r="M249" s="3">
        <v>240000</v>
      </c>
      <c r="N249" s="3">
        <f>Table1[[#This Row],[Unit Price]]*Table1[[#This Row],[Quantity]]</f>
        <v>600000</v>
      </c>
      <c r="O249" s="3">
        <f>Table1[[#This Row],[Cost Price]]*Table1[[#This Row],[Quantity]]</f>
        <v>480000</v>
      </c>
      <c r="P249" s="3">
        <f>Table1[[#This Row],[Revenue]]-Table1[[#This Row],[COGS]]</f>
        <v>120000</v>
      </c>
      <c r="Q249" s="1">
        <v>248</v>
      </c>
    </row>
    <row r="250" spans="1:17">
      <c r="A250" t="s">
        <v>102</v>
      </c>
      <c r="B250" t="str">
        <f>TEXT(Table1[[#This Row],[Date]],"MMMM")</f>
        <v>March</v>
      </c>
      <c r="C250" t="str">
        <f>TEXT(Table1[[#This Row],[Date]],"DDDD")</f>
        <v>Wednesday</v>
      </c>
      <c r="D250" t="s">
        <v>44</v>
      </c>
      <c r="E250" t="s">
        <v>28</v>
      </c>
      <c r="F250" t="s">
        <v>41</v>
      </c>
      <c r="G250" t="s">
        <v>37</v>
      </c>
      <c r="H250" t="s">
        <v>38</v>
      </c>
      <c r="I250" t="s">
        <v>39</v>
      </c>
      <c r="J250" s="3">
        <v>30000</v>
      </c>
      <c r="K250">
        <v>6</v>
      </c>
      <c r="L250" t="s">
        <v>69</v>
      </c>
      <c r="M250" s="3">
        <v>24000</v>
      </c>
      <c r="N250" s="3">
        <f>Table1[[#This Row],[Unit Price]]*Table1[[#This Row],[Quantity]]</f>
        <v>180000</v>
      </c>
      <c r="O250" s="3">
        <f>Table1[[#This Row],[Cost Price]]*Table1[[#This Row],[Quantity]]</f>
        <v>144000</v>
      </c>
      <c r="P250" s="3">
        <f>Table1[[#This Row],[Revenue]]-Table1[[#This Row],[COGS]]</f>
        <v>36000</v>
      </c>
      <c r="Q250" s="1">
        <v>249</v>
      </c>
    </row>
    <row r="251" spans="1:17">
      <c r="A251" t="s">
        <v>156</v>
      </c>
      <c r="B251" t="str">
        <f>TEXT(Table1[[#This Row],[Date]],"MMMM")</f>
        <v>February</v>
      </c>
      <c r="C251" t="str">
        <f>TEXT(Table1[[#This Row],[Date]],"DDDD")</f>
        <v>Friday</v>
      </c>
      <c r="D251" t="s">
        <v>44</v>
      </c>
      <c r="E251" t="s">
        <v>28</v>
      </c>
      <c r="F251" t="s">
        <v>41</v>
      </c>
      <c r="G251" t="s">
        <v>37</v>
      </c>
      <c r="H251" t="s">
        <v>46</v>
      </c>
      <c r="I251" t="s">
        <v>39</v>
      </c>
      <c r="J251" s="3">
        <v>60000</v>
      </c>
      <c r="K251">
        <v>2</v>
      </c>
      <c r="L251" t="s">
        <v>47</v>
      </c>
      <c r="M251" s="3">
        <v>48000</v>
      </c>
      <c r="N251" s="3">
        <f>Table1[[#This Row],[Unit Price]]*Table1[[#This Row],[Quantity]]</f>
        <v>120000</v>
      </c>
      <c r="O251" s="3">
        <f>Table1[[#This Row],[Cost Price]]*Table1[[#This Row],[Quantity]]</f>
        <v>96000</v>
      </c>
      <c r="P251" s="3">
        <f>Table1[[#This Row],[Revenue]]-Table1[[#This Row],[COGS]]</f>
        <v>24000</v>
      </c>
      <c r="Q251" s="1">
        <v>250</v>
      </c>
    </row>
    <row r="252" spans="1:17">
      <c r="A252" t="s">
        <v>94</v>
      </c>
      <c r="B252" t="str">
        <f>TEXT(Table1[[#This Row],[Date]],"MMMM")</f>
        <v>January</v>
      </c>
      <c r="C252" t="str">
        <f>TEXT(Table1[[#This Row],[Date]],"DDDD")</f>
        <v>Friday</v>
      </c>
      <c r="D252" t="s">
        <v>49</v>
      </c>
      <c r="E252" t="s">
        <v>45</v>
      </c>
      <c r="F252" t="s">
        <v>29</v>
      </c>
      <c r="G252" t="s">
        <v>30</v>
      </c>
      <c r="H252" t="s">
        <v>73</v>
      </c>
      <c r="I252" t="s">
        <v>39</v>
      </c>
      <c r="J252" s="3">
        <v>220000</v>
      </c>
      <c r="K252">
        <v>5</v>
      </c>
      <c r="L252" t="s">
        <v>33</v>
      </c>
      <c r="M252" s="3">
        <v>176000</v>
      </c>
      <c r="N252" s="3">
        <f>Table1[[#This Row],[Unit Price]]*Table1[[#This Row],[Quantity]]</f>
        <v>1100000</v>
      </c>
      <c r="O252" s="3">
        <f>Table1[[#This Row],[Cost Price]]*Table1[[#This Row],[Quantity]]</f>
        <v>880000</v>
      </c>
      <c r="P252" s="3">
        <f>Table1[[#This Row],[Revenue]]-Table1[[#This Row],[COGS]]</f>
        <v>220000</v>
      </c>
      <c r="Q252" s="1">
        <v>251</v>
      </c>
    </row>
    <row r="253" spans="1:17">
      <c r="A253" t="s">
        <v>107</v>
      </c>
      <c r="B253" t="str">
        <f>TEXT(Table1[[#This Row],[Date]],"MMMM")</f>
        <v>February</v>
      </c>
      <c r="C253" t="str">
        <f>TEXT(Table1[[#This Row],[Date]],"DDDD")</f>
        <v>Wednesday</v>
      </c>
      <c r="D253" t="s">
        <v>27</v>
      </c>
      <c r="E253" t="s">
        <v>53</v>
      </c>
      <c r="F253" t="s">
        <v>29</v>
      </c>
      <c r="G253" t="s">
        <v>37</v>
      </c>
      <c r="H253" t="s">
        <v>54</v>
      </c>
      <c r="I253" t="s">
        <v>39</v>
      </c>
      <c r="J253" s="3">
        <v>180000</v>
      </c>
      <c r="K253">
        <v>6</v>
      </c>
      <c r="L253" t="s">
        <v>69</v>
      </c>
      <c r="M253" s="3">
        <v>144000</v>
      </c>
      <c r="N253" s="3">
        <f>Table1[[#This Row],[Unit Price]]*Table1[[#This Row],[Quantity]]</f>
        <v>1080000</v>
      </c>
      <c r="O253" s="3">
        <f>Table1[[#This Row],[Cost Price]]*Table1[[#This Row],[Quantity]]</f>
        <v>864000</v>
      </c>
      <c r="P253" s="3">
        <f>Table1[[#This Row],[Revenue]]-Table1[[#This Row],[COGS]]</f>
        <v>216000</v>
      </c>
      <c r="Q253" s="1">
        <v>252</v>
      </c>
    </row>
    <row r="254" spans="1:17">
      <c r="A254" t="s">
        <v>78</v>
      </c>
      <c r="B254" t="str">
        <f>TEXT(Table1[[#This Row],[Date]],"MMMM")</f>
        <v>April</v>
      </c>
      <c r="C254" t="str">
        <f>TEXT(Table1[[#This Row],[Date]],"DDDD")</f>
        <v>Tuesday</v>
      </c>
      <c r="D254" t="s">
        <v>49</v>
      </c>
      <c r="E254" t="s">
        <v>28</v>
      </c>
      <c r="F254" t="s">
        <v>29</v>
      </c>
      <c r="G254" t="s">
        <v>30</v>
      </c>
      <c r="H254" t="s">
        <v>71</v>
      </c>
      <c r="I254" t="s">
        <v>51</v>
      </c>
      <c r="J254" s="3">
        <v>250000</v>
      </c>
      <c r="K254">
        <v>4</v>
      </c>
      <c r="L254" t="s">
        <v>58</v>
      </c>
      <c r="M254" s="3">
        <v>200000</v>
      </c>
      <c r="N254" s="3">
        <f>Table1[[#This Row],[Unit Price]]*Table1[[#This Row],[Quantity]]</f>
        <v>1000000</v>
      </c>
      <c r="O254" s="3">
        <f>Table1[[#This Row],[Cost Price]]*Table1[[#This Row],[Quantity]]</f>
        <v>800000</v>
      </c>
      <c r="P254" s="3">
        <f>Table1[[#This Row],[Revenue]]-Table1[[#This Row],[COGS]]</f>
        <v>200000</v>
      </c>
      <c r="Q254" s="1">
        <v>253</v>
      </c>
    </row>
    <row r="255" spans="1:17">
      <c r="A255" t="s">
        <v>55</v>
      </c>
      <c r="B255" t="str">
        <f>TEXT(Table1[[#This Row],[Date]],"MMMM")</f>
        <v>March</v>
      </c>
      <c r="C255" t="str">
        <f>TEXT(Table1[[#This Row],[Date]],"DDDD")</f>
        <v>Sunday</v>
      </c>
      <c r="D255" t="s">
        <v>49</v>
      </c>
      <c r="E255" t="s">
        <v>45</v>
      </c>
      <c r="F255" t="s">
        <v>41</v>
      </c>
      <c r="G255" t="s">
        <v>30</v>
      </c>
      <c r="H255" t="s">
        <v>31</v>
      </c>
      <c r="I255" t="s">
        <v>32</v>
      </c>
      <c r="J255" s="3">
        <v>85000</v>
      </c>
      <c r="K255">
        <v>10</v>
      </c>
      <c r="L255" t="s">
        <v>42</v>
      </c>
      <c r="M255" s="3">
        <v>68000</v>
      </c>
      <c r="N255" s="3">
        <f>Table1[[#This Row],[Unit Price]]*Table1[[#This Row],[Quantity]]</f>
        <v>850000</v>
      </c>
      <c r="O255" s="3">
        <f>Table1[[#This Row],[Cost Price]]*Table1[[#This Row],[Quantity]]</f>
        <v>680000</v>
      </c>
      <c r="P255" s="3">
        <f>Table1[[#This Row],[Revenue]]-Table1[[#This Row],[COGS]]</f>
        <v>170000</v>
      </c>
      <c r="Q255" s="1">
        <v>254</v>
      </c>
    </row>
    <row r="256" spans="1:17">
      <c r="A256" t="s">
        <v>129</v>
      </c>
      <c r="B256" t="str">
        <f>TEXT(Table1[[#This Row],[Date]],"MMMM")</f>
        <v>March</v>
      </c>
      <c r="C256" t="str">
        <f>TEXT(Table1[[#This Row],[Date]],"DDDD")</f>
        <v>Tuesday</v>
      </c>
      <c r="D256" t="s">
        <v>27</v>
      </c>
      <c r="E256" t="s">
        <v>36</v>
      </c>
      <c r="F256" t="s">
        <v>29</v>
      </c>
      <c r="G256" t="s">
        <v>30</v>
      </c>
      <c r="H256" t="s">
        <v>50</v>
      </c>
      <c r="I256" t="s">
        <v>51</v>
      </c>
      <c r="J256" s="3">
        <v>300000</v>
      </c>
      <c r="K256">
        <v>6</v>
      </c>
      <c r="L256" t="s">
        <v>42</v>
      </c>
      <c r="M256" s="3">
        <v>240000</v>
      </c>
      <c r="N256" s="3">
        <f>Table1[[#This Row],[Unit Price]]*Table1[[#This Row],[Quantity]]</f>
        <v>1800000</v>
      </c>
      <c r="O256" s="3">
        <f>Table1[[#This Row],[Cost Price]]*Table1[[#This Row],[Quantity]]</f>
        <v>1440000</v>
      </c>
      <c r="P256" s="3">
        <f>Table1[[#This Row],[Revenue]]-Table1[[#This Row],[COGS]]</f>
        <v>360000</v>
      </c>
      <c r="Q256" s="1">
        <v>255</v>
      </c>
    </row>
    <row r="257" spans="1:17">
      <c r="A257" t="s">
        <v>117</v>
      </c>
      <c r="B257" t="str">
        <f>TEXT(Table1[[#This Row],[Date]],"MMMM")</f>
        <v>January</v>
      </c>
      <c r="C257" t="str">
        <f>TEXT(Table1[[#This Row],[Date]],"DDDD")</f>
        <v>Wednesday</v>
      </c>
      <c r="D257" t="s">
        <v>49</v>
      </c>
      <c r="E257" t="s">
        <v>36</v>
      </c>
      <c r="F257" t="s">
        <v>41</v>
      </c>
      <c r="G257" t="s">
        <v>37</v>
      </c>
      <c r="H257" t="s">
        <v>73</v>
      </c>
      <c r="I257" t="s">
        <v>39</v>
      </c>
      <c r="J257" s="3">
        <v>220000</v>
      </c>
      <c r="K257">
        <v>3</v>
      </c>
      <c r="L257" t="s">
        <v>33</v>
      </c>
      <c r="M257" s="3">
        <v>176000</v>
      </c>
      <c r="N257" s="3">
        <f>Table1[[#This Row],[Unit Price]]*Table1[[#This Row],[Quantity]]</f>
        <v>660000</v>
      </c>
      <c r="O257" s="3">
        <f>Table1[[#This Row],[Cost Price]]*Table1[[#This Row],[Quantity]]</f>
        <v>528000</v>
      </c>
      <c r="P257" s="3">
        <f>Table1[[#This Row],[Revenue]]-Table1[[#This Row],[COGS]]</f>
        <v>132000</v>
      </c>
      <c r="Q257" s="1">
        <v>256</v>
      </c>
    </row>
    <row r="258" spans="1:17">
      <c r="A258" t="s">
        <v>100</v>
      </c>
      <c r="B258" t="str">
        <f>TEXT(Table1[[#This Row],[Date]],"MMMM")</f>
        <v>January</v>
      </c>
      <c r="C258" t="str">
        <f>TEXT(Table1[[#This Row],[Date]],"DDDD")</f>
        <v>Monday</v>
      </c>
      <c r="D258" t="s">
        <v>49</v>
      </c>
      <c r="E258" t="s">
        <v>45</v>
      </c>
      <c r="F258" t="s">
        <v>29</v>
      </c>
      <c r="G258" t="s">
        <v>37</v>
      </c>
      <c r="H258" t="s">
        <v>38</v>
      </c>
      <c r="I258" t="s">
        <v>39</v>
      </c>
      <c r="J258" s="3">
        <v>30000</v>
      </c>
      <c r="K258">
        <v>8</v>
      </c>
      <c r="L258" t="s">
        <v>69</v>
      </c>
      <c r="M258" s="3">
        <v>24000</v>
      </c>
      <c r="N258" s="3">
        <f>Table1[[#This Row],[Unit Price]]*Table1[[#This Row],[Quantity]]</f>
        <v>240000</v>
      </c>
      <c r="O258" s="3">
        <f>Table1[[#This Row],[Cost Price]]*Table1[[#This Row],[Quantity]]</f>
        <v>192000</v>
      </c>
      <c r="P258" s="3">
        <f>Table1[[#This Row],[Revenue]]-Table1[[#This Row],[COGS]]</f>
        <v>48000</v>
      </c>
      <c r="Q258" s="1">
        <v>257</v>
      </c>
    </row>
    <row r="259" spans="1:17">
      <c r="A259" t="s">
        <v>153</v>
      </c>
      <c r="B259" t="str">
        <f>TEXT(Table1[[#This Row],[Date]],"MMMM")</f>
        <v>March</v>
      </c>
      <c r="C259" t="str">
        <f>TEXT(Table1[[#This Row],[Date]],"DDDD")</f>
        <v>Tuesday</v>
      </c>
      <c r="D259" t="s">
        <v>49</v>
      </c>
      <c r="E259" t="s">
        <v>28</v>
      </c>
      <c r="F259" t="s">
        <v>41</v>
      </c>
      <c r="G259" t="s">
        <v>30</v>
      </c>
      <c r="H259" t="s">
        <v>31</v>
      </c>
      <c r="I259" t="s">
        <v>32</v>
      </c>
      <c r="J259" s="3">
        <v>85000</v>
      </c>
      <c r="K259">
        <v>2</v>
      </c>
      <c r="L259" t="s">
        <v>33</v>
      </c>
      <c r="M259" s="3">
        <v>68000</v>
      </c>
      <c r="N259" s="3">
        <f>Table1[[#This Row],[Unit Price]]*Table1[[#This Row],[Quantity]]</f>
        <v>170000</v>
      </c>
      <c r="O259" s="3">
        <f>Table1[[#This Row],[Cost Price]]*Table1[[#This Row],[Quantity]]</f>
        <v>136000</v>
      </c>
      <c r="P259" s="3">
        <f>Table1[[#This Row],[Revenue]]-Table1[[#This Row],[COGS]]</f>
        <v>34000</v>
      </c>
      <c r="Q259" s="1">
        <v>258</v>
      </c>
    </row>
    <row r="260" spans="1:17">
      <c r="A260" t="s">
        <v>136</v>
      </c>
      <c r="B260" t="str">
        <f>TEXT(Table1[[#This Row],[Date]],"MMMM")</f>
        <v>February</v>
      </c>
      <c r="C260" t="str">
        <f>TEXT(Table1[[#This Row],[Date]],"DDDD")</f>
        <v>Saturday</v>
      </c>
      <c r="D260" t="s">
        <v>44</v>
      </c>
      <c r="E260" t="s">
        <v>53</v>
      </c>
      <c r="F260" t="s">
        <v>29</v>
      </c>
      <c r="G260" t="s">
        <v>37</v>
      </c>
      <c r="H260" t="s">
        <v>62</v>
      </c>
      <c r="I260" t="s">
        <v>51</v>
      </c>
      <c r="J260" s="3">
        <v>150000</v>
      </c>
      <c r="K260">
        <v>3</v>
      </c>
      <c r="L260" t="s">
        <v>58</v>
      </c>
      <c r="M260" s="3">
        <v>120000</v>
      </c>
      <c r="N260" s="3">
        <f>Table1[[#This Row],[Unit Price]]*Table1[[#This Row],[Quantity]]</f>
        <v>450000</v>
      </c>
      <c r="O260" s="3">
        <f>Table1[[#This Row],[Cost Price]]*Table1[[#This Row],[Quantity]]</f>
        <v>360000</v>
      </c>
      <c r="P260" s="3">
        <f>Table1[[#This Row],[Revenue]]-Table1[[#This Row],[COGS]]</f>
        <v>90000</v>
      </c>
      <c r="Q260" s="1">
        <v>259</v>
      </c>
    </row>
    <row r="261" spans="1:17">
      <c r="A261" t="s">
        <v>60</v>
      </c>
      <c r="B261" t="str">
        <f>TEXT(Table1[[#This Row],[Date]],"MMMM")</f>
        <v>March</v>
      </c>
      <c r="C261" t="str">
        <f>TEXT(Table1[[#This Row],[Date]],"DDDD")</f>
        <v>Wednesday</v>
      </c>
      <c r="D261" t="s">
        <v>35</v>
      </c>
      <c r="E261" t="s">
        <v>53</v>
      </c>
      <c r="F261" t="s">
        <v>29</v>
      </c>
      <c r="G261" t="s">
        <v>37</v>
      </c>
      <c r="H261" t="s">
        <v>31</v>
      </c>
      <c r="I261" t="s">
        <v>32</v>
      </c>
      <c r="J261" s="3">
        <v>85000</v>
      </c>
      <c r="K261">
        <v>1</v>
      </c>
      <c r="L261" t="s">
        <v>65</v>
      </c>
      <c r="M261" s="3">
        <v>68000</v>
      </c>
      <c r="N261" s="3">
        <f>Table1[[#This Row],[Unit Price]]*Table1[[#This Row],[Quantity]]</f>
        <v>85000</v>
      </c>
      <c r="O261" s="3">
        <f>Table1[[#This Row],[Cost Price]]*Table1[[#This Row],[Quantity]]</f>
        <v>68000</v>
      </c>
      <c r="P261" s="3">
        <f>Table1[[#This Row],[Revenue]]-Table1[[#This Row],[COGS]]</f>
        <v>17000</v>
      </c>
      <c r="Q261" s="1">
        <v>260</v>
      </c>
    </row>
    <row r="262" spans="1:17">
      <c r="A262" t="s">
        <v>124</v>
      </c>
      <c r="B262" t="str">
        <f>TEXT(Table1[[#This Row],[Date]],"MMMM")</f>
        <v>February</v>
      </c>
      <c r="C262" t="str">
        <f>TEXT(Table1[[#This Row],[Date]],"DDDD")</f>
        <v>Monday</v>
      </c>
      <c r="D262" t="s">
        <v>44</v>
      </c>
      <c r="E262" t="s">
        <v>28</v>
      </c>
      <c r="F262" t="s">
        <v>41</v>
      </c>
      <c r="G262" t="s">
        <v>37</v>
      </c>
      <c r="H262" t="s">
        <v>71</v>
      </c>
      <c r="I262" t="s">
        <v>51</v>
      </c>
      <c r="J262" s="3">
        <v>250000</v>
      </c>
      <c r="K262">
        <v>3</v>
      </c>
      <c r="L262" t="s">
        <v>69</v>
      </c>
      <c r="M262" s="3">
        <v>200000</v>
      </c>
      <c r="N262" s="3">
        <f>Table1[[#This Row],[Unit Price]]*Table1[[#This Row],[Quantity]]</f>
        <v>750000</v>
      </c>
      <c r="O262" s="3">
        <f>Table1[[#This Row],[Cost Price]]*Table1[[#This Row],[Quantity]]</f>
        <v>600000</v>
      </c>
      <c r="P262" s="3">
        <f>Table1[[#This Row],[Revenue]]-Table1[[#This Row],[COGS]]</f>
        <v>150000</v>
      </c>
      <c r="Q262" s="1">
        <v>261</v>
      </c>
    </row>
    <row r="263" spans="1:17">
      <c r="A263" t="s">
        <v>157</v>
      </c>
      <c r="B263" t="str">
        <f>TEXT(Table1[[#This Row],[Date]],"MMMM")</f>
        <v>April</v>
      </c>
      <c r="C263" t="str">
        <f>TEXT(Table1[[#This Row],[Date]],"DDDD")</f>
        <v>Tuesday</v>
      </c>
      <c r="D263" t="s">
        <v>35</v>
      </c>
      <c r="E263" t="s">
        <v>28</v>
      </c>
      <c r="F263" t="s">
        <v>41</v>
      </c>
      <c r="G263" t="s">
        <v>37</v>
      </c>
      <c r="H263" t="s">
        <v>67</v>
      </c>
      <c r="I263" t="s">
        <v>51</v>
      </c>
      <c r="J263" s="3">
        <v>420000</v>
      </c>
      <c r="K263">
        <v>2</v>
      </c>
      <c r="L263" t="s">
        <v>33</v>
      </c>
      <c r="M263" s="3">
        <v>336000</v>
      </c>
      <c r="N263" s="3">
        <f>Table1[[#This Row],[Unit Price]]*Table1[[#This Row],[Quantity]]</f>
        <v>840000</v>
      </c>
      <c r="O263" s="3">
        <f>Table1[[#This Row],[Cost Price]]*Table1[[#This Row],[Quantity]]</f>
        <v>672000</v>
      </c>
      <c r="P263" s="3">
        <f>Table1[[#This Row],[Revenue]]-Table1[[#This Row],[COGS]]</f>
        <v>168000</v>
      </c>
      <c r="Q263" s="1">
        <v>262</v>
      </c>
    </row>
    <row r="264" spans="1:17">
      <c r="A264" t="s">
        <v>52</v>
      </c>
      <c r="B264" t="str">
        <f>TEXT(Table1[[#This Row],[Date]],"MMMM")</f>
        <v>March</v>
      </c>
      <c r="C264" t="str">
        <f>TEXT(Table1[[#This Row],[Date]],"DDDD")</f>
        <v>Saturday</v>
      </c>
      <c r="D264" t="s">
        <v>27</v>
      </c>
      <c r="E264" t="s">
        <v>45</v>
      </c>
      <c r="F264" t="s">
        <v>29</v>
      </c>
      <c r="G264" t="s">
        <v>30</v>
      </c>
      <c r="H264" t="s">
        <v>62</v>
      </c>
      <c r="I264" t="s">
        <v>51</v>
      </c>
      <c r="J264" s="3">
        <v>150000</v>
      </c>
      <c r="K264">
        <v>9</v>
      </c>
      <c r="L264" t="s">
        <v>47</v>
      </c>
      <c r="M264" s="3">
        <v>120000</v>
      </c>
      <c r="N264" s="3">
        <f>Table1[[#This Row],[Unit Price]]*Table1[[#This Row],[Quantity]]</f>
        <v>1350000</v>
      </c>
      <c r="O264" s="3">
        <f>Table1[[#This Row],[Cost Price]]*Table1[[#This Row],[Quantity]]</f>
        <v>1080000</v>
      </c>
      <c r="P264" s="3">
        <f>Table1[[#This Row],[Revenue]]-Table1[[#This Row],[COGS]]</f>
        <v>270000</v>
      </c>
      <c r="Q264" s="1">
        <v>263</v>
      </c>
    </row>
    <row r="265" spans="1:17">
      <c r="A265" t="s">
        <v>126</v>
      </c>
      <c r="B265" t="str">
        <f>TEXT(Table1[[#This Row],[Date]],"MMMM")</f>
        <v>January</v>
      </c>
      <c r="C265" t="str">
        <f>TEXT(Table1[[#This Row],[Date]],"DDDD")</f>
        <v>Thursday</v>
      </c>
      <c r="D265" t="s">
        <v>49</v>
      </c>
      <c r="E265" t="s">
        <v>53</v>
      </c>
      <c r="F265" t="s">
        <v>29</v>
      </c>
      <c r="G265" t="s">
        <v>37</v>
      </c>
      <c r="H265" t="s">
        <v>38</v>
      </c>
      <c r="I265" t="s">
        <v>39</v>
      </c>
      <c r="J265" s="3">
        <v>30000</v>
      </c>
      <c r="K265">
        <v>9</v>
      </c>
      <c r="L265" t="s">
        <v>42</v>
      </c>
      <c r="M265" s="3">
        <v>24000</v>
      </c>
      <c r="N265" s="3">
        <f>Table1[[#This Row],[Unit Price]]*Table1[[#This Row],[Quantity]]</f>
        <v>270000</v>
      </c>
      <c r="O265" s="3">
        <f>Table1[[#This Row],[Cost Price]]*Table1[[#This Row],[Quantity]]</f>
        <v>216000</v>
      </c>
      <c r="P265" s="3">
        <f>Table1[[#This Row],[Revenue]]-Table1[[#This Row],[COGS]]</f>
        <v>54000</v>
      </c>
      <c r="Q265" s="1">
        <v>264</v>
      </c>
    </row>
    <row r="266" spans="1:17">
      <c r="A266" t="s">
        <v>143</v>
      </c>
      <c r="B266" t="str">
        <f>TEXT(Table1[[#This Row],[Date]],"MMMM")</f>
        <v>April</v>
      </c>
      <c r="C266" t="str">
        <f>TEXT(Table1[[#This Row],[Date]],"DDDD")</f>
        <v>Thursday</v>
      </c>
      <c r="D266" t="s">
        <v>35</v>
      </c>
      <c r="E266" t="s">
        <v>36</v>
      </c>
      <c r="F266" t="s">
        <v>41</v>
      </c>
      <c r="G266" t="s">
        <v>37</v>
      </c>
      <c r="H266" t="s">
        <v>73</v>
      </c>
      <c r="I266" t="s">
        <v>39</v>
      </c>
      <c r="J266" s="3">
        <v>220000</v>
      </c>
      <c r="K266">
        <v>6</v>
      </c>
      <c r="L266" t="s">
        <v>69</v>
      </c>
      <c r="M266" s="3">
        <v>176000</v>
      </c>
      <c r="N266" s="3">
        <f>Table1[[#This Row],[Unit Price]]*Table1[[#This Row],[Quantity]]</f>
        <v>1320000</v>
      </c>
      <c r="O266" s="3">
        <f>Table1[[#This Row],[Cost Price]]*Table1[[#This Row],[Quantity]]</f>
        <v>1056000</v>
      </c>
      <c r="P266" s="3">
        <f>Table1[[#This Row],[Revenue]]-Table1[[#This Row],[COGS]]</f>
        <v>264000</v>
      </c>
      <c r="Q266" s="1">
        <v>265</v>
      </c>
    </row>
    <row r="267" spans="1:17">
      <c r="A267" t="s">
        <v>137</v>
      </c>
      <c r="B267" t="str">
        <f>TEXT(Table1[[#This Row],[Date]],"MMMM")</f>
        <v>April</v>
      </c>
      <c r="C267" t="str">
        <f>TEXT(Table1[[#This Row],[Date]],"DDDD")</f>
        <v>Wednesday</v>
      </c>
      <c r="D267" t="s">
        <v>49</v>
      </c>
      <c r="E267" t="s">
        <v>45</v>
      </c>
      <c r="F267" t="s">
        <v>41</v>
      </c>
      <c r="G267" t="s">
        <v>37</v>
      </c>
      <c r="H267" t="s">
        <v>38</v>
      </c>
      <c r="I267" t="s">
        <v>39</v>
      </c>
      <c r="J267" s="3">
        <v>30000</v>
      </c>
      <c r="K267">
        <v>3</v>
      </c>
      <c r="L267" t="s">
        <v>69</v>
      </c>
      <c r="M267" s="3">
        <v>24000</v>
      </c>
      <c r="N267" s="3">
        <f>Table1[[#This Row],[Unit Price]]*Table1[[#This Row],[Quantity]]</f>
        <v>90000</v>
      </c>
      <c r="O267" s="3">
        <f>Table1[[#This Row],[Cost Price]]*Table1[[#This Row],[Quantity]]</f>
        <v>72000</v>
      </c>
      <c r="P267" s="3">
        <f>Table1[[#This Row],[Revenue]]-Table1[[#This Row],[COGS]]</f>
        <v>18000</v>
      </c>
      <c r="Q267" s="1">
        <v>266</v>
      </c>
    </row>
    <row r="268" spans="1:17">
      <c r="A268" t="s">
        <v>136</v>
      </c>
      <c r="B268" t="str">
        <f>TEXT(Table1[[#This Row],[Date]],"MMMM")</f>
        <v>February</v>
      </c>
      <c r="C268" t="str">
        <f>TEXT(Table1[[#This Row],[Date]],"DDDD")</f>
        <v>Saturday</v>
      </c>
      <c r="D268" t="s">
        <v>27</v>
      </c>
      <c r="E268" t="s">
        <v>45</v>
      </c>
      <c r="F268" t="s">
        <v>29</v>
      </c>
      <c r="G268" t="s">
        <v>30</v>
      </c>
      <c r="H268" t="s">
        <v>67</v>
      </c>
      <c r="I268" t="s">
        <v>51</v>
      </c>
      <c r="J268" s="3">
        <v>420000</v>
      </c>
      <c r="K268">
        <v>10</v>
      </c>
      <c r="L268" t="s">
        <v>42</v>
      </c>
      <c r="M268" s="3">
        <v>336000</v>
      </c>
      <c r="N268" s="3">
        <f>Table1[[#This Row],[Unit Price]]*Table1[[#This Row],[Quantity]]</f>
        <v>4200000</v>
      </c>
      <c r="O268" s="3">
        <f>Table1[[#This Row],[Cost Price]]*Table1[[#This Row],[Quantity]]</f>
        <v>3360000</v>
      </c>
      <c r="P268" s="3">
        <f>Table1[[#This Row],[Revenue]]-Table1[[#This Row],[COGS]]</f>
        <v>840000</v>
      </c>
      <c r="Q268" s="1">
        <v>267</v>
      </c>
    </row>
    <row r="269" spans="1:17">
      <c r="A269" t="s">
        <v>149</v>
      </c>
      <c r="B269" t="str">
        <f>TEXT(Table1[[#This Row],[Date]],"MMMM")</f>
        <v>April</v>
      </c>
      <c r="C269" t="str">
        <f>TEXT(Table1[[#This Row],[Date]],"DDDD")</f>
        <v>Saturday</v>
      </c>
      <c r="D269" t="s">
        <v>49</v>
      </c>
      <c r="E269" t="s">
        <v>53</v>
      </c>
      <c r="F269" t="s">
        <v>41</v>
      </c>
      <c r="G269" t="s">
        <v>30</v>
      </c>
      <c r="H269" t="s">
        <v>38</v>
      </c>
      <c r="I269" t="s">
        <v>39</v>
      </c>
      <c r="J269" s="3">
        <v>30000</v>
      </c>
      <c r="K269">
        <v>2</v>
      </c>
      <c r="L269" t="s">
        <v>65</v>
      </c>
      <c r="M269" s="3">
        <v>24000</v>
      </c>
      <c r="N269" s="3">
        <f>Table1[[#This Row],[Unit Price]]*Table1[[#This Row],[Quantity]]</f>
        <v>60000</v>
      </c>
      <c r="O269" s="3">
        <f>Table1[[#This Row],[Cost Price]]*Table1[[#This Row],[Quantity]]</f>
        <v>48000</v>
      </c>
      <c r="P269" s="3">
        <f>Table1[[#This Row],[Revenue]]-Table1[[#This Row],[COGS]]</f>
        <v>12000</v>
      </c>
      <c r="Q269" s="1">
        <v>268</v>
      </c>
    </row>
    <row r="270" spans="1:17">
      <c r="A270" t="s">
        <v>88</v>
      </c>
      <c r="B270" t="str">
        <f>TEXT(Table1[[#This Row],[Date]],"MMMM")</f>
        <v>February</v>
      </c>
      <c r="C270" t="str">
        <f>TEXT(Table1[[#This Row],[Date]],"DDDD")</f>
        <v>Monday</v>
      </c>
      <c r="D270" t="s">
        <v>35</v>
      </c>
      <c r="E270" t="s">
        <v>28</v>
      </c>
      <c r="F270" t="s">
        <v>41</v>
      </c>
      <c r="G270" t="s">
        <v>37</v>
      </c>
      <c r="H270" t="s">
        <v>62</v>
      </c>
      <c r="I270" t="s">
        <v>51</v>
      </c>
      <c r="J270" s="3">
        <v>150000</v>
      </c>
      <c r="K270">
        <v>5</v>
      </c>
      <c r="L270" t="s">
        <v>42</v>
      </c>
      <c r="M270" s="3">
        <v>120000</v>
      </c>
      <c r="N270" s="3">
        <f>Table1[[#This Row],[Unit Price]]*Table1[[#This Row],[Quantity]]</f>
        <v>750000</v>
      </c>
      <c r="O270" s="3">
        <f>Table1[[#This Row],[Cost Price]]*Table1[[#This Row],[Quantity]]</f>
        <v>600000</v>
      </c>
      <c r="P270" s="3">
        <f>Table1[[#This Row],[Revenue]]-Table1[[#This Row],[COGS]]</f>
        <v>150000</v>
      </c>
      <c r="Q270" s="1">
        <v>269</v>
      </c>
    </row>
    <row r="271" spans="1:17">
      <c r="A271" t="s">
        <v>106</v>
      </c>
      <c r="B271" t="str">
        <f>TEXT(Table1[[#This Row],[Date]],"MMMM")</f>
        <v>April</v>
      </c>
      <c r="C271" t="str">
        <f>TEXT(Table1[[#This Row],[Date]],"DDDD")</f>
        <v>Wednesday</v>
      </c>
      <c r="D271" t="s">
        <v>44</v>
      </c>
      <c r="E271" t="s">
        <v>53</v>
      </c>
      <c r="F271" t="s">
        <v>29</v>
      </c>
      <c r="G271" t="s">
        <v>37</v>
      </c>
      <c r="H271" t="s">
        <v>62</v>
      </c>
      <c r="I271" t="s">
        <v>51</v>
      </c>
      <c r="J271" s="3">
        <v>150000</v>
      </c>
      <c r="K271">
        <v>10</v>
      </c>
      <c r="L271" t="s">
        <v>65</v>
      </c>
      <c r="M271" s="3">
        <v>120000</v>
      </c>
      <c r="N271" s="3">
        <f>Table1[[#This Row],[Unit Price]]*Table1[[#This Row],[Quantity]]</f>
        <v>1500000</v>
      </c>
      <c r="O271" s="3">
        <f>Table1[[#This Row],[Cost Price]]*Table1[[#This Row],[Quantity]]</f>
        <v>1200000</v>
      </c>
      <c r="P271" s="3">
        <f>Table1[[#This Row],[Revenue]]-Table1[[#This Row],[COGS]]</f>
        <v>300000</v>
      </c>
      <c r="Q271" s="1">
        <v>270</v>
      </c>
    </row>
    <row r="272" spans="1:17">
      <c r="A272" t="s">
        <v>158</v>
      </c>
      <c r="B272" t="str">
        <f>TEXT(Table1[[#This Row],[Date]],"MMMM")</f>
        <v>January</v>
      </c>
      <c r="C272" t="str">
        <f>TEXT(Table1[[#This Row],[Date]],"DDDD")</f>
        <v>Saturday</v>
      </c>
      <c r="D272" t="s">
        <v>27</v>
      </c>
      <c r="E272" t="s">
        <v>53</v>
      </c>
      <c r="F272" t="s">
        <v>41</v>
      </c>
      <c r="G272" t="s">
        <v>30</v>
      </c>
      <c r="H272" t="s">
        <v>54</v>
      </c>
      <c r="I272" t="s">
        <v>39</v>
      </c>
      <c r="J272" s="3">
        <v>180000</v>
      </c>
      <c r="K272">
        <v>3</v>
      </c>
      <c r="L272" t="s">
        <v>42</v>
      </c>
      <c r="M272" s="3">
        <v>144000</v>
      </c>
      <c r="N272" s="3">
        <f>Table1[[#This Row],[Unit Price]]*Table1[[#This Row],[Quantity]]</f>
        <v>540000</v>
      </c>
      <c r="O272" s="3">
        <f>Table1[[#This Row],[Cost Price]]*Table1[[#This Row],[Quantity]]</f>
        <v>432000</v>
      </c>
      <c r="P272" s="3">
        <f>Table1[[#This Row],[Revenue]]-Table1[[#This Row],[COGS]]</f>
        <v>108000</v>
      </c>
      <c r="Q272" s="1">
        <v>271</v>
      </c>
    </row>
    <row r="273" spans="1:17">
      <c r="A273" t="s">
        <v>159</v>
      </c>
      <c r="B273" t="str">
        <f>TEXT(Table1[[#This Row],[Date]],"MMMM")</f>
        <v>February</v>
      </c>
      <c r="C273" t="str">
        <f>TEXT(Table1[[#This Row],[Date]],"DDDD")</f>
        <v>Sunday</v>
      </c>
      <c r="D273" t="s">
        <v>35</v>
      </c>
      <c r="E273" t="s">
        <v>45</v>
      </c>
      <c r="F273" t="s">
        <v>41</v>
      </c>
      <c r="G273" t="s">
        <v>30</v>
      </c>
      <c r="H273" t="s">
        <v>38</v>
      </c>
      <c r="I273" t="s">
        <v>39</v>
      </c>
      <c r="J273" s="3">
        <v>30000</v>
      </c>
      <c r="K273">
        <v>10</v>
      </c>
      <c r="L273" t="s">
        <v>47</v>
      </c>
      <c r="M273" s="3">
        <v>24000</v>
      </c>
      <c r="N273" s="3">
        <f>Table1[[#This Row],[Unit Price]]*Table1[[#This Row],[Quantity]]</f>
        <v>300000</v>
      </c>
      <c r="O273" s="3">
        <f>Table1[[#This Row],[Cost Price]]*Table1[[#This Row],[Quantity]]</f>
        <v>240000</v>
      </c>
      <c r="P273" s="3">
        <f>Table1[[#This Row],[Revenue]]-Table1[[#This Row],[COGS]]</f>
        <v>60000</v>
      </c>
      <c r="Q273" s="1">
        <v>272</v>
      </c>
    </row>
    <row r="274" spans="1:17">
      <c r="A274" t="s">
        <v>160</v>
      </c>
      <c r="B274" t="str">
        <f>TEXT(Table1[[#This Row],[Date]],"MMMM")</f>
        <v>January</v>
      </c>
      <c r="C274" t="str">
        <f>TEXT(Table1[[#This Row],[Date]],"DDDD")</f>
        <v>Saturday</v>
      </c>
      <c r="D274" t="s">
        <v>35</v>
      </c>
      <c r="E274" t="s">
        <v>28</v>
      </c>
      <c r="F274" t="s">
        <v>29</v>
      </c>
      <c r="G274" t="s">
        <v>30</v>
      </c>
      <c r="H274" t="s">
        <v>67</v>
      </c>
      <c r="I274" t="s">
        <v>51</v>
      </c>
      <c r="J274" s="3">
        <v>420000</v>
      </c>
      <c r="K274">
        <v>2</v>
      </c>
      <c r="L274" t="s">
        <v>47</v>
      </c>
      <c r="M274" s="3">
        <v>336000</v>
      </c>
      <c r="N274" s="3">
        <f>Table1[[#This Row],[Unit Price]]*Table1[[#This Row],[Quantity]]</f>
        <v>840000</v>
      </c>
      <c r="O274" s="3">
        <f>Table1[[#This Row],[Cost Price]]*Table1[[#This Row],[Quantity]]</f>
        <v>672000</v>
      </c>
      <c r="P274" s="3">
        <f>Table1[[#This Row],[Revenue]]-Table1[[#This Row],[COGS]]</f>
        <v>168000</v>
      </c>
      <c r="Q274" s="1">
        <v>273</v>
      </c>
    </row>
    <row r="275" spans="1:17">
      <c r="A275" t="s">
        <v>128</v>
      </c>
      <c r="B275" t="str">
        <f>TEXT(Table1[[#This Row],[Date]],"MMMM")</f>
        <v>March</v>
      </c>
      <c r="C275" t="str">
        <f>TEXT(Table1[[#This Row],[Date]],"DDDD")</f>
        <v>Friday</v>
      </c>
      <c r="D275" t="s">
        <v>44</v>
      </c>
      <c r="E275" t="s">
        <v>28</v>
      </c>
      <c r="F275" t="s">
        <v>41</v>
      </c>
      <c r="G275" t="s">
        <v>30</v>
      </c>
      <c r="H275" t="s">
        <v>56</v>
      </c>
      <c r="I275" t="s">
        <v>32</v>
      </c>
      <c r="J275" s="3">
        <v>320000</v>
      </c>
      <c r="K275">
        <v>1</v>
      </c>
      <c r="L275" t="s">
        <v>58</v>
      </c>
      <c r="M275" s="3">
        <v>256000</v>
      </c>
      <c r="N275" s="3">
        <f>Table1[[#This Row],[Unit Price]]*Table1[[#This Row],[Quantity]]</f>
        <v>320000</v>
      </c>
      <c r="O275" s="3">
        <f>Table1[[#This Row],[Cost Price]]*Table1[[#This Row],[Quantity]]</f>
        <v>256000</v>
      </c>
      <c r="P275" s="3">
        <f>Table1[[#This Row],[Revenue]]-Table1[[#This Row],[COGS]]</f>
        <v>64000</v>
      </c>
      <c r="Q275" s="1">
        <v>274</v>
      </c>
    </row>
    <row r="276" spans="1:17">
      <c r="A276" t="s">
        <v>161</v>
      </c>
      <c r="B276" t="str">
        <f>TEXT(Table1[[#This Row],[Date]],"MMMM")</f>
        <v>March</v>
      </c>
      <c r="C276" t="str">
        <f>TEXT(Table1[[#This Row],[Date]],"DDDD")</f>
        <v>Thursday</v>
      </c>
      <c r="D276" t="s">
        <v>49</v>
      </c>
      <c r="E276" t="s">
        <v>36</v>
      </c>
      <c r="F276" t="s">
        <v>29</v>
      </c>
      <c r="G276" t="s">
        <v>30</v>
      </c>
      <c r="H276" t="s">
        <v>62</v>
      </c>
      <c r="I276" t="s">
        <v>51</v>
      </c>
      <c r="J276" s="3">
        <v>150000</v>
      </c>
      <c r="K276">
        <v>2</v>
      </c>
      <c r="L276" t="s">
        <v>47</v>
      </c>
      <c r="M276" s="3">
        <v>120000</v>
      </c>
      <c r="N276" s="3">
        <f>Table1[[#This Row],[Unit Price]]*Table1[[#This Row],[Quantity]]</f>
        <v>300000</v>
      </c>
      <c r="O276" s="3">
        <f>Table1[[#This Row],[Cost Price]]*Table1[[#This Row],[Quantity]]</f>
        <v>240000</v>
      </c>
      <c r="P276" s="3">
        <f>Table1[[#This Row],[Revenue]]-Table1[[#This Row],[COGS]]</f>
        <v>60000</v>
      </c>
      <c r="Q276" s="1">
        <v>275</v>
      </c>
    </row>
    <row r="277" spans="1:17">
      <c r="A277" t="s">
        <v>43</v>
      </c>
      <c r="B277" t="str">
        <f>TEXT(Table1[[#This Row],[Date]],"MMMM")</f>
        <v>April</v>
      </c>
      <c r="C277" t="str">
        <f>TEXT(Table1[[#This Row],[Date]],"DDDD")</f>
        <v>Friday</v>
      </c>
      <c r="D277" t="s">
        <v>35</v>
      </c>
      <c r="E277" t="s">
        <v>36</v>
      </c>
      <c r="F277" t="s">
        <v>41</v>
      </c>
      <c r="G277" t="s">
        <v>37</v>
      </c>
      <c r="H277" t="s">
        <v>38</v>
      </c>
      <c r="I277" t="s">
        <v>39</v>
      </c>
      <c r="J277" s="3">
        <v>30000</v>
      </c>
      <c r="K277">
        <v>9</v>
      </c>
      <c r="L277" t="s">
        <v>69</v>
      </c>
      <c r="M277" s="3">
        <v>24000</v>
      </c>
      <c r="N277" s="3">
        <f>Table1[[#This Row],[Unit Price]]*Table1[[#This Row],[Quantity]]</f>
        <v>270000</v>
      </c>
      <c r="O277" s="3">
        <f>Table1[[#This Row],[Cost Price]]*Table1[[#This Row],[Quantity]]</f>
        <v>216000</v>
      </c>
      <c r="P277" s="3">
        <f>Table1[[#This Row],[Revenue]]-Table1[[#This Row],[COGS]]</f>
        <v>54000</v>
      </c>
      <c r="Q277" s="1">
        <v>276</v>
      </c>
    </row>
    <row r="278" spans="1:17">
      <c r="A278" t="s">
        <v>79</v>
      </c>
      <c r="B278" t="str">
        <f>TEXT(Table1[[#This Row],[Date]],"MMMM")</f>
        <v>February</v>
      </c>
      <c r="C278" t="str">
        <f>TEXT(Table1[[#This Row],[Date]],"DDDD")</f>
        <v>Wednesday</v>
      </c>
      <c r="D278" t="s">
        <v>27</v>
      </c>
      <c r="E278" t="s">
        <v>36</v>
      </c>
      <c r="F278" t="s">
        <v>29</v>
      </c>
      <c r="G278" t="s">
        <v>30</v>
      </c>
      <c r="H278" t="s">
        <v>31</v>
      </c>
      <c r="I278" t="s">
        <v>32</v>
      </c>
      <c r="J278" s="3">
        <v>85000</v>
      </c>
      <c r="K278">
        <v>7</v>
      </c>
      <c r="L278" t="s">
        <v>58</v>
      </c>
      <c r="M278" s="3">
        <v>68000</v>
      </c>
      <c r="N278" s="3">
        <f>Table1[[#This Row],[Unit Price]]*Table1[[#This Row],[Quantity]]</f>
        <v>595000</v>
      </c>
      <c r="O278" s="3">
        <f>Table1[[#This Row],[Cost Price]]*Table1[[#This Row],[Quantity]]</f>
        <v>476000</v>
      </c>
      <c r="P278" s="3">
        <f>Table1[[#This Row],[Revenue]]-Table1[[#This Row],[COGS]]</f>
        <v>119000</v>
      </c>
      <c r="Q278" s="1">
        <v>277</v>
      </c>
    </row>
    <row r="279" spans="1:17">
      <c r="A279" t="s">
        <v>159</v>
      </c>
      <c r="B279" t="str">
        <f>TEXT(Table1[[#This Row],[Date]],"MMMM")</f>
        <v>February</v>
      </c>
      <c r="C279" t="str">
        <f>TEXT(Table1[[#This Row],[Date]],"DDDD")</f>
        <v>Sunday</v>
      </c>
      <c r="D279" t="s">
        <v>49</v>
      </c>
      <c r="E279" t="s">
        <v>28</v>
      </c>
      <c r="F279" t="s">
        <v>41</v>
      </c>
      <c r="G279" t="s">
        <v>30</v>
      </c>
      <c r="H279" t="s">
        <v>62</v>
      </c>
      <c r="I279" t="s">
        <v>51</v>
      </c>
      <c r="J279" s="3">
        <v>150000</v>
      </c>
      <c r="K279">
        <v>5</v>
      </c>
      <c r="L279" t="s">
        <v>42</v>
      </c>
      <c r="M279" s="3">
        <v>120000</v>
      </c>
      <c r="N279" s="3">
        <f>Table1[[#This Row],[Unit Price]]*Table1[[#This Row],[Quantity]]</f>
        <v>750000</v>
      </c>
      <c r="O279" s="3">
        <f>Table1[[#This Row],[Cost Price]]*Table1[[#This Row],[Quantity]]</f>
        <v>600000</v>
      </c>
      <c r="P279" s="3">
        <f>Table1[[#This Row],[Revenue]]-Table1[[#This Row],[COGS]]</f>
        <v>150000</v>
      </c>
      <c r="Q279" s="1">
        <v>278</v>
      </c>
    </row>
    <row r="280" spans="1:17">
      <c r="A280" t="s">
        <v>84</v>
      </c>
      <c r="B280" t="str">
        <f>TEXT(Table1[[#This Row],[Date]],"MMMM")</f>
        <v>January</v>
      </c>
      <c r="C280" t="str">
        <f>TEXT(Table1[[#This Row],[Date]],"DDDD")</f>
        <v>Wednesday</v>
      </c>
      <c r="D280" t="s">
        <v>27</v>
      </c>
      <c r="E280" t="s">
        <v>45</v>
      </c>
      <c r="F280" t="s">
        <v>29</v>
      </c>
      <c r="G280" t="s">
        <v>37</v>
      </c>
      <c r="H280" t="s">
        <v>56</v>
      </c>
      <c r="I280" t="s">
        <v>32</v>
      </c>
      <c r="J280" s="3">
        <v>320000</v>
      </c>
      <c r="K280">
        <v>9</v>
      </c>
      <c r="L280" t="s">
        <v>33</v>
      </c>
      <c r="M280" s="3">
        <v>256000</v>
      </c>
      <c r="N280" s="3">
        <f>Table1[[#This Row],[Unit Price]]*Table1[[#This Row],[Quantity]]</f>
        <v>2880000</v>
      </c>
      <c r="O280" s="3">
        <f>Table1[[#This Row],[Cost Price]]*Table1[[#This Row],[Quantity]]</f>
        <v>2304000</v>
      </c>
      <c r="P280" s="3">
        <f>Table1[[#This Row],[Revenue]]-Table1[[#This Row],[COGS]]</f>
        <v>576000</v>
      </c>
      <c r="Q280" s="1">
        <v>279</v>
      </c>
    </row>
    <row r="281" spans="1:17">
      <c r="A281" t="s">
        <v>120</v>
      </c>
      <c r="B281" t="str">
        <f>TEXT(Table1[[#This Row],[Date]],"MMMM")</f>
        <v>March</v>
      </c>
      <c r="C281" t="str">
        <f>TEXT(Table1[[#This Row],[Date]],"DDDD")</f>
        <v>Thursday</v>
      </c>
      <c r="D281" t="s">
        <v>49</v>
      </c>
      <c r="E281" t="s">
        <v>36</v>
      </c>
      <c r="F281" t="s">
        <v>29</v>
      </c>
      <c r="G281" t="s">
        <v>30</v>
      </c>
      <c r="H281" t="s">
        <v>56</v>
      </c>
      <c r="I281" t="s">
        <v>32</v>
      </c>
      <c r="J281" s="3">
        <v>320000</v>
      </c>
      <c r="K281">
        <v>10</v>
      </c>
      <c r="L281" t="s">
        <v>58</v>
      </c>
      <c r="M281" s="3">
        <v>256000</v>
      </c>
      <c r="N281" s="3">
        <f>Table1[[#This Row],[Unit Price]]*Table1[[#This Row],[Quantity]]</f>
        <v>3200000</v>
      </c>
      <c r="O281" s="3">
        <f>Table1[[#This Row],[Cost Price]]*Table1[[#This Row],[Quantity]]</f>
        <v>2560000</v>
      </c>
      <c r="P281" s="3">
        <f>Table1[[#This Row],[Revenue]]-Table1[[#This Row],[COGS]]</f>
        <v>640000</v>
      </c>
      <c r="Q281" s="1">
        <v>280</v>
      </c>
    </row>
    <row r="282" spans="1:17">
      <c r="A282" t="s">
        <v>94</v>
      </c>
      <c r="B282" t="str">
        <f>TEXT(Table1[[#This Row],[Date]],"MMMM")</f>
        <v>January</v>
      </c>
      <c r="C282" t="str">
        <f>TEXT(Table1[[#This Row],[Date]],"DDDD")</f>
        <v>Friday</v>
      </c>
      <c r="D282" t="s">
        <v>49</v>
      </c>
      <c r="E282" t="s">
        <v>45</v>
      </c>
      <c r="F282" t="s">
        <v>41</v>
      </c>
      <c r="G282" t="s">
        <v>30</v>
      </c>
      <c r="H282" t="s">
        <v>31</v>
      </c>
      <c r="I282" t="s">
        <v>32</v>
      </c>
      <c r="J282" s="3">
        <v>85000</v>
      </c>
      <c r="K282">
        <v>7</v>
      </c>
      <c r="L282" t="s">
        <v>58</v>
      </c>
      <c r="M282" s="3">
        <v>68000</v>
      </c>
      <c r="N282" s="3">
        <f>Table1[[#This Row],[Unit Price]]*Table1[[#This Row],[Quantity]]</f>
        <v>595000</v>
      </c>
      <c r="O282" s="3">
        <f>Table1[[#This Row],[Cost Price]]*Table1[[#This Row],[Quantity]]</f>
        <v>476000</v>
      </c>
      <c r="P282" s="3">
        <f>Table1[[#This Row],[Revenue]]-Table1[[#This Row],[COGS]]</f>
        <v>119000</v>
      </c>
      <c r="Q282" s="1">
        <v>281</v>
      </c>
    </row>
    <row r="283" spans="1:17">
      <c r="A283" t="s">
        <v>113</v>
      </c>
      <c r="B283" t="str">
        <f>TEXT(Table1[[#This Row],[Date]],"MMMM")</f>
        <v>April</v>
      </c>
      <c r="C283" t="str">
        <f>TEXT(Table1[[#This Row],[Date]],"DDDD")</f>
        <v>Monday</v>
      </c>
      <c r="D283" t="s">
        <v>44</v>
      </c>
      <c r="E283" t="s">
        <v>45</v>
      </c>
      <c r="F283" t="s">
        <v>29</v>
      </c>
      <c r="G283" t="s">
        <v>30</v>
      </c>
      <c r="H283" t="s">
        <v>46</v>
      </c>
      <c r="I283" t="s">
        <v>39</v>
      </c>
      <c r="J283" s="3">
        <v>60000</v>
      </c>
      <c r="K283">
        <v>4</v>
      </c>
      <c r="L283" t="s">
        <v>58</v>
      </c>
      <c r="M283" s="3">
        <v>48000</v>
      </c>
      <c r="N283" s="3">
        <f>Table1[[#This Row],[Unit Price]]*Table1[[#This Row],[Quantity]]</f>
        <v>240000</v>
      </c>
      <c r="O283" s="3">
        <f>Table1[[#This Row],[Cost Price]]*Table1[[#This Row],[Quantity]]</f>
        <v>192000</v>
      </c>
      <c r="P283" s="3">
        <f>Table1[[#This Row],[Revenue]]-Table1[[#This Row],[COGS]]</f>
        <v>48000</v>
      </c>
      <c r="Q283" s="1">
        <v>282</v>
      </c>
    </row>
    <row r="284" spans="1:17">
      <c r="A284" t="s">
        <v>77</v>
      </c>
      <c r="B284" t="str">
        <f>TEXT(Table1[[#This Row],[Date]],"MMMM")</f>
        <v>April</v>
      </c>
      <c r="C284" t="str">
        <f>TEXT(Table1[[#This Row],[Date]],"DDDD")</f>
        <v>Friday</v>
      </c>
      <c r="D284" t="s">
        <v>35</v>
      </c>
      <c r="E284" t="s">
        <v>45</v>
      </c>
      <c r="F284" t="s">
        <v>29</v>
      </c>
      <c r="G284" t="s">
        <v>37</v>
      </c>
      <c r="H284" t="s">
        <v>46</v>
      </c>
      <c r="I284" t="s">
        <v>39</v>
      </c>
      <c r="J284" s="3">
        <v>60000</v>
      </c>
      <c r="K284">
        <v>7</v>
      </c>
      <c r="L284" t="s">
        <v>42</v>
      </c>
      <c r="M284" s="3">
        <v>48000</v>
      </c>
      <c r="N284" s="3">
        <f>Table1[[#This Row],[Unit Price]]*Table1[[#This Row],[Quantity]]</f>
        <v>420000</v>
      </c>
      <c r="O284" s="3">
        <f>Table1[[#This Row],[Cost Price]]*Table1[[#This Row],[Quantity]]</f>
        <v>336000</v>
      </c>
      <c r="P284" s="3">
        <f>Table1[[#This Row],[Revenue]]-Table1[[#This Row],[COGS]]</f>
        <v>84000</v>
      </c>
      <c r="Q284" s="1">
        <v>283</v>
      </c>
    </row>
    <row r="285" spans="1:17">
      <c r="A285" t="s">
        <v>162</v>
      </c>
      <c r="B285" t="str">
        <f>TEXT(Table1[[#This Row],[Date]],"MMMM")</f>
        <v>April</v>
      </c>
      <c r="C285" t="str">
        <f>TEXT(Table1[[#This Row],[Date]],"DDDD")</f>
        <v>Tuesday</v>
      </c>
      <c r="D285" t="s">
        <v>44</v>
      </c>
      <c r="E285" t="s">
        <v>36</v>
      </c>
      <c r="F285" t="s">
        <v>41</v>
      </c>
      <c r="G285" t="s">
        <v>30</v>
      </c>
      <c r="H285" t="s">
        <v>62</v>
      </c>
      <c r="I285" t="s">
        <v>51</v>
      </c>
      <c r="J285" s="3">
        <v>150000</v>
      </c>
      <c r="K285">
        <v>7</v>
      </c>
      <c r="L285" t="s">
        <v>69</v>
      </c>
      <c r="M285" s="3">
        <v>120000</v>
      </c>
      <c r="N285" s="3">
        <f>Table1[[#This Row],[Unit Price]]*Table1[[#This Row],[Quantity]]</f>
        <v>1050000</v>
      </c>
      <c r="O285" s="3">
        <f>Table1[[#This Row],[Cost Price]]*Table1[[#This Row],[Quantity]]</f>
        <v>840000</v>
      </c>
      <c r="P285" s="3">
        <f>Table1[[#This Row],[Revenue]]-Table1[[#This Row],[COGS]]</f>
        <v>210000</v>
      </c>
      <c r="Q285" s="1">
        <v>284</v>
      </c>
    </row>
    <row r="286" spans="1:17">
      <c r="A286" t="s">
        <v>163</v>
      </c>
      <c r="B286" t="str">
        <f>TEXT(Table1[[#This Row],[Date]],"MMMM")</f>
        <v>April</v>
      </c>
      <c r="C286" t="str">
        <f>TEXT(Table1[[#This Row],[Date]],"DDDD")</f>
        <v>Tuesday</v>
      </c>
      <c r="D286" t="s">
        <v>27</v>
      </c>
      <c r="E286" t="s">
        <v>36</v>
      </c>
      <c r="F286" t="s">
        <v>29</v>
      </c>
      <c r="G286" t="s">
        <v>30</v>
      </c>
      <c r="H286" t="s">
        <v>31</v>
      </c>
      <c r="I286" t="s">
        <v>32</v>
      </c>
      <c r="J286" s="3">
        <v>85000</v>
      </c>
      <c r="K286">
        <v>3</v>
      </c>
      <c r="L286" t="s">
        <v>42</v>
      </c>
      <c r="M286" s="3">
        <v>68000</v>
      </c>
      <c r="N286" s="3">
        <f>Table1[[#This Row],[Unit Price]]*Table1[[#This Row],[Quantity]]</f>
        <v>255000</v>
      </c>
      <c r="O286" s="3">
        <f>Table1[[#This Row],[Cost Price]]*Table1[[#This Row],[Quantity]]</f>
        <v>204000</v>
      </c>
      <c r="P286" s="3">
        <f>Table1[[#This Row],[Revenue]]-Table1[[#This Row],[COGS]]</f>
        <v>51000</v>
      </c>
      <c r="Q286" s="1">
        <v>285</v>
      </c>
    </row>
    <row r="287" spans="1:17">
      <c r="A287" t="s">
        <v>102</v>
      </c>
      <c r="B287" t="str">
        <f>TEXT(Table1[[#This Row],[Date]],"MMMM")</f>
        <v>March</v>
      </c>
      <c r="C287" t="str">
        <f>TEXT(Table1[[#This Row],[Date]],"DDDD")</f>
        <v>Wednesday</v>
      </c>
      <c r="D287" t="s">
        <v>44</v>
      </c>
      <c r="E287" t="s">
        <v>53</v>
      </c>
      <c r="F287" t="s">
        <v>29</v>
      </c>
      <c r="G287" t="s">
        <v>30</v>
      </c>
      <c r="H287" t="s">
        <v>31</v>
      </c>
      <c r="I287" t="s">
        <v>32</v>
      </c>
      <c r="J287" s="3">
        <v>85000</v>
      </c>
      <c r="K287">
        <v>10</v>
      </c>
      <c r="L287" t="s">
        <v>47</v>
      </c>
      <c r="M287" s="3">
        <v>68000</v>
      </c>
      <c r="N287" s="3">
        <f>Table1[[#This Row],[Unit Price]]*Table1[[#This Row],[Quantity]]</f>
        <v>850000</v>
      </c>
      <c r="O287" s="3">
        <f>Table1[[#This Row],[Cost Price]]*Table1[[#This Row],[Quantity]]</f>
        <v>680000</v>
      </c>
      <c r="P287" s="3">
        <f>Table1[[#This Row],[Revenue]]-Table1[[#This Row],[COGS]]</f>
        <v>170000</v>
      </c>
      <c r="Q287" s="1">
        <v>286</v>
      </c>
    </row>
    <row r="288" spans="1:17">
      <c r="A288" t="s">
        <v>163</v>
      </c>
      <c r="B288" t="str">
        <f>TEXT(Table1[[#This Row],[Date]],"MMMM")</f>
        <v>April</v>
      </c>
      <c r="C288" t="str">
        <f>TEXT(Table1[[#This Row],[Date]],"DDDD")</f>
        <v>Tuesday</v>
      </c>
      <c r="D288" t="s">
        <v>35</v>
      </c>
      <c r="E288" t="s">
        <v>36</v>
      </c>
      <c r="F288" t="s">
        <v>41</v>
      </c>
      <c r="G288" t="s">
        <v>37</v>
      </c>
      <c r="H288" t="s">
        <v>50</v>
      </c>
      <c r="I288" t="s">
        <v>51</v>
      </c>
      <c r="J288" s="3">
        <v>300000</v>
      </c>
      <c r="K288">
        <v>10</v>
      </c>
      <c r="L288" t="s">
        <v>42</v>
      </c>
      <c r="M288" s="3">
        <v>240000</v>
      </c>
      <c r="N288" s="3">
        <f>Table1[[#This Row],[Unit Price]]*Table1[[#This Row],[Quantity]]</f>
        <v>3000000</v>
      </c>
      <c r="O288" s="3">
        <f>Table1[[#This Row],[Cost Price]]*Table1[[#This Row],[Quantity]]</f>
        <v>2400000</v>
      </c>
      <c r="P288" s="3">
        <f>Table1[[#This Row],[Revenue]]-Table1[[#This Row],[COGS]]</f>
        <v>600000</v>
      </c>
      <c r="Q288" s="1">
        <v>287</v>
      </c>
    </row>
    <row r="289" spans="1:17">
      <c r="A289" t="s">
        <v>122</v>
      </c>
      <c r="B289" t="str">
        <f>TEXT(Table1[[#This Row],[Date]],"MMMM")</f>
        <v>March</v>
      </c>
      <c r="C289" t="str">
        <f>TEXT(Table1[[#This Row],[Date]],"DDDD")</f>
        <v>Thursday</v>
      </c>
      <c r="D289" t="s">
        <v>44</v>
      </c>
      <c r="E289" t="s">
        <v>53</v>
      </c>
      <c r="F289" t="s">
        <v>29</v>
      </c>
      <c r="G289" t="s">
        <v>37</v>
      </c>
      <c r="H289" t="s">
        <v>46</v>
      </c>
      <c r="I289" t="s">
        <v>39</v>
      </c>
      <c r="J289" s="3">
        <v>60000</v>
      </c>
      <c r="K289">
        <v>3</v>
      </c>
      <c r="L289" t="s">
        <v>33</v>
      </c>
      <c r="M289" s="3">
        <v>48000</v>
      </c>
      <c r="N289" s="3">
        <f>Table1[[#This Row],[Unit Price]]*Table1[[#This Row],[Quantity]]</f>
        <v>180000</v>
      </c>
      <c r="O289" s="3">
        <f>Table1[[#This Row],[Cost Price]]*Table1[[#This Row],[Quantity]]</f>
        <v>144000</v>
      </c>
      <c r="P289" s="3">
        <f>Table1[[#This Row],[Revenue]]-Table1[[#This Row],[COGS]]</f>
        <v>36000</v>
      </c>
      <c r="Q289" s="1">
        <v>288</v>
      </c>
    </row>
    <row r="290" spans="1:17">
      <c r="A290" t="s">
        <v>40</v>
      </c>
      <c r="B290" t="str">
        <f>TEXT(Table1[[#This Row],[Date]],"MMMM")</f>
        <v>February</v>
      </c>
      <c r="C290" t="str">
        <f>TEXT(Table1[[#This Row],[Date]],"DDDD")</f>
        <v>Thursday</v>
      </c>
      <c r="D290" t="s">
        <v>35</v>
      </c>
      <c r="E290" t="s">
        <v>28</v>
      </c>
      <c r="F290" t="s">
        <v>41</v>
      </c>
      <c r="G290" t="s">
        <v>30</v>
      </c>
      <c r="H290" t="s">
        <v>46</v>
      </c>
      <c r="I290" t="s">
        <v>39</v>
      </c>
      <c r="J290" s="3">
        <v>60000</v>
      </c>
      <c r="K290">
        <v>3</v>
      </c>
      <c r="L290" t="s">
        <v>42</v>
      </c>
      <c r="M290" s="3">
        <v>48000</v>
      </c>
      <c r="N290" s="3">
        <f>Table1[[#This Row],[Unit Price]]*Table1[[#This Row],[Quantity]]</f>
        <v>180000</v>
      </c>
      <c r="O290" s="3">
        <f>Table1[[#This Row],[Cost Price]]*Table1[[#This Row],[Quantity]]</f>
        <v>144000</v>
      </c>
      <c r="P290" s="3">
        <f>Table1[[#This Row],[Revenue]]-Table1[[#This Row],[COGS]]</f>
        <v>36000</v>
      </c>
      <c r="Q290" s="1">
        <v>289</v>
      </c>
    </row>
    <row r="291" spans="1:17">
      <c r="A291" t="s">
        <v>63</v>
      </c>
      <c r="B291" t="str">
        <f>TEXT(Table1[[#This Row],[Date]],"MMMM")</f>
        <v>January</v>
      </c>
      <c r="C291" t="str">
        <f>TEXT(Table1[[#This Row],[Date]],"DDDD")</f>
        <v>Monday</v>
      </c>
      <c r="D291" t="s">
        <v>27</v>
      </c>
      <c r="E291" t="s">
        <v>36</v>
      </c>
      <c r="F291" t="s">
        <v>29</v>
      </c>
      <c r="G291" t="s">
        <v>30</v>
      </c>
      <c r="H291" t="s">
        <v>31</v>
      </c>
      <c r="I291" t="s">
        <v>32</v>
      </c>
      <c r="J291" s="3">
        <v>85000</v>
      </c>
      <c r="K291">
        <v>6</v>
      </c>
      <c r="L291" t="s">
        <v>42</v>
      </c>
      <c r="M291" s="3">
        <v>68000</v>
      </c>
      <c r="N291" s="3">
        <f>Table1[[#This Row],[Unit Price]]*Table1[[#This Row],[Quantity]]</f>
        <v>510000</v>
      </c>
      <c r="O291" s="3">
        <f>Table1[[#This Row],[Cost Price]]*Table1[[#This Row],[Quantity]]</f>
        <v>408000</v>
      </c>
      <c r="P291" s="3">
        <f>Table1[[#This Row],[Revenue]]-Table1[[#This Row],[COGS]]</f>
        <v>102000</v>
      </c>
      <c r="Q291" s="1">
        <v>290</v>
      </c>
    </row>
    <row r="292" spans="1:17">
      <c r="A292" t="s">
        <v>155</v>
      </c>
      <c r="B292" t="str">
        <f>TEXT(Table1[[#This Row],[Date]],"MMMM")</f>
        <v>April</v>
      </c>
      <c r="C292" t="str">
        <f>TEXT(Table1[[#This Row],[Date]],"DDDD")</f>
        <v>Thursday</v>
      </c>
      <c r="D292" t="s">
        <v>35</v>
      </c>
      <c r="E292" t="s">
        <v>45</v>
      </c>
      <c r="F292" t="s">
        <v>41</v>
      </c>
      <c r="G292" t="s">
        <v>37</v>
      </c>
      <c r="H292" t="s">
        <v>67</v>
      </c>
      <c r="I292" t="s">
        <v>51</v>
      </c>
      <c r="J292" s="3">
        <v>420000</v>
      </c>
      <c r="K292">
        <v>2</v>
      </c>
      <c r="L292" t="s">
        <v>65</v>
      </c>
      <c r="M292" s="3">
        <v>336000</v>
      </c>
      <c r="N292" s="3">
        <f>Table1[[#This Row],[Unit Price]]*Table1[[#This Row],[Quantity]]</f>
        <v>840000</v>
      </c>
      <c r="O292" s="3">
        <f>Table1[[#This Row],[Cost Price]]*Table1[[#This Row],[Quantity]]</f>
        <v>672000</v>
      </c>
      <c r="P292" s="3">
        <f>Table1[[#This Row],[Revenue]]-Table1[[#This Row],[COGS]]</f>
        <v>168000</v>
      </c>
      <c r="Q292" s="1">
        <v>291</v>
      </c>
    </row>
    <row r="293" spans="1:17">
      <c r="A293" t="s">
        <v>154</v>
      </c>
      <c r="B293" t="str">
        <f>TEXT(Table1[[#This Row],[Date]],"MMMM")</f>
        <v>February</v>
      </c>
      <c r="C293" t="str">
        <f>TEXT(Table1[[#This Row],[Date]],"DDDD")</f>
        <v>Saturday</v>
      </c>
      <c r="D293" t="s">
        <v>49</v>
      </c>
      <c r="E293" t="s">
        <v>53</v>
      </c>
      <c r="F293" t="s">
        <v>29</v>
      </c>
      <c r="G293" t="s">
        <v>37</v>
      </c>
      <c r="H293" t="s">
        <v>71</v>
      </c>
      <c r="I293" t="s">
        <v>51</v>
      </c>
      <c r="J293" s="3">
        <v>250000</v>
      </c>
      <c r="K293">
        <v>6</v>
      </c>
      <c r="L293" t="s">
        <v>69</v>
      </c>
      <c r="M293" s="3">
        <v>200000</v>
      </c>
      <c r="N293" s="3">
        <f>Table1[[#This Row],[Unit Price]]*Table1[[#This Row],[Quantity]]</f>
        <v>1500000</v>
      </c>
      <c r="O293" s="3">
        <f>Table1[[#This Row],[Cost Price]]*Table1[[#This Row],[Quantity]]</f>
        <v>1200000</v>
      </c>
      <c r="P293" s="3">
        <f>Table1[[#This Row],[Revenue]]-Table1[[#This Row],[COGS]]</f>
        <v>300000</v>
      </c>
      <c r="Q293" s="1">
        <v>292</v>
      </c>
    </row>
    <row r="294" spans="1:17">
      <c r="A294" t="s">
        <v>153</v>
      </c>
      <c r="B294" t="str">
        <f>TEXT(Table1[[#This Row],[Date]],"MMMM")</f>
        <v>March</v>
      </c>
      <c r="C294" t="str">
        <f>TEXT(Table1[[#This Row],[Date]],"DDDD")</f>
        <v>Tuesday</v>
      </c>
      <c r="D294" t="s">
        <v>49</v>
      </c>
      <c r="E294" t="s">
        <v>28</v>
      </c>
      <c r="F294" t="s">
        <v>29</v>
      </c>
      <c r="G294" t="s">
        <v>30</v>
      </c>
      <c r="H294" t="s">
        <v>62</v>
      </c>
      <c r="I294" t="s">
        <v>51</v>
      </c>
      <c r="J294" s="3">
        <v>150000</v>
      </c>
      <c r="K294">
        <v>8</v>
      </c>
      <c r="L294" t="s">
        <v>42</v>
      </c>
      <c r="M294" s="3">
        <v>120000</v>
      </c>
      <c r="N294" s="3">
        <f>Table1[[#This Row],[Unit Price]]*Table1[[#This Row],[Quantity]]</f>
        <v>1200000</v>
      </c>
      <c r="O294" s="3">
        <f>Table1[[#This Row],[Cost Price]]*Table1[[#This Row],[Quantity]]</f>
        <v>960000</v>
      </c>
      <c r="P294" s="3">
        <f>Table1[[#This Row],[Revenue]]-Table1[[#This Row],[COGS]]</f>
        <v>240000</v>
      </c>
      <c r="Q294" s="1">
        <v>293</v>
      </c>
    </row>
    <row r="295" spans="1:17">
      <c r="A295" t="s">
        <v>123</v>
      </c>
      <c r="B295" t="str">
        <f>TEXT(Table1[[#This Row],[Date]],"MMMM")</f>
        <v>April</v>
      </c>
      <c r="C295" t="str">
        <f>TEXT(Table1[[#This Row],[Date]],"DDDD")</f>
        <v>Monday</v>
      </c>
      <c r="D295" t="s">
        <v>35</v>
      </c>
      <c r="E295" t="s">
        <v>45</v>
      </c>
      <c r="F295" t="s">
        <v>41</v>
      </c>
      <c r="G295" t="s">
        <v>30</v>
      </c>
      <c r="H295" t="s">
        <v>62</v>
      </c>
      <c r="I295" t="s">
        <v>51</v>
      </c>
      <c r="J295" s="3">
        <v>150000</v>
      </c>
      <c r="K295">
        <v>10</v>
      </c>
      <c r="L295" t="s">
        <v>42</v>
      </c>
      <c r="M295" s="3">
        <v>120000</v>
      </c>
      <c r="N295" s="3">
        <f>Table1[[#This Row],[Unit Price]]*Table1[[#This Row],[Quantity]]</f>
        <v>1500000</v>
      </c>
      <c r="O295" s="3">
        <f>Table1[[#This Row],[Cost Price]]*Table1[[#This Row],[Quantity]]</f>
        <v>1200000</v>
      </c>
      <c r="P295" s="3">
        <f>Table1[[#This Row],[Revenue]]-Table1[[#This Row],[COGS]]</f>
        <v>300000</v>
      </c>
      <c r="Q295" s="1">
        <v>294</v>
      </c>
    </row>
    <row r="296" spans="1:17">
      <c r="A296" t="s">
        <v>163</v>
      </c>
      <c r="B296" t="str">
        <f>TEXT(Table1[[#This Row],[Date]],"MMMM")</f>
        <v>April</v>
      </c>
      <c r="C296" t="str">
        <f>TEXT(Table1[[#This Row],[Date]],"DDDD")</f>
        <v>Tuesday</v>
      </c>
      <c r="D296" t="s">
        <v>35</v>
      </c>
      <c r="E296" t="s">
        <v>45</v>
      </c>
      <c r="F296" t="s">
        <v>29</v>
      </c>
      <c r="G296" t="s">
        <v>30</v>
      </c>
      <c r="H296" t="s">
        <v>71</v>
      </c>
      <c r="I296" t="s">
        <v>51</v>
      </c>
      <c r="J296" s="3">
        <v>250000</v>
      </c>
      <c r="K296">
        <v>5</v>
      </c>
      <c r="L296" t="s">
        <v>69</v>
      </c>
      <c r="M296" s="3">
        <v>200000</v>
      </c>
      <c r="N296" s="3">
        <f>Table1[[#This Row],[Unit Price]]*Table1[[#This Row],[Quantity]]</f>
        <v>1250000</v>
      </c>
      <c r="O296" s="3">
        <f>Table1[[#This Row],[Cost Price]]*Table1[[#This Row],[Quantity]]</f>
        <v>1000000</v>
      </c>
      <c r="P296" s="3">
        <f>Table1[[#This Row],[Revenue]]-Table1[[#This Row],[COGS]]</f>
        <v>250000</v>
      </c>
      <c r="Q296" s="1">
        <v>295</v>
      </c>
    </row>
    <row r="297" spans="1:17">
      <c r="A297" t="s">
        <v>119</v>
      </c>
      <c r="B297" t="str">
        <f>TEXT(Table1[[#This Row],[Date]],"MMMM")</f>
        <v>February</v>
      </c>
      <c r="C297" t="str">
        <f>TEXT(Table1[[#This Row],[Date]],"DDDD")</f>
        <v>Sunday</v>
      </c>
      <c r="D297" t="s">
        <v>27</v>
      </c>
      <c r="E297" t="s">
        <v>45</v>
      </c>
      <c r="F297" t="s">
        <v>29</v>
      </c>
      <c r="G297" t="s">
        <v>37</v>
      </c>
      <c r="H297" t="s">
        <v>56</v>
      </c>
      <c r="I297" t="s">
        <v>32</v>
      </c>
      <c r="J297" s="3">
        <v>320000</v>
      </c>
      <c r="K297">
        <v>9</v>
      </c>
      <c r="L297" t="s">
        <v>33</v>
      </c>
      <c r="M297" s="3">
        <v>256000</v>
      </c>
      <c r="N297" s="3">
        <f>Table1[[#This Row],[Unit Price]]*Table1[[#This Row],[Quantity]]</f>
        <v>2880000</v>
      </c>
      <c r="O297" s="3">
        <f>Table1[[#This Row],[Cost Price]]*Table1[[#This Row],[Quantity]]</f>
        <v>2304000</v>
      </c>
      <c r="P297" s="3">
        <f>Table1[[#This Row],[Revenue]]-Table1[[#This Row],[COGS]]</f>
        <v>576000</v>
      </c>
      <c r="Q297" s="1">
        <v>296</v>
      </c>
    </row>
    <row r="298" spans="1:17">
      <c r="A298" t="s">
        <v>102</v>
      </c>
      <c r="B298" t="str">
        <f>TEXT(Table1[[#This Row],[Date]],"MMMM")</f>
        <v>March</v>
      </c>
      <c r="C298" t="str">
        <f>TEXT(Table1[[#This Row],[Date]],"DDDD")</f>
        <v>Wednesday</v>
      </c>
      <c r="D298" t="s">
        <v>27</v>
      </c>
      <c r="E298" t="s">
        <v>28</v>
      </c>
      <c r="F298" t="s">
        <v>41</v>
      </c>
      <c r="G298" t="s">
        <v>37</v>
      </c>
      <c r="H298" t="s">
        <v>54</v>
      </c>
      <c r="I298" t="s">
        <v>39</v>
      </c>
      <c r="J298" s="3">
        <v>180000</v>
      </c>
      <c r="K298">
        <v>10</v>
      </c>
      <c r="L298" t="s">
        <v>69</v>
      </c>
      <c r="M298" s="3">
        <v>144000</v>
      </c>
      <c r="N298" s="3">
        <f>Table1[[#This Row],[Unit Price]]*Table1[[#This Row],[Quantity]]</f>
        <v>1800000</v>
      </c>
      <c r="O298" s="3">
        <f>Table1[[#This Row],[Cost Price]]*Table1[[#This Row],[Quantity]]</f>
        <v>1440000</v>
      </c>
      <c r="P298" s="3">
        <f>Table1[[#This Row],[Revenue]]-Table1[[#This Row],[COGS]]</f>
        <v>360000</v>
      </c>
      <c r="Q298" s="1">
        <v>297</v>
      </c>
    </row>
    <row r="299" spans="1:17">
      <c r="A299" t="s">
        <v>144</v>
      </c>
      <c r="B299" t="str">
        <f>TEXT(Table1[[#This Row],[Date]],"MMMM")</f>
        <v>February</v>
      </c>
      <c r="C299" t="str">
        <f>TEXT(Table1[[#This Row],[Date]],"DDDD")</f>
        <v>Friday</v>
      </c>
      <c r="D299" t="s">
        <v>27</v>
      </c>
      <c r="E299" t="s">
        <v>45</v>
      </c>
      <c r="F299" t="s">
        <v>41</v>
      </c>
      <c r="G299" t="s">
        <v>37</v>
      </c>
      <c r="H299" t="s">
        <v>46</v>
      </c>
      <c r="I299" t="s">
        <v>39</v>
      </c>
      <c r="J299" s="3">
        <v>60000</v>
      </c>
      <c r="K299">
        <v>6</v>
      </c>
      <c r="L299" t="s">
        <v>65</v>
      </c>
      <c r="M299" s="3">
        <v>48000</v>
      </c>
      <c r="N299" s="3">
        <f>Table1[[#This Row],[Unit Price]]*Table1[[#This Row],[Quantity]]</f>
        <v>360000</v>
      </c>
      <c r="O299" s="3">
        <f>Table1[[#This Row],[Cost Price]]*Table1[[#This Row],[Quantity]]</f>
        <v>288000</v>
      </c>
      <c r="P299" s="3">
        <f>Table1[[#This Row],[Revenue]]-Table1[[#This Row],[COGS]]</f>
        <v>72000</v>
      </c>
      <c r="Q299" s="1">
        <v>298</v>
      </c>
    </row>
    <row r="300" spans="1:17">
      <c r="A300" t="s">
        <v>126</v>
      </c>
      <c r="B300" t="str">
        <f>TEXT(Table1[[#This Row],[Date]],"MMMM")</f>
        <v>January</v>
      </c>
      <c r="C300" t="str">
        <f>TEXT(Table1[[#This Row],[Date]],"DDDD")</f>
        <v>Thursday</v>
      </c>
      <c r="D300" t="s">
        <v>27</v>
      </c>
      <c r="E300" t="s">
        <v>45</v>
      </c>
      <c r="F300" t="s">
        <v>41</v>
      </c>
      <c r="G300" t="s">
        <v>30</v>
      </c>
      <c r="H300" t="s">
        <v>62</v>
      </c>
      <c r="I300" t="s">
        <v>51</v>
      </c>
      <c r="J300" s="3">
        <v>150000</v>
      </c>
      <c r="K300">
        <v>10</v>
      </c>
      <c r="L300" t="s">
        <v>47</v>
      </c>
      <c r="M300" s="3">
        <v>120000</v>
      </c>
      <c r="N300" s="3">
        <f>Table1[[#This Row],[Unit Price]]*Table1[[#This Row],[Quantity]]</f>
        <v>1500000</v>
      </c>
      <c r="O300" s="3">
        <f>Table1[[#This Row],[Cost Price]]*Table1[[#This Row],[Quantity]]</f>
        <v>1200000</v>
      </c>
      <c r="P300" s="3">
        <f>Table1[[#This Row],[Revenue]]-Table1[[#This Row],[COGS]]</f>
        <v>300000</v>
      </c>
      <c r="Q300" s="1">
        <v>299</v>
      </c>
    </row>
    <row r="301" spans="1:17">
      <c r="A301" t="s">
        <v>79</v>
      </c>
      <c r="B301" t="str">
        <f>TEXT(Table1[[#This Row],[Date]],"MMMM")</f>
        <v>February</v>
      </c>
      <c r="C301" t="str">
        <f>TEXT(Table1[[#This Row],[Date]],"DDDD")</f>
        <v>Wednesday</v>
      </c>
      <c r="D301" t="s">
        <v>35</v>
      </c>
      <c r="E301" t="s">
        <v>28</v>
      </c>
      <c r="F301" t="s">
        <v>29</v>
      </c>
      <c r="G301" t="s">
        <v>30</v>
      </c>
      <c r="H301" t="s">
        <v>71</v>
      </c>
      <c r="I301" t="s">
        <v>51</v>
      </c>
      <c r="J301" s="3">
        <v>250000</v>
      </c>
      <c r="K301">
        <v>5</v>
      </c>
      <c r="L301" t="s">
        <v>65</v>
      </c>
      <c r="M301" s="3">
        <v>200000</v>
      </c>
      <c r="N301" s="3">
        <f>Table1[[#This Row],[Unit Price]]*Table1[[#This Row],[Quantity]]</f>
        <v>1250000</v>
      </c>
      <c r="O301" s="3">
        <f>Table1[[#This Row],[Cost Price]]*Table1[[#This Row],[Quantity]]</f>
        <v>1000000</v>
      </c>
      <c r="P301" s="3">
        <f>Table1[[#This Row],[Revenue]]-Table1[[#This Row],[COGS]]</f>
        <v>250000</v>
      </c>
      <c r="Q301" s="1">
        <v>300</v>
      </c>
    </row>
    <row r="302" spans="1:17">
      <c r="A302" t="s">
        <v>134</v>
      </c>
      <c r="B302" t="str">
        <f>TEXT(Table1[[#This Row],[Date]],"MMMM")</f>
        <v>January</v>
      </c>
      <c r="C302" t="str">
        <f>TEXT(Table1[[#This Row],[Date]],"DDDD")</f>
        <v>Wednesday</v>
      </c>
      <c r="D302" t="s">
        <v>27</v>
      </c>
      <c r="E302" t="s">
        <v>45</v>
      </c>
      <c r="F302" t="s">
        <v>29</v>
      </c>
      <c r="G302" t="s">
        <v>30</v>
      </c>
      <c r="H302" t="s">
        <v>54</v>
      </c>
      <c r="I302" t="s">
        <v>39</v>
      </c>
      <c r="J302" s="3">
        <v>180000</v>
      </c>
      <c r="K302">
        <v>3</v>
      </c>
      <c r="L302" t="s">
        <v>33</v>
      </c>
      <c r="M302" s="3">
        <v>144000</v>
      </c>
      <c r="N302" s="3">
        <f>Table1[[#This Row],[Unit Price]]*Table1[[#This Row],[Quantity]]</f>
        <v>540000</v>
      </c>
      <c r="O302" s="3">
        <f>Table1[[#This Row],[Cost Price]]*Table1[[#This Row],[Quantity]]</f>
        <v>432000</v>
      </c>
      <c r="P302" s="3">
        <f>Table1[[#This Row],[Revenue]]-Table1[[#This Row],[COGS]]</f>
        <v>108000</v>
      </c>
      <c r="Q302" s="1">
        <v>301</v>
      </c>
    </row>
    <row r="303" spans="1:17">
      <c r="A303" t="s">
        <v>156</v>
      </c>
      <c r="B303" t="str">
        <f>TEXT(Table1[[#This Row],[Date]],"MMMM")</f>
        <v>February</v>
      </c>
      <c r="C303" t="str">
        <f>TEXT(Table1[[#This Row],[Date]],"DDDD")</f>
        <v>Friday</v>
      </c>
      <c r="D303" t="s">
        <v>27</v>
      </c>
      <c r="E303" t="s">
        <v>45</v>
      </c>
      <c r="F303" t="s">
        <v>41</v>
      </c>
      <c r="G303" t="s">
        <v>37</v>
      </c>
      <c r="H303" t="s">
        <v>56</v>
      </c>
      <c r="I303" t="s">
        <v>32</v>
      </c>
      <c r="J303" s="3">
        <v>320000</v>
      </c>
      <c r="K303">
        <v>5</v>
      </c>
      <c r="L303" t="s">
        <v>65</v>
      </c>
      <c r="M303" s="3">
        <v>256000</v>
      </c>
      <c r="N303" s="3">
        <f>Table1[[#This Row],[Unit Price]]*Table1[[#This Row],[Quantity]]</f>
        <v>1600000</v>
      </c>
      <c r="O303" s="3">
        <f>Table1[[#This Row],[Cost Price]]*Table1[[#This Row],[Quantity]]</f>
        <v>1280000</v>
      </c>
      <c r="P303" s="3">
        <f>Table1[[#This Row],[Revenue]]-Table1[[#This Row],[COGS]]</f>
        <v>320000</v>
      </c>
      <c r="Q303" s="1">
        <v>302</v>
      </c>
    </row>
    <row r="304" spans="1:17">
      <c r="A304" t="s">
        <v>107</v>
      </c>
      <c r="B304" t="str">
        <f>TEXT(Table1[[#This Row],[Date]],"MMMM")</f>
        <v>February</v>
      </c>
      <c r="C304" t="str">
        <f>TEXT(Table1[[#This Row],[Date]],"DDDD")</f>
        <v>Wednesday</v>
      </c>
      <c r="D304" t="s">
        <v>44</v>
      </c>
      <c r="E304" t="s">
        <v>28</v>
      </c>
      <c r="F304" t="s">
        <v>29</v>
      </c>
      <c r="G304" t="s">
        <v>37</v>
      </c>
      <c r="H304" t="s">
        <v>56</v>
      </c>
      <c r="I304" t="s">
        <v>32</v>
      </c>
      <c r="J304" s="3">
        <v>320000</v>
      </c>
      <c r="K304">
        <v>10</v>
      </c>
      <c r="L304" t="s">
        <v>42</v>
      </c>
      <c r="M304" s="3">
        <v>256000</v>
      </c>
      <c r="N304" s="3">
        <f>Table1[[#This Row],[Unit Price]]*Table1[[#This Row],[Quantity]]</f>
        <v>3200000</v>
      </c>
      <c r="O304" s="3">
        <f>Table1[[#This Row],[Cost Price]]*Table1[[#This Row],[Quantity]]</f>
        <v>2560000</v>
      </c>
      <c r="P304" s="3">
        <f>Table1[[#This Row],[Revenue]]-Table1[[#This Row],[COGS]]</f>
        <v>640000</v>
      </c>
      <c r="Q304" s="1">
        <v>303</v>
      </c>
    </row>
    <row r="305" spans="1:17">
      <c r="A305" t="s">
        <v>79</v>
      </c>
      <c r="B305" t="str">
        <f>TEXT(Table1[[#This Row],[Date]],"MMMM")</f>
        <v>February</v>
      </c>
      <c r="C305" t="str">
        <f>TEXT(Table1[[#This Row],[Date]],"DDDD")</f>
        <v>Wednesday</v>
      </c>
      <c r="D305" t="s">
        <v>35</v>
      </c>
      <c r="E305" t="s">
        <v>28</v>
      </c>
      <c r="F305" t="s">
        <v>41</v>
      </c>
      <c r="G305" t="s">
        <v>30</v>
      </c>
      <c r="H305" t="s">
        <v>38</v>
      </c>
      <c r="I305" t="s">
        <v>39</v>
      </c>
      <c r="J305" s="3">
        <v>30000</v>
      </c>
      <c r="K305">
        <v>5</v>
      </c>
      <c r="L305" t="s">
        <v>33</v>
      </c>
      <c r="M305" s="3">
        <v>24000</v>
      </c>
      <c r="N305" s="3">
        <f>Table1[[#This Row],[Unit Price]]*Table1[[#This Row],[Quantity]]</f>
        <v>150000</v>
      </c>
      <c r="O305" s="3">
        <f>Table1[[#This Row],[Cost Price]]*Table1[[#This Row],[Quantity]]</f>
        <v>120000</v>
      </c>
      <c r="P305" s="3">
        <f>Table1[[#This Row],[Revenue]]-Table1[[#This Row],[COGS]]</f>
        <v>30000</v>
      </c>
      <c r="Q305" s="1">
        <v>304</v>
      </c>
    </row>
    <row r="306" spans="1:17">
      <c r="A306" t="s">
        <v>111</v>
      </c>
      <c r="B306" t="str">
        <f>TEXT(Table1[[#This Row],[Date]],"MMMM")</f>
        <v>February</v>
      </c>
      <c r="C306" t="str">
        <f>TEXT(Table1[[#This Row],[Date]],"DDDD")</f>
        <v>Wednesday</v>
      </c>
      <c r="D306" t="s">
        <v>49</v>
      </c>
      <c r="E306" t="s">
        <v>28</v>
      </c>
      <c r="F306" t="s">
        <v>41</v>
      </c>
      <c r="G306" t="s">
        <v>37</v>
      </c>
      <c r="H306" t="s">
        <v>67</v>
      </c>
      <c r="I306" t="s">
        <v>51</v>
      </c>
      <c r="J306" s="3">
        <v>420000</v>
      </c>
      <c r="K306">
        <v>3</v>
      </c>
      <c r="L306" t="s">
        <v>33</v>
      </c>
      <c r="M306" s="3">
        <v>336000</v>
      </c>
      <c r="N306" s="3">
        <f>Table1[[#This Row],[Unit Price]]*Table1[[#This Row],[Quantity]]</f>
        <v>1260000</v>
      </c>
      <c r="O306" s="3">
        <f>Table1[[#This Row],[Cost Price]]*Table1[[#This Row],[Quantity]]</f>
        <v>1008000</v>
      </c>
      <c r="P306" s="3">
        <f>Table1[[#This Row],[Revenue]]-Table1[[#This Row],[COGS]]</f>
        <v>252000</v>
      </c>
      <c r="Q306" s="1">
        <v>305</v>
      </c>
    </row>
    <row r="307" spans="1:17">
      <c r="A307" t="s">
        <v>52</v>
      </c>
      <c r="B307" t="str">
        <f>TEXT(Table1[[#This Row],[Date]],"MMMM")</f>
        <v>March</v>
      </c>
      <c r="C307" t="str">
        <f>TEXT(Table1[[#This Row],[Date]],"DDDD")</f>
        <v>Saturday</v>
      </c>
      <c r="D307" t="s">
        <v>35</v>
      </c>
      <c r="E307" t="s">
        <v>45</v>
      </c>
      <c r="F307" t="s">
        <v>29</v>
      </c>
      <c r="G307" t="s">
        <v>30</v>
      </c>
      <c r="H307" t="s">
        <v>38</v>
      </c>
      <c r="I307" t="s">
        <v>39</v>
      </c>
      <c r="J307" s="3">
        <v>30000</v>
      </c>
      <c r="K307">
        <v>4</v>
      </c>
      <c r="L307" t="s">
        <v>58</v>
      </c>
      <c r="M307" s="3">
        <v>24000</v>
      </c>
      <c r="N307" s="3">
        <f>Table1[[#This Row],[Unit Price]]*Table1[[#This Row],[Quantity]]</f>
        <v>120000</v>
      </c>
      <c r="O307" s="3">
        <f>Table1[[#This Row],[Cost Price]]*Table1[[#This Row],[Quantity]]</f>
        <v>96000</v>
      </c>
      <c r="P307" s="3">
        <f>Table1[[#This Row],[Revenue]]-Table1[[#This Row],[COGS]]</f>
        <v>24000</v>
      </c>
      <c r="Q307" s="1">
        <v>306</v>
      </c>
    </row>
    <row r="308" spans="1:17">
      <c r="A308" t="s">
        <v>162</v>
      </c>
      <c r="B308" t="str">
        <f>TEXT(Table1[[#This Row],[Date]],"MMMM")</f>
        <v>April</v>
      </c>
      <c r="C308" t="str">
        <f>TEXT(Table1[[#This Row],[Date]],"DDDD")</f>
        <v>Tuesday</v>
      </c>
      <c r="D308" t="s">
        <v>35</v>
      </c>
      <c r="E308" t="s">
        <v>28</v>
      </c>
      <c r="F308" t="s">
        <v>29</v>
      </c>
      <c r="G308" t="s">
        <v>30</v>
      </c>
      <c r="H308" t="s">
        <v>54</v>
      </c>
      <c r="I308" t="s">
        <v>39</v>
      </c>
      <c r="J308" s="3">
        <v>180000</v>
      </c>
      <c r="K308">
        <v>4</v>
      </c>
      <c r="L308" t="s">
        <v>33</v>
      </c>
      <c r="M308" s="3">
        <v>144000</v>
      </c>
      <c r="N308" s="3">
        <f>Table1[[#This Row],[Unit Price]]*Table1[[#This Row],[Quantity]]</f>
        <v>720000</v>
      </c>
      <c r="O308" s="3">
        <f>Table1[[#This Row],[Cost Price]]*Table1[[#This Row],[Quantity]]</f>
        <v>576000</v>
      </c>
      <c r="P308" s="3">
        <f>Table1[[#This Row],[Revenue]]-Table1[[#This Row],[COGS]]</f>
        <v>144000</v>
      </c>
      <c r="Q308" s="1">
        <v>307</v>
      </c>
    </row>
    <row r="309" spans="1:17">
      <c r="A309" t="s">
        <v>148</v>
      </c>
      <c r="B309" t="str">
        <f>TEXT(Table1[[#This Row],[Date]],"MMMM")</f>
        <v>February</v>
      </c>
      <c r="C309" t="str">
        <f>TEXT(Table1[[#This Row],[Date]],"DDDD")</f>
        <v>Sunday</v>
      </c>
      <c r="D309" t="s">
        <v>35</v>
      </c>
      <c r="E309" t="s">
        <v>36</v>
      </c>
      <c r="F309" t="s">
        <v>29</v>
      </c>
      <c r="G309" t="s">
        <v>30</v>
      </c>
      <c r="H309" t="s">
        <v>71</v>
      </c>
      <c r="I309" t="s">
        <v>51</v>
      </c>
      <c r="J309" s="3">
        <v>250000</v>
      </c>
      <c r="K309">
        <v>5</v>
      </c>
      <c r="L309" t="s">
        <v>69</v>
      </c>
      <c r="M309" s="3">
        <v>200000</v>
      </c>
      <c r="N309" s="3">
        <f>Table1[[#This Row],[Unit Price]]*Table1[[#This Row],[Quantity]]</f>
        <v>1250000</v>
      </c>
      <c r="O309" s="3">
        <f>Table1[[#This Row],[Cost Price]]*Table1[[#This Row],[Quantity]]</f>
        <v>1000000</v>
      </c>
      <c r="P309" s="3">
        <f>Table1[[#This Row],[Revenue]]-Table1[[#This Row],[COGS]]</f>
        <v>250000</v>
      </c>
      <c r="Q309" s="1">
        <v>308</v>
      </c>
    </row>
    <row r="310" spans="1:17">
      <c r="A310" t="s">
        <v>164</v>
      </c>
      <c r="B310" t="str">
        <f>TEXT(Table1[[#This Row],[Date]],"MMMM")</f>
        <v>March</v>
      </c>
      <c r="C310" t="str">
        <f>TEXT(Table1[[#This Row],[Date]],"DDDD")</f>
        <v>Tuesday</v>
      </c>
      <c r="D310" t="s">
        <v>27</v>
      </c>
      <c r="E310" t="s">
        <v>53</v>
      </c>
      <c r="F310" t="s">
        <v>41</v>
      </c>
      <c r="G310" t="s">
        <v>37</v>
      </c>
      <c r="H310" t="s">
        <v>54</v>
      </c>
      <c r="I310" t="s">
        <v>39</v>
      </c>
      <c r="J310" s="3">
        <v>180000</v>
      </c>
      <c r="K310">
        <v>3</v>
      </c>
      <c r="L310" t="s">
        <v>58</v>
      </c>
      <c r="M310" s="3">
        <v>144000</v>
      </c>
      <c r="N310" s="3">
        <f>Table1[[#This Row],[Unit Price]]*Table1[[#This Row],[Quantity]]</f>
        <v>540000</v>
      </c>
      <c r="O310" s="3">
        <f>Table1[[#This Row],[Cost Price]]*Table1[[#This Row],[Quantity]]</f>
        <v>432000</v>
      </c>
      <c r="P310" s="3">
        <f>Table1[[#This Row],[Revenue]]-Table1[[#This Row],[COGS]]</f>
        <v>108000</v>
      </c>
      <c r="Q310" s="1">
        <v>309</v>
      </c>
    </row>
    <row r="311" spans="1:17">
      <c r="A311" t="s">
        <v>122</v>
      </c>
      <c r="B311" t="str">
        <f>TEXT(Table1[[#This Row],[Date]],"MMMM")</f>
        <v>March</v>
      </c>
      <c r="C311" t="str">
        <f>TEXT(Table1[[#This Row],[Date]],"DDDD")</f>
        <v>Thursday</v>
      </c>
      <c r="D311" t="s">
        <v>35</v>
      </c>
      <c r="E311" t="s">
        <v>28</v>
      </c>
      <c r="F311" t="s">
        <v>29</v>
      </c>
      <c r="G311" t="s">
        <v>30</v>
      </c>
      <c r="H311" t="s">
        <v>50</v>
      </c>
      <c r="I311" t="s">
        <v>51</v>
      </c>
      <c r="J311" s="3">
        <v>300000</v>
      </c>
      <c r="K311">
        <v>5</v>
      </c>
      <c r="L311" t="s">
        <v>69</v>
      </c>
      <c r="M311" s="3">
        <v>240000</v>
      </c>
      <c r="N311" s="3">
        <f>Table1[[#This Row],[Unit Price]]*Table1[[#This Row],[Quantity]]</f>
        <v>1500000</v>
      </c>
      <c r="O311" s="3">
        <f>Table1[[#This Row],[Cost Price]]*Table1[[#This Row],[Quantity]]</f>
        <v>1200000</v>
      </c>
      <c r="P311" s="3">
        <f>Table1[[#This Row],[Revenue]]-Table1[[#This Row],[COGS]]</f>
        <v>300000</v>
      </c>
      <c r="Q311" s="1">
        <v>310</v>
      </c>
    </row>
    <row r="312" spans="1:17">
      <c r="A312" t="s">
        <v>26</v>
      </c>
      <c r="B312" t="str">
        <f>TEXT(Table1[[#This Row],[Date]],"MMMM")</f>
        <v>January</v>
      </c>
      <c r="C312" t="str">
        <f>TEXT(Table1[[#This Row],[Date]],"DDDD")</f>
        <v>Sunday</v>
      </c>
      <c r="D312" t="s">
        <v>27</v>
      </c>
      <c r="E312" t="s">
        <v>45</v>
      </c>
      <c r="F312" t="s">
        <v>29</v>
      </c>
      <c r="G312" t="s">
        <v>37</v>
      </c>
      <c r="H312" t="s">
        <v>31</v>
      </c>
      <c r="I312" t="s">
        <v>32</v>
      </c>
      <c r="J312" s="3">
        <v>85000</v>
      </c>
      <c r="K312">
        <v>8</v>
      </c>
      <c r="L312" t="s">
        <v>58</v>
      </c>
      <c r="M312" s="3">
        <v>68000</v>
      </c>
      <c r="N312" s="3">
        <f>Table1[[#This Row],[Unit Price]]*Table1[[#This Row],[Quantity]]</f>
        <v>680000</v>
      </c>
      <c r="O312" s="3">
        <f>Table1[[#This Row],[Cost Price]]*Table1[[#This Row],[Quantity]]</f>
        <v>544000</v>
      </c>
      <c r="P312" s="3">
        <f>Table1[[#This Row],[Revenue]]-Table1[[#This Row],[COGS]]</f>
        <v>136000</v>
      </c>
      <c r="Q312" s="1">
        <v>311</v>
      </c>
    </row>
    <row r="313" spans="1:17">
      <c r="A313" t="s">
        <v>165</v>
      </c>
      <c r="B313" t="str">
        <f>TEXT(Table1[[#This Row],[Date]],"MMMM")</f>
        <v>April</v>
      </c>
      <c r="C313" t="str">
        <f>TEXT(Table1[[#This Row],[Date]],"DDDD")</f>
        <v>Sunday</v>
      </c>
      <c r="D313" t="s">
        <v>35</v>
      </c>
      <c r="E313" t="s">
        <v>36</v>
      </c>
      <c r="F313" t="s">
        <v>41</v>
      </c>
      <c r="G313" t="s">
        <v>30</v>
      </c>
      <c r="H313" t="s">
        <v>54</v>
      </c>
      <c r="I313" t="s">
        <v>39</v>
      </c>
      <c r="J313" s="3">
        <v>180000</v>
      </c>
      <c r="K313">
        <v>6</v>
      </c>
      <c r="L313" t="s">
        <v>69</v>
      </c>
      <c r="M313" s="3">
        <v>144000</v>
      </c>
      <c r="N313" s="3">
        <f>Table1[[#This Row],[Unit Price]]*Table1[[#This Row],[Quantity]]</f>
        <v>1080000</v>
      </c>
      <c r="O313" s="3">
        <f>Table1[[#This Row],[Cost Price]]*Table1[[#This Row],[Quantity]]</f>
        <v>864000</v>
      </c>
      <c r="P313" s="3">
        <f>Table1[[#This Row],[Revenue]]-Table1[[#This Row],[COGS]]</f>
        <v>216000</v>
      </c>
      <c r="Q313" s="1">
        <v>312</v>
      </c>
    </row>
    <row r="314" spans="1:17">
      <c r="A314" t="s">
        <v>115</v>
      </c>
      <c r="B314" t="str">
        <f>TEXT(Table1[[#This Row],[Date]],"MMMM")</f>
        <v>January</v>
      </c>
      <c r="C314" t="str">
        <f>TEXT(Table1[[#This Row],[Date]],"DDDD")</f>
        <v>Thursday</v>
      </c>
      <c r="D314" t="s">
        <v>35</v>
      </c>
      <c r="E314" t="s">
        <v>36</v>
      </c>
      <c r="F314" t="s">
        <v>41</v>
      </c>
      <c r="G314" t="s">
        <v>30</v>
      </c>
      <c r="H314" t="s">
        <v>67</v>
      </c>
      <c r="I314" t="s">
        <v>51</v>
      </c>
      <c r="J314" s="3">
        <v>420000</v>
      </c>
      <c r="K314">
        <v>7</v>
      </c>
      <c r="L314" t="s">
        <v>65</v>
      </c>
      <c r="M314" s="3">
        <v>336000</v>
      </c>
      <c r="N314" s="3">
        <f>Table1[[#This Row],[Unit Price]]*Table1[[#This Row],[Quantity]]</f>
        <v>2940000</v>
      </c>
      <c r="O314" s="3">
        <f>Table1[[#This Row],[Cost Price]]*Table1[[#This Row],[Quantity]]</f>
        <v>2352000</v>
      </c>
      <c r="P314" s="3">
        <f>Table1[[#This Row],[Revenue]]-Table1[[#This Row],[COGS]]</f>
        <v>588000</v>
      </c>
      <c r="Q314" s="1">
        <v>313</v>
      </c>
    </row>
    <row r="315" spans="1:17">
      <c r="A315" t="s">
        <v>120</v>
      </c>
      <c r="B315" t="str">
        <f>TEXT(Table1[[#This Row],[Date]],"MMMM")</f>
        <v>March</v>
      </c>
      <c r="C315" t="str">
        <f>TEXT(Table1[[#This Row],[Date]],"DDDD")</f>
        <v>Thursday</v>
      </c>
      <c r="D315" t="s">
        <v>44</v>
      </c>
      <c r="E315" t="s">
        <v>45</v>
      </c>
      <c r="F315" t="s">
        <v>41</v>
      </c>
      <c r="G315" t="s">
        <v>30</v>
      </c>
      <c r="H315" t="s">
        <v>62</v>
      </c>
      <c r="I315" t="s">
        <v>51</v>
      </c>
      <c r="J315" s="3">
        <v>150000</v>
      </c>
      <c r="K315">
        <v>8</v>
      </c>
      <c r="L315" t="s">
        <v>33</v>
      </c>
      <c r="M315" s="3">
        <v>120000</v>
      </c>
      <c r="N315" s="3">
        <f>Table1[[#This Row],[Unit Price]]*Table1[[#This Row],[Quantity]]</f>
        <v>1200000</v>
      </c>
      <c r="O315" s="3">
        <f>Table1[[#This Row],[Cost Price]]*Table1[[#This Row],[Quantity]]</f>
        <v>960000</v>
      </c>
      <c r="P315" s="3">
        <f>Table1[[#This Row],[Revenue]]-Table1[[#This Row],[COGS]]</f>
        <v>240000</v>
      </c>
      <c r="Q315" s="1">
        <v>314</v>
      </c>
    </row>
    <row r="316" spans="1:17">
      <c r="A316" t="s">
        <v>149</v>
      </c>
      <c r="B316" t="str">
        <f>TEXT(Table1[[#This Row],[Date]],"MMMM")</f>
        <v>April</v>
      </c>
      <c r="C316" t="str">
        <f>TEXT(Table1[[#This Row],[Date]],"DDDD")</f>
        <v>Saturday</v>
      </c>
      <c r="D316" t="s">
        <v>35</v>
      </c>
      <c r="E316" t="s">
        <v>45</v>
      </c>
      <c r="F316" t="s">
        <v>29</v>
      </c>
      <c r="G316" t="s">
        <v>30</v>
      </c>
      <c r="H316" t="s">
        <v>31</v>
      </c>
      <c r="I316" t="s">
        <v>32</v>
      </c>
      <c r="J316" s="3">
        <v>85000</v>
      </c>
      <c r="K316">
        <v>6</v>
      </c>
      <c r="L316" t="s">
        <v>65</v>
      </c>
      <c r="M316" s="3">
        <v>68000</v>
      </c>
      <c r="N316" s="3">
        <f>Table1[[#This Row],[Unit Price]]*Table1[[#This Row],[Quantity]]</f>
        <v>510000</v>
      </c>
      <c r="O316" s="3">
        <f>Table1[[#This Row],[Cost Price]]*Table1[[#This Row],[Quantity]]</f>
        <v>408000</v>
      </c>
      <c r="P316" s="3">
        <f>Table1[[#This Row],[Revenue]]-Table1[[#This Row],[COGS]]</f>
        <v>102000</v>
      </c>
      <c r="Q316" s="1">
        <v>315</v>
      </c>
    </row>
    <row r="317" spans="1:17">
      <c r="A317" t="s">
        <v>113</v>
      </c>
      <c r="B317" t="str">
        <f>TEXT(Table1[[#This Row],[Date]],"MMMM")</f>
        <v>April</v>
      </c>
      <c r="C317" t="str">
        <f>TEXT(Table1[[#This Row],[Date]],"DDDD")</f>
        <v>Monday</v>
      </c>
      <c r="D317" t="s">
        <v>44</v>
      </c>
      <c r="E317" t="s">
        <v>28</v>
      </c>
      <c r="F317" t="s">
        <v>29</v>
      </c>
      <c r="G317" t="s">
        <v>37</v>
      </c>
      <c r="H317" t="s">
        <v>54</v>
      </c>
      <c r="I317" t="s">
        <v>39</v>
      </c>
      <c r="J317" s="3">
        <v>180000</v>
      </c>
      <c r="K317">
        <v>9</v>
      </c>
      <c r="L317" t="s">
        <v>47</v>
      </c>
      <c r="M317" s="3">
        <v>144000</v>
      </c>
      <c r="N317" s="3">
        <f>Table1[[#This Row],[Unit Price]]*Table1[[#This Row],[Quantity]]</f>
        <v>1620000</v>
      </c>
      <c r="O317" s="3">
        <f>Table1[[#This Row],[Cost Price]]*Table1[[#This Row],[Quantity]]</f>
        <v>1296000</v>
      </c>
      <c r="P317" s="3">
        <f>Table1[[#This Row],[Revenue]]-Table1[[#This Row],[COGS]]</f>
        <v>324000</v>
      </c>
      <c r="Q317" s="1">
        <v>316</v>
      </c>
    </row>
    <row r="318" spans="1:17">
      <c r="A318" t="s">
        <v>153</v>
      </c>
      <c r="B318" t="str">
        <f>TEXT(Table1[[#This Row],[Date]],"MMMM")</f>
        <v>March</v>
      </c>
      <c r="C318" t="str">
        <f>TEXT(Table1[[#This Row],[Date]],"DDDD")</f>
        <v>Tuesday</v>
      </c>
      <c r="D318" t="s">
        <v>27</v>
      </c>
      <c r="E318" t="s">
        <v>45</v>
      </c>
      <c r="F318" t="s">
        <v>41</v>
      </c>
      <c r="G318" t="s">
        <v>30</v>
      </c>
      <c r="H318" t="s">
        <v>71</v>
      </c>
      <c r="I318" t="s">
        <v>51</v>
      </c>
      <c r="J318" s="3">
        <v>250000</v>
      </c>
      <c r="K318">
        <v>5</v>
      </c>
      <c r="L318" t="s">
        <v>65</v>
      </c>
      <c r="M318" s="3">
        <v>200000</v>
      </c>
      <c r="N318" s="3">
        <f>Table1[[#This Row],[Unit Price]]*Table1[[#This Row],[Quantity]]</f>
        <v>1250000</v>
      </c>
      <c r="O318" s="3">
        <f>Table1[[#This Row],[Cost Price]]*Table1[[#This Row],[Quantity]]</f>
        <v>1000000</v>
      </c>
      <c r="P318" s="3">
        <f>Table1[[#This Row],[Revenue]]-Table1[[#This Row],[COGS]]</f>
        <v>250000</v>
      </c>
      <c r="Q318" s="1">
        <v>317</v>
      </c>
    </row>
    <row r="319" spans="1:17">
      <c r="A319" t="s">
        <v>160</v>
      </c>
      <c r="B319" t="str">
        <f>TEXT(Table1[[#This Row],[Date]],"MMMM")</f>
        <v>January</v>
      </c>
      <c r="C319" t="str">
        <f>TEXT(Table1[[#This Row],[Date]],"DDDD")</f>
        <v>Saturday</v>
      </c>
      <c r="D319" t="s">
        <v>49</v>
      </c>
      <c r="E319" t="s">
        <v>45</v>
      </c>
      <c r="F319" t="s">
        <v>29</v>
      </c>
      <c r="G319" t="s">
        <v>37</v>
      </c>
      <c r="H319" t="s">
        <v>56</v>
      </c>
      <c r="I319" t="s">
        <v>32</v>
      </c>
      <c r="J319" s="3">
        <v>320000</v>
      </c>
      <c r="K319">
        <v>9</v>
      </c>
      <c r="L319" t="s">
        <v>47</v>
      </c>
      <c r="M319" s="3">
        <v>256000</v>
      </c>
      <c r="N319" s="3">
        <f>Table1[[#This Row],[Unit Price]]*Table1[[#This Row],[Quantity]]</f>
        <v>2880000</v>
      </c>
      <c r="O319" s="3">
        <f>Table1[[#This Row],[Cost Price]]*Table1[[#This Row],[Quantity]]</f>
        <v>2304000</v>
      </c>
      <c r="P319" s="3">
        <f>Table1[[#This Row],[Revenue]]-Table1[[#This Row],[COGS]]</f>
        <v>576000</v>
      </c>
      <c r="Q319" s="1">
        <v>318</v>
      </c>
    </row>
    <row r="320" spans="1:17">
      <c r="A320" t="s">
        <v>26</v>
      </c>
      <c r="B320" t="str">
        <f>TEXT(Table1[[#This Row],[Date]],"MMMM")</f>
        <v>January</v>
      </c>
      <c r="C320" t="str">
        <f>TEXT(Table1[[#This Row],[Date]],"DDDD")</f>
        <v>Sunday</v>
      </c>
      <c r="D320" t="s">
        <v>49</v>
      </c>
      <c r="E320" t="s">
        <v>36</v>
      </c>
      <c r="F320" t="s">
        <v>41</v>
      </c>
      <c r="G320" t="s">
        <v>37</v>
      </c>
      <c r="H320" t="s">
        <v>62</v>
      </c>
      <c r="I320" t="s">
        <v>51</v>
      </c>
      <c r="J320" s="3">
        <v>150000</v>
      </c>
      <c r="K320">
        <v>7</v>
      </c>
      <c r="L320" t="s">
        <v>42</v>
      </c>
      <c r="M320" s="3">
        <v>120000</v>
      </c>
      <c r="N320" s="3">
        <f>Table1[[#This Row],[Unit Price]]*Table1[[#This Row],[Quantity]]</f>
        <v>1050000</v>
      </c>
      <c r="O320" s="3">
        <f>Table1[[#This Row],[Cost Price]]*Table1[[#This Row],[Quantity]]</f>
        <v>840000</v>
      </c>
      <c r="P320" s="3">
        <f>Table1[[#This Row],[Revenue]]-Table1[[#This Row],[COGS]]</f>
        <v>210000</v>
      </c>
      <c r="Q320" s="1">
        <v>319</v>
      </c>
    </row>
    <row r="321" spans="1:17">
      <c r="A321" t="s">
        <v>102</v>
      </c>
      <c r="B321" t="str">
        <f>TEXT(Table1[[#This Row],[Date]],"MMMM")</f>
        <v>March</v>
      </c>
      <c r="C321" t="str">
        <f>TEXT(Table1[[#This Row],[Date]],"DDDD")</f>
        <v>Wednesday</v>
      </c>
      <c r="D321" t="s">
        <v>35</v>
      </c>
      <c r="E321" t="s">
        <v>28</v>
      </c>
      <c r="F321" t="s">
        <v>29</v>
      </c>
      <c r="G321" t="s">
        <v>30</v>
      </c>
      <c r="H321" t="s">
        <v>67</v>
      </c>
      <c r="I321" t="s">
        <v>51</v>
      </c>
      <c r="J321" s="3">
        <v>420000</v>
      </c>
      <c r="K321">
        <v>9</v>
      </c>
      <c r="L321" t="s">
        <v>65</v>
      </c>
      <c r="M321" s="3">
        <v>336000</v>
      </c>
      <c r="N321" s="3">
        <f>Table1[[#This Row],[Unit Price]]*Table1[[#This Row],[Quantity]]</f>
        <v>3780000</v>
      </c>
      <c r="O321" s="3">
        <f>Table1[[#This Row],[Cost Price]]*Table1[[#This Row],[Quantity]]</f>
        <v>3024000</v>
      </c>
      <c r="P321" s="3">
        <f>Table1[[#This Row],[Revenue]]-Table1[[#This Row],[COGS]]</f>
        <v>756000</v>
      </c>
      <c r="Q321" s="1">
        <v>320</v>
      </c>
    </row>
    <row r="322" spans="1:17">
      <c r="A322" t="s">
        <v>145</v>
      </c>
      <c r="B322" t="str">
        <f>TEXT(Table1[[#This Row],[Date]],"MMMM")</f>
        <v>January</v>
      </c>
      <c r="C322" t="str">
        <f>TEXT(Table1[[#This Row],[Date]],"DDDD")</f>
        <v>Friday</v>
      </c>
      <c r="D322" t="s">
        <v>44</v>
      </c>
      <c r="E322" t="s">
        <v>36</v>
      </c>
      <c r="F322" t="s">
        <v>41</v>
      </c>
      <c r="G322" t="s">
        <v>37</v>
      </c>
      <c r="H322" t="s">
        <v>46</v>
      </c>
      <c r="I322" t="s">
        <v>39</v>
      </c>
      <c r="J322" s="3">
        <v>60000</v>
      </c>
      <c r="K322">
        <v>4</v>
      </c>
      <c r="L322" t="s">
        <v>42</v>
      </c>
      <c r="M322" s="3">
        <v>48000</v>
      </c>
      <c r="N322" s="3">
        <f>Table1[[#This Row],[Unit Price]]*Table1[[#This Row],[Quantity]]</f>
        <v>240000</v>
      </c>
      <c r="O322" s="3">
        <f>Table1[[#This Row],[Cost Price]]*Table1[[#This Row],[Quantity]]</f>
        <v>192000</v>
      </c>
      <c r="P322" s="3">
        <f>Table1[[#This Row],[Revenue]]-Table1[[#This Row],[COGS]]</f>
        <v>48000</v>
      </c>
      <c r="Q322" s="1">
        <v>321</v>
      </c>
    </row>
    <row r="323" spans="1:17">
      <c r="A323" t="s">
        <v>123</v>
      </c>
      <c r="B323" t="str">
        <f>TEXT(Table1[[#This Row],[Date]],"MMMM")</f>
        <v>April</v>
      </c>
      <c r="C323" t="str">
        <f>TEXT(Table1[[#This Row],[Date]],"DDDD")</f>
        <v>Monday</v>
      </c>
      <c r="D323" t="s">
        <v>27</v>
      </c>
      <c r="E323" t="s">
        <v>45</v>
      </c>
      <c r="F323" t="s">
        <v>29</v>
      </c>
      <c r="G323" t="s">
        <v>37</v>
      </c>
      <c r="H323" t="s">
        <v>71</v>
      </c>
      <c r="I323" t="s">
        <v>51</v>
      </c>
      <c r="J323" s="3">
        <v>250000</v>
      </c>
      <c r="K323">
        <v>5</v>
      </c>
      <c r="L323" t="s">
        <v>42</v>
      </c>
      <c r="M323" s="3">
        <v>200000</v>
      </c>
      <c r="N323" s="3">
        <f>Table1[[#This Row],[Unit Price]]*Table1[[#This Row],[Quantity]]</f>
        <v>1250000</v>
      </c>
      <c r="O323" s="3">
        <f>Table1[[#This Row],[Cost Price]]*Table1[[#This Row],[Quantity]]</f>
        <v>1000000</v>
      </c>
      <c r="P323" s="3">
        <f>Table1[[#This Row],[Revenue]]-Table1[[#This Row],[COGS]]</f>
        <v>250000</v>
      </c>
      <c r="Q323" s="1">
        <v>322</v>
      </c>
    </row>
    <row r="324" spans="1:17">
      <c r="A324" t="s">
        <v>110</v>
      </c>
      <c r="B324" t="str">
        <f>TEXT(Table1[[#This Row],[Date]],"MMMM")</f>
        <v>January</v>
      </c>
      <c r="C324" t="str">
        <f>TEXT(Table1[[#This Row],[Date]],"DDDD")</f>
        <v>Thursday</v>
      </c>
      <c r="D324" t="s">
        <v>27</v>
      </c>
      <c r="E324" t="s">
        <v>45</v>
      </c>
      <c r="F324" t="s">
        <v>41</v>
      </c>
      <c r="G324" t="s">
        <v>30</v>
      </c>
      <c r="H324" t="s">
        <v>50</v>
      </c>
      <c r="I324" t="s">
        <v>51</v>
      </c>
      <c r="J324" s="3">
        <v>300000</v>
      </c>
      <c r="K324">
        <v>8</v>
      </c>
      <c r="L324" t="s">
        <v>58</v>
      </c>
      <c r="M324" s="3">
        <v>240000</v>
      </c>
      <c r="N324" s="3">
        <f>Table1[[#This Row],[Unit Price]]*Table1[[#This Row],[Quantity]]</f>
        <v>2400000</v>
      </c>
      <c r="O324" s="3">
        <f>Table1[[#This Row],[Cost Price]]*Table1[[#This Row],[Quantity]]</f>
        <v>1920000</v>
      </c>
      <c r="P324" s="3">
        <f>Table1[[#This Row],[Revenue]]-Table1[[#This Row],[COGS]]</f>
        <v>480000</v>
      </c>
      <c r="Q324" s="1">
        <v>323</v>
      </c>
    </row>
    <row r="325" spans="1:17">
      <c r="A325" t="s">
        <v>166</v>
      </c>
      <c r="B325" t="str">
        <f>TEXT(Table1[[#This Row],[Date]],"MMMM")</f>
        <v>January</v>
      </c>
      <c r="C325" t="str">
        <f>TEXT(Table1[[#This Row],[Date]],"DDDD")</f>
        <v>Thursday</v>
      </c>
      <c r="D325" t="s">
        <v>27</v>
      </c>
      <c r="E325" t="s">
        <v>45</v>
      </c>
      <c r="F325" t="s">
        <v>41</v>
      </c>
      <c r="G325" t="s">
        <v>30</v>
      </c>
      <c r="H325" t="s">
        <v>67</v>
      </c>
      <c r="I325" t="s">
        <v>51</v>
      </c>
      <c r="J325" s="3">
        <v>420000</v>
      </c>
      <c r="K325">
        <v>4</v>
      </c>
      <c r="L325" t="s">
        <v>69</v>
      </c>
      <c r="M325" s="3">
        <v>336000</v>
      </c>
      <c r="N325" s="3">
        <f>Table1[[#This Row],[Unit Price]]*Table1[[#This Row],[Quantity]]</f>
        <v>1680000</v>
      </c>
      <c r="O325" s="3">
        <f>Table1[[#This Row],[Cost Price]]*Table1[[#This Row],[Quantity]]</f>
        <v>1344000</v>
      </c>
      <c r="P325" s="3">
        <f>Table1[[#This Row],[Revenue]]-Table1[[#This Row],[COGS]]</f>
        <v>336000</v>
      </c>
      <c r="Q325" s="1">
        <v>324</v>
      </c>
    </row>
    <row r="326" spans="1:17">
      <c r="A326" t="s">
        <v>68</v>
      </c>
      <c r="B326" t="str">
        <f>TEXT(Table1[[#This Row],[Date]],"MMMM")</f>
        <v>March</v>
      </c>
      <c r="C326" t="str">
        <f>TEXT(Table1[[#This Row],[Date]],"DDDD")</f>
        <v>Monday</v>
      </c>
      <c r="D326" t="s">
        <v>27</v>
      </c>
      <c r="E326" t="s">
        <v>45</v>
      </c>
      <c r="F326" t="s">
        <v>41</v>
      </c>
      <c r="G326" t="s">
        <v>37</v>
      </c>
      <c r="H326" t="s">
        <v>38</v>
      </c>
      <c r="I326" t="s">
        <v>39</v>
      </c>
      <c r="J326" s="3">
        <v>30000</v>
      </c>
      <c r="K326">
        <v>4</v>
      </c>
      <c r="L326" t="s">
        <v>42</v>
      </c>
      <c r="M326" s="3">
        <v>24000</v>
      </c>
      <c r="N326" s="3">
        <f>Table1[[#This Row],[Unit Price]]*Table1[[#This Row],[Quantity]]</f>
        <v>120000</v>
      </c>
      <c r="O326" s="3">
        <f>Table1[[#This Row],[Cost Price]]*Table1[[#This Row],[Quantity]]</f>
        <v>96000</v>
      </c>
      <c r="P326" s="3">
        <f>Table1[[#This Row],[Revenue]]-Table1[[#This Row],[COGS]]</f>
        <v>24000</v>
      </c>
      <c r="Q326" s="1">
        <v>325</v>
      </c>
    </row>
    <row r="327" spans="1:17">
      <c r="A327" t="s">
        <v>145</v>
      </c>
      <c r="B327" t="str">
        <f>TEXT(Table1[[#This Row],[Date]],"MMMM")</f>
        <v>January</v>
      </c>
      <c r="C327" t="str">
        <f>TEXT(Table1[[#This Row],[Date]],"DDDD")</f>
        <v>Friday</v>
      </c>
      <c r="D327" t="s">
        <v>35</v>
      </c>
      <c r="E327" t="s">
        <v>53</v>
      </c>
      <c r="F327" t="s">
        <v>29</v>
      </c>
      <c r="G327" t="s">
        <v>30</v>
      </c>
      <c r="H327" t="s">
        <v>56</v>
      </c>
      <c r="I327" t="s">
        <v>32</v>
      </c>
      <c r="J327" s="3">
        <v>320000</v>
      </c>
      <c r="K327">
        <v>7</v>
      </c>
      <c r="L327" t="s">
        <v>42</v>
      </c>
      <c r="M327" s="3">
        <v>256000</v>
      </c>
      <c r="N327" s="3">
        <f>Table1[[#This Row],[Unit Price]]*Table1[[#This Row],[Quantity]]</f>
        <v>2240000</v>
      </c>
      <c r="O327" s="3">
        <f>Table1[[#This Row],[Cost Price]]*Table1[[#This Row],[Quantity]]</f>
        <v>1792000</v>
      </c>
      <c r="P327" s="3">
        <f>Table1[[#This Row],[Revenue]]-Table1[[#This Row],[COGS]]</f>
        <v>448000</v>
      </c>
      <c r="Q327" s="1">
        <v>326</v>
      </c>
    </row>
    <row r="328" spans="1:17">
      <c r="A328" t="s">
        <v>101</v>
      </c>
      <c r="B328" t="str">
        <f>TEXT(Table1[[#This Row],[Date]],"MMMM")</f>
        <v>January</v>
      </c>
      <c r="C328" t="str">
        <f>TEXT(Table1[[#This Row],[Date]],"DDDD")</f>
        <v>Thursday</v>
      </c>
      <c r="D328" t="s">
        <v>44</v>
      </c>
      <c r="E328" t="s">
        <v>36</v>
      </c>
      <c r="F328" t="s">
        <v>29</v>
      </c>
      <c r="G328" t="s">
        <v>30</v>
      </c>
      <c r="H328" t="s">
        <v>62</v>
      </c>
      <c r="I328" t="s">
        <v>51</v>
      </c>
      <c r="J328" s="3">
        <v>150000</v>
      </c>
      <c r="K328">
        <v>8</v>
      </c>
      <c r="L328" t="s">
        <v>65</v>
      </c>
      <c r="M328" s="3">
        <v>120000</v>
      </c>
      <c r="N328" s="3">
        <f>Table1[[#This Row],[Unit Price]]*Table1[[#This Row],[Quantity]]</f>
        <v>1200000</v>
      </c>
      <c r="O328" s="3">
        <f>Table1[[#This Row],[Cost Price]]*Table1[[#This Row],[Quantity]]</f>
        <v>960000</v>
      </c>
      <c r="P328" s="3">
        <f>Table1[[#This Row],[Revenue]]-Table1[[#This Row],[COGS]]</f>
        <v>240000</v>
      </c>
      <c r="Q328" s="1">
        <v>327</v>
      </c>
    </row>
    <row r="329" spans="1:17">
      <c r="A329" t="s">
        <v>128</v>
      </c>
      <c r="B329" t="str">
        <f>TEXT(Table1[[#This Row],[Date]],"MMMM")</f>
        <v>March</v>
      </c>
      <c r="C329" t="str">
        <f>TEXT(Table1[[#This Row],[Date]],"DDDD")</f>
        <v>Friday</v>
      </c>
      <c r="D329" t="s">
        <v>27</v>
      </c>
      <c r="E329" t="s">
        <v>36</v>
      </c>
      <c r="F329" t="s">
        <v>29</v>
      </c>
      <c r="G329" t="s">
        <v>37</v>
      </c>
      <c r="H329" t="s">
        <v>46</v>
      </c>
      <c r="I329" t="s">
        <v>39</v>
      </c>
      <c r="J329" s="3">
        <v>60000</v>
      </c>
      <c r="K329">
        <v>7</v>
      </c>
      <c r="L329" t="s">
        <v>47</v>
      </c>
      <c r="M329" s="3">
        <v>48000</v>
      </c>
      <c r="N329" s="3">
        <f>Table1[[#This Row],[Unit Price]]*Table1[[#This Row],[Quantity]]</f>
        <v>420000</v>
      </c>
      <c r="O329" s="3">
        <f>Table1[[#This Row],[Cost Price]]*Table1[[#This Row],[Quantity]]</f>
        <v>336000</v>
      </c>
      <c r="P329" s="3">
        <f>Table1[[#This Row],[Revenue]]-Table1[[#This Row],[COGS]]</f>
        <v>84000</v>
      </c>
      <c r="Q329" s="1">
        <v>328</v>
      </c>
    </row>
    <row r="330" spans="1:17">
      <c r="A330" t="s">
        <v>116</v>
      </c>
      <c r="B330" t="str">
        <f>TEXT(Table1[[#This Row],[Date]],"MMMM")</f>
        <v>April</v>
      </c>
      <c r="C330" t="str">
        <f>TEXT(Table1[[#This Row],[Date]],"DDDD")</f>
        <v>Saturday</v>
      </c>
      <c r="D330" t="s">
        <v>44</v>
      </c>
      <c r="E330" t="s">
        <v>45</v>
      </c>
      <c r="F330" t="s">
        <v>29</v>
      </c>
      <c r="G330" t="s">
        <v>30</v>
      </c>
      <c r="H330" t="s">
        <v>54</v>
      </c>
      <c r="I330" t="s">
        <v>39</v>
      </c>
      <c r="J330" s="3">
        <v>180000</v>
      </c>
      <c r="K330">
        <v>4</v>
      </c>
      <c r="L330" t="s">
        <v>42</v>
      </c>
      <c r="M330" s="3">
        <v>144000</v>
      </c>
      <c r="N330" s="3">
        <f>Table1[[#This Row],[Unit Price]]*Table1[[#This Row],[Quantity]]</f>
        <v>720000</v>
      </c>
      <c r="O330" s="3">
        <f>Table1[[#This Row],[Cost Price]]*Table1[[#This Row],[Quantity]]</f>
        <v>576000</v>
      </c>
      <c r="P330" s="3">
        <f>Table1[[#This Row],[Revenue]]-Table1[[#This Row],[COGS]]</f>
        <v>144000</v>
      </c>
      <c r="Q330" s="1">
        <v>329</v>
      </c>
    </row>
    <row r="331" spans="1:17">
      <c r="A331" t="s">
        <v>64</v>
      </c>
      <c r="B331" t="str">
        <f>TEXT(Table1[[#This Row],[Date]],"MMMM")</f>
        <v>April</v>
      </c>
      <c r="C331" t="str">
        <f>TEXT(Table1[[#This Row],[Date]],"DDDD")</f>
        <v>Saturday</v>
      </c>
      <c r="D331" t="s">
        <v>27</v>
      </c>
      <c r="E331" t="s">
        <v>45</v>
      </c>
      <c r="F331" t="s">
        <v>41</v>
      </c>
      <c r="G331" t="s">
        <v>37</v>
      </c>
      <c r="H331" t="s">
        <v>67</v>
      </c>
      <c r="I331" t="s">
        <v>51</v>
      </c>
      <c r="J331" s="3">
        <v>420000</v>
      </c>
      <c r="K331">
        <v>8</v>
      </c>
      <c r="L331" t="s">
        <v>65</v>
      </c>
      <c r="M331" s="3">
        <v>336000</v>
      </c>
      <c r="N331" s="3">
        <f>Table1[[#This Row],[Unit Price]]*Table1[[#This Row],[Quantity]]</f>
        <v>3360000</v>
      </c>
      <c r="O331" s="3">
        <f>Table1[[#This Row],[Cost Price]]*Table1[[#This Row],[Quantity]]</f>
        <v>2688000</v>
      </c>
      <c r="P331" s="3">
        <f>Table1[[#This Row],[Revenue]]-Table1[[#This Row],[COGS]]</f>
        <v>672000</v>
      </c>
      <c r="Q331" s="1">
        <v>330</v>
      </c>
    </row>
    <row r="332" spans="1:17">
      <c r="A332" t="s">
        <v>112</v>
      </c>
      <c r="B332" t="str">
        <f>TEXT(Table1[[#This Row],[Date]],"MMMM")</f>
        <v>February</v>
      </c>
      <c r="C332" t="str">
        <f>TEXT(Table1[[#This Row],[Date]],"DDDD")</f>
        <v>Monday</v>
      </c>
      <c r="D332" t="s">
        <v>27</v>
      </c>
      <c r="E332" t="s">
        <v>45</v>
      </c>
      <c r="F332" t="s">
        <v>29</v>
      </c>
      <c r="G332" t="s">
        <v>37</v>
      </c>
      <c r="H332" t="s">
        <v>50</v>
      </c>
      <c r="I332" t="s">
        <v>51</v>
      </c>
      <c r="J332" s="3">
        <v>300000</v>
      </c>
      <c r="K332">
        <v>2</v>
      </c>
      <c r="L332" t="s">
        <v>69</v>
      </c>
      <c r="M332" s="3">
        <v>240000</v>
      </c>
      <c r="N332" s="3">
        <f>Table1[[#This Row],[Unit Price]]*Table1[[#This Row],[Quantity]]</f>
        <v>600000</v>
      </c>
      <c r="O332" s="3">
        <f>Table1[[#This Row],[Cost Price]]*Table1[[#This Row],[Quantity]]</f>
        <v>480000</v>
      </c>
      <c r="P332" s="3">
        <f>Table1[[#This Row],[Revenue]]-Table1[[#This Row],[COGS]]</f>
        <v>120000</v>
      </c>
      <c r="Q332" s="1">
        <v>331</v>
      </c>
    </row>
    <row r="333" spans="1:17">
      <c r="A333" t="s">
        <v>161</v>
      </c>
      <c r="B333" t="str">
        <f>TEXT(Table1[[#This Row],[Date]],"MMMM")</f>
        <v>March</v>
      </c>
      <c r="C333" t="str">
        <f>TEXT(Table1[[#This Row],[Date]],"DDDD")</f>
        <v>Thursday</v>
      </c>
      <c r="D333" t="s">
        <v>44</v>
      </c>
      <c r="E333" t="s">
        <v>36</v>
      </c>
      <c r="F333" t="s">
        <v>41</v>
      </c>
      <c r="G333" t="s">
        <v>30</v>
      </c>
      <c r="H333" t="s">
        <v>67</v>
      </c>
      <c r="I333" t="s">
        <v>51</v>
      </c>
      <c r="J333" s="3">
        <v>420000</v>
      </c>
      <c r="K333">
        <v>3</v>
      </c>
      <c r="L333" t="s">
        <v>65</v>
      </c>
      <c r="M333" s="3">
        <v>336000</v>
      </c>
      <c r="N333" s="3">
        <f>Table1[[#This Row],[Unit Price]]*Table1[[#This Row],[Quantity]]</f>
        <v>1260000</v>
      </c>
      <c r="O333" s="3">
        <f>Table1[[#This Row],[Cost Price]]*Table1[[#This Row],[Quantity]]</f>
        <v>1008000</v>
      </c>
      <c r="P333" s="3">
        <f>Table1[[#This Row],[Revenue]]-Table1[[#This Row],[COGS]]</f>
        <v>252000</v>
      </c>
      <c r="Q333" s="1">
        <v>332</v>
      </c>
    </row>
    <row r="334" spans="1:17">
      <c r="A334" t="s">
        <v>120</v>
      </c>
      <c r="B334" t="str">
        <f>TEXT(Table1[[#This Row],[Date]],"MMMM")</f>
        <v>March</v>
      </c>
      <c r="C334" t="str">
        <f>TEXT(Table1[[#This Row],[Date]],"DDDD")</f>
        <v>Thursday</v>
      </c>
      <c r="D334" t="s">
        <v>49</v>
      </c>
      <c r="E334" t="s">
        <v>45</v>
      </c>
      <c r="F334" t="s">
        <v>29</v>
      </c>
      <c r="G334" t="s">
        <v>30</v>
      </c>
      <c r="H334" t="s">
        <v>31</v>
      </c>
      <c r="I334" t="s">
        <v>32</v>
      </c>
      <c r="J334" s="3">
        <v>85000</v>
      </c>
      <c r="K334">
        <v>3</v>
      </c>
      <c r="L334" t="s">
        <v>47</v>
      </c>
      <c r="M334" s="3">
        <v>68000</v>
      </c>
      <c r="N334" s="3">
        <f>Table1[[#This Row],[Unit Price]]*Table1[[#This Row],[Quantity]]</f>
        <v>255000</v>
      </c>
      <c r="O334" s="3">
        <f>Table1[[#This Row],[Cost Price]]*Table1[[#This Row],[Quantity]]</f>
        <v>204000</v>
      </c>
      <c r="P334" s="3">
        <f>Table1[[#This Row],[Revenue]]-Table1[[#This Row],[COGS]]</f>
        <v>51000</v>
      </c>
      <c r="Q334" s="1">
        <v>333</v>
      </c>
    </row>
    <row r="335" spans="1:17">
      <c r="A335" t="s">
        <v>98</v>
      </c>
      <c r="B335" t="str">
        <f>TEXT(Table1[[#This Row],[Date]],"MMMM")</f>
        <v>January</v>
      </c>
      <c r="C335" t="str">
        <f>TEXT(Table1[[#This Row],[Date]],"DDDD")</f>
        <v>Friday</v>
      </c>
      <c r="D335" t="s">
        <v>27</v>
      </c>
      <c r="E335" t="s">
        <v>53</v>
      </c>
      <c r="F335" t="s">
        <v>41</v>
      </c>
      <c r="G335" t="s">
        <v>37</v>
      </c>
      <c r="H335" t="s">
        <v>46</v>
      </c>
      <c r="I335" t="s">
        <v>39</v>
      </c>
      <c r="J335" s="3">
        <v>60000</v>
      </c>
      <c r="K335">
        <v>8</v>
      </c>
      <c r="L335" t="s">
        <v>42</v>
      </c>
      <c r="M335" s="3">
        <v>48000</v>
      </c>
      <c r="N335" s="3">
        <f>Table1[[#This Row],[Unit Price]]*Table1[[#This Row],[Quantity]]</f>
        <v>480000</v>
      </c>
      <c r="O335" s="3">
        <f>Table1[[#This Row],[Cost Price]]*Table1[[#This Row],[Quantity]]</f>
        <v>384000</v>
      </c>
      <c r="P335" s="3">
        <f>Table1[[#This Row],[Revenue]]-Table1[[#This Row],[COGS]]</f>
        <v>96000</v>
      </c>
      <c r="Q335" s="1">
        <v>334</v>
      </c>
    </row>
    <row r="336" spans="1:17">
      <c r="A336" t="s">
        <v>146</v>
      </c>
      <c r="B336" t="str">
        <f>TEXT(Table1[[#This Row],[Date]],"MMMM")</f>
        <v>January</v>
      </c>
      <c r="C336" t="str">
        <f>TEXT(Table1[[#This Row],[Date]],"DDDD")</f>
        <v>Tuesday</v>
      </c>
      <c r="D336" t="s">
        <v>27</v>
      </c>
      <c r="E336" t="s">
        <v>36</v>
      </c>
      <c r="F336" t="s">
        <v>41</v>
      </c>
      <c r="G336" t="s">
        <v>37</v>
      </c>
      <c r="H336" t="s">
        <v>54</v>
      </c>
      <c r="I336" t="s">
        <v>39</v>
      </c>
      <c r="J336" s="3">
        <v>180000</v>
      </c>
      <c r="K336">
        <v>10</v>
      </c>
      <c r="L336" t="s">
        <v>58</v>
      </c>
      <c r="M336" s="3">
        <v>144000</v>
      </c>
      <c r="N336" s="3">
        <f>Table1[[#This Row],[Unit Price]]*Table1[[#This Row],[Quantity]]</f>
        <v>1800000</v>
      </c>
      <c r="O336" s="3">
        <f>Table1[[#This Row],[Cost Price]]*Table1[[#This Row],[Quantity]]</f>
        <v>1440000</v>
      </c>
      <c r="P336" s="3">
        <f>Table1[[#This Row],[Revenue]]-Table1[[#This Row],[COGS]]</f>
        <v>360000</v>
      </c>
      <c r="Q336" s="1">
        <v>335</v>
      </c>
    </row>
    <row r="337" spans="1:17">
      <c r="A337" t="s">
        <v>102</v>
      </c>
      <c r="B337" t="str">
        <f>TEXT(Table1[[#This Row],[Date]],"MMMM")</f>
        <v>March</v>
      </c>
      <c r="C337" t="str">
        <f>TEXT(Table1[[#This Row],[Date]],"DDDD")</f>
        <v>Wednesday</v>
      </c>
      <c r="D337" t="s">
        <v>35</v>
      </c>
      <c r="E337" t="s">
        <v>53</v>
      </c>
      <c r="F337" t="s">
        <v>41</v>
      </c>
      <c r="G337" t="s">
        <v>30</v>
      </c>
      <c r="H337" t="s">
        <v>54</v>
      </c>
      <c r="I337" t="s">
        <v>39</v>
      </c>
      <c r="J337" s="3">
        <v>180000</v>
      </c>
      <c r="K337">
        <v>7</v>
      </c>
      <c r="L337" t="s">
        <v>33</v>
      </c>
      <c r="M337" s="3">
        <v>144000</v>
      </c>
      <c r="N337" s="3">
        <f>Table1[[#This Row],[Unit Price]]*Table1[[#This Row],[Quantity]]</f>
        <v>1260000</v>
      </c>
      <c r="O337" s="3">
        <f>Table1[[#This Row],[Cost Price]]*Table1[[#This Row],[Quantity]]</f>
        <v>1008000</v>
      </c>
      <c r="P337" s="3">
        <f>Table1[[#This Row],[Revenue]]-Table1[[#This Row],[COGS]]</f>
        <v>252000</v>
      </c>
      <c r="Q337" s="1">
        <v>336</v>
      </c>
    </row>
    <row r="338" spans="1:17">
      <c r="A338" t="s">
        <v>158</v>
      </c>
      <c r="B338" t="str">
        <f>TEXT(Table1[[#This Row],[Date]],"MMMM")</f>
        <v>January</v>
      </c>
      <c r="C338" t="str">
        <f>TEXT(Table1[[#This Row],[Date]],"DDDD")</f>
        <v>Saturday</v>
      </c>
      <c r="D338" t="s">
        <v>35</v>
      </c>
      <c r="E338" t="s">
        <v>53</v>
      </c>
      <c r="F338" t="s">
        <v>29</v>
      </c>
      <c r="G338" t="s">
        <v>37</v>
      </c>
      <c r="H338" t="s">
        <v>38</v>
      </c>
      <c r="I338" t="s">
        <v>39</v>
      </c>
      <c r="J338" s="3">
        <v>30000</v>
      </c>
      <c r="K338">
        <v>3</v>
      </c>
      <c r="L338" t="s">
        <v>47</v>
      </c>
      <c r="M338" s="3">
        <v>24000</v>
      </c>
      <c r="N338" s="3">
        <f>Table1[[#This Row],[Unit Price]]*Table1[[#This Row],[Quantity]]</f>
        <v>90000</v>
      </c>
      <c r="O338" s="3">
        <f>Table1[[#This Row],[Cost Price]]*Table1[[#This Row],[Quantity]]</f>
        <v>72000</v>
      </c>
      <c r="P338" s="3">
        <f>Table1[[#This Row],[Revenue]]-Table1[[#This Row],[COGS]]</f>
        <v>18000</v>
      </c>
      <c r="Q338" s="1">
        <v>337</v>
      </c>
    </row>
    <row r="339" spans="1:17">
      <c r="A339" t="s">
        <v>165</v>
      </c>
      <c r="B339" t="str">
        <f>TEXT(Table1[[#This Row],[Date]],"MMMM")</f>
        <v>April</v>
      </c>
      <c r="C339" t="str">
        <f>TEXT(Table1[[#This Row],[Date]],"DDDD")</f>
        <v>Sunday</v>
      </c>
      <c r="D339" t="s">
        <v>49</v>
      </c>
      <c r="E339" t="s">
        <v>28</v>
      </c>
      <c r="F339" t="s">
        <v>41</v>
      </c>
      <c r="G339" t="s">
        <v>37</v>
      </c>
      <c r="H339" t="s">
        <v>38</v>
      </c>
      <c r="I339" t="s">
        <v>39</v>
      </c>
      <c r="J339" s="3">
        <v>30000</v>
      </c>
      <c r="K339">
        <v>6</v>
      </c>
      <c r="L339" t="s">
        <v>42</v>
      </c>
      <c r="M339" s="3">
        <v>24000</v>
      </c>
      <c r="N339" s="3">
        <f>Table1[[#This Row],[Unit Price]]*Table1[[#This Row],[Quantity]]</f>
        <v>180000</v>
      </c>
      <c r="O339" s="3">
        <f>Table1[[#This Row],[Cost Price]]*Table1[[#This Row],[Quantity]]</f>
        <v>144000</v>
      </c>
      <c r="P339" s="3">
        <f>Table1[[#This Row],[Revenue]]-Table1[[#This Row],[COGS]]</f>
        <v>36000</v>
      </c>
      <c r="Q339" s="1">
        <v>338</v>
      </c>
    </row>
    <row r="340" spans="1:17">
      <c r="A340" t="s">
        <v>149</v>
      </c>
      <c r="B340" t="str">
        <f>TEXT(Table1[[#This Row],[Date]],"MMMM")</f>
        <v>April</v>
      </c>
      <c r="C340" t="str">
        <f>TEXT(Table1[[#This Row],[Date]],"DDDD")</f>
        <v>Saturday</v>
      </c>
      <c r="D340" t="s">
        <v>49</v>
      </c>
      <c r="E340" t="s">
        <v>36</v>
      </c>
      <c r="F340" t="s">
        <v>41</v>
      </c>
      <c r="G340" t="s">
        <v>30</v>
      </c>
      <c r="H340" t="s">
        <v>67</v>
      </c>
      <c r="I340" t="s">
        <v>51</v>
      </c>
      <c r="J340" s="3">
        <v>420000</v>
      </c>
      <c r="K340">
        <v>4</v>
      </c>
      <c r="L340" t="s">
        <v>65</v>
      </c>
      <c r="M340" s="3">
        <v>336000</v>
      </c>
      <c r="N340" s="3">
        <f>Table1[[#This Row],[Unit Price]]*Table1[[#This Row],[Quantity]]</f>
        <v>1680000</v>
      </c>
      <c r="O340" s="3">
        <f>Table1[[#This Row],[Cost Price]]*Table1[[#This Row],[Quantity]]</f>
        <v>1344000</v>
      </c>
      <c r="P340" s="3">
        <f>Table1[[#This Row],[Revenue]]-Table1[[#This Row],[COGS]]</f>
        <v>336000</v>
      </c>
      <c r="Q340" s="1">
        <v>339</v>
      </c>
    </row>
    <row r="341" spans="1:17">
      <c r="A341" t="s">
        <v>104</v>
      </c>
      <c r="B341" t="str">
        <f>TEXT(Table1[[#This Row],[Date]],"MMMM")</f>
        <v>March</v>
      </c>
      <c r="C341" t="str">
        <f>TEXT(Table1[[#This Row],[Date]],"DDDD")</f>
        <v>Friday</v>
      </c>
      <c r="D341" t="s">
        <v>35</v>
      </c>
      <c r="E341" t="s">
        <v>45</v>
      </c>
      <c r="F341" t="s">
        <v>29</v>
      </c>
      <c r="G341" t="s">
        <v>30</v>
      </c>
      <c r="H341" t="s">
        <v>73</v>
      </c>
      <c r="I341" t="s">
        <v>39</v>
      </c>
      <c r="J341" s="3">
        <v>220000</v>
      </c>
      <c r="K341">
        <v>8</v>
      </c>
      <c r="L341" t="s">
        <v>69</v>
      </c>
      <c r="M341" s="3">
        <v>176000</v>
      </c>
      <c r="N341" s="3">
        <f>Table1[[#This Row],[Unit Price]]*Table1[[#This Row],[Quantity]]</f>
        <v>1760000</v>
      </c>
      <c r="O341" s="3">
        <f>Table1[[#This Row],[Cost Price]]*Table1[[#This Row],[Quantity]]</f>
        <v>1408000</v>
      </c>
      <c r="P341" s="3">
        <f>Table1[[#This Row],[Revenue]]-Table1[[#This Row],[COGS]]</f>
        <v>352000</v>
      </c>
      <c r="Q341" s="1">
        <v>340</v>
      </c>
    </row>
    <row r="342" spans="1:17">
      <c r="A342" t="s">
        <v>40</v>
      </c>
      <c r="B342" t="str">
        <f>TEXT(Table1[[#This Row],[Date]],"MMMM")</f>
        <v>February</v>
      </c>
      <c r="C342" t="str">
        <f>TEXT(Table1[[#This Row],[Date]],"DDDD")</f>
        <v>Thursday</v>
      </c>
      <c r="D342" t="s">
        <v>49</v>
      </c>
      <c r="E342" t="s">
        <v>36</v>
      </c>
      <c r="F342" t="s">
        <v>41</v>
      </c>
      <c r="G342" t="s">
        <v>37</v>
      </c>
      <c r="H342" t="s">
        <v>31</v>
      </c>
      <c r="I342" t="s">
        <v>32</v>
      </c>
      <c r="J342" s="3">
        <v>85000</v>
      </c>
      <c r="K342">
        <v>5</v>
      </c>
      <c r="L342" t="s">
        <v>33</v>
      </c>
      <c r="M342" s="3">
        <v>68000</v>
      </c>
      <c r="N342" s="3">
        <f>Table1[[#This Row],[Unit Price]]*Table1[[#This Row],[Quantity]]</f>
        <v>425000</v>
      </c>
      <c r="O342" s="3">
        <f>Table1[[#This Row],[Cost Price]]*Table1[[#This Row],[Quantity]]</f>
        <v>340000</v>
      </c>
      <c r="P342" s="3">
        <f>Table1[[#This Row],[Revenue]]-Table1[[#This Row],[COGS]]</f>
        <v>85000</v>
      </c>
      <c r="Q342" s="1">
        <v>341</v>
      </c>
    </row>
    <row r="343" spans="1:17">
      <c r="A343" t="s">
        <v>149</v>
      </c>
      <c r="B343" t="str">
        <f>TEXT(Table1[[#This Row],[Date]],"MMMM")</f>
        <v>April</v>
      </c>
      <c r="C343" t="str">
        <f>TEXT(Table1[[#This Row],[Date]],"DDDD")</f>
        <v>Saturday</v>
      </c>
      <c r="D343" t="s">
        <v>27</v>
      </c>
      <c r="E343" t="s">
        <v>36</v>
      </c>
      <c r="F343" t="s">
        <v>29</v>
      </c>
      <c r="G343" t="s">
        <v>30</v>
      </c>
      <c r="H343" t="s">
        <v>56</v>
      </c>
      <c r="I343" t="s">
        <v>32</v>
      </c>
      <c r="J343" s="3">
        <v>320000</v>
      </c>
      <c r="K343">
        <v>7</v>
      </c>
      <c r="L343" t="s">
        <v>47</v>
      </c>
      <c r="M343" s="3">
        <v>256000</v>
      </c>
      <c r="N343" s="3">
        <f>Table1[[#This Row],[Unit Price]]*Table1[[#This Row],[Quantity]]</f>
        <v>2240000</v>
      </c>
      <c r="O343" s="3">
        <f>Table1[[#This Row],[Cost Price]]*Table1[[#This Row],[Quantity]]</f>
        <v>1792000</v>
      </c>
      <c r="P343" s="3">
        <f>Table1[[#This Row],[Revenue]]-Table1[[#This Row],[COGS]]</f>
        <v>448000</v>
      </c>
      <c r="Q343" s="1">
        <v>342</v>
      </c>
    </row>
    <row r="344" spans="1:17">
      <c r="A344" t="s">
        <v>143</v>
      </c>
      <c r="B344" t="str">
        <f>TEXT(Table1[[#This Row],[Date]],"MMMM")</f>
        <v>April</v>
      </c>
      <c r="C344" t="str">
        <f>TEXT(Table1[[#This Row],[Date]],"DDDD")</f>
        <v>Thursday</v>
      </c>
      <c r="D344" t="s">
        <v>44</v>
      </c>
      <c r="E344" t="s">
        <v>36</v>
      </c>
      <c r="F344" t="s">
        <v>41</v>
      </c>
      <c r="G344" t="s">
        <v>37</v>
      </c>
      <c r="H344" t="s">
        <v>54</v>
      </c>
      <c r="I344" t="s">
        <v>39</v>
      </c>
      <c r="J344" s="3">
        <v>180000</v>
      </c>
      <c r="K344">
        <v>6</v>
      </c>
      <c r="L344" t="s">
        <v>33</v>
      </c>
      <c r="M344" s="3">
        <v>144000</v>
      </c>
      <c r="N344" s="3">
        <f>Table1[[#This Row],[Unit Price]]*Table1[[#This Row],[Quantity]]</f>
        <v>1080000</v>
      </c>
      <c r="O344" s="3">
        <f>Table1[[#This Row],[Cost Price]]*Table1[[#This Row],[Quantity]]</f>
        <v>864000</v>
      </c>
      <c r="P344" s="3">
        <f>Table1[[#This Row],[Revenue]]-Table1[[#This Row],[COGS]]</f>
        <v>216000</v>
      </c>
      <c r="Q344" s="1">
        <v>343</v>
      </c>
    </row>
    <row r="345" spans="1:17">
      <c r="A345" t="s">
        <v>26</v>
      </c>
      <c r="B345" t="str">
        <f>TEXT(Table1[[#This Row],[Date]],"MMMM")</f>
        <v>January</v>
      </c>
      <c r="C345" t="str">
        <f>TEXT(Table1[[#This Row],[Date]],"DDDD")</f>
        <v>Sunday</v>
      </c>
      <c r="D345" t="s">
        <v>35</v>
      </c>
      <c r="E345" t="s">
        <v>53</v>
      </c>
      <c r="F345" t="s">
        <v>41</v>
      </c>
      <c r="G345" t="s">
        <v>30</v>
      </c>
      <c r="H345" t="s">
        <v>46</v>
      </c>
      <c r="I345" t="s">
        <v>39</v>
      </c>
      <c r="J345" s="3">
        <v>60000</v>
      </c>
      <c r="K345">
        <v>2</v>
      </c>
      <c r="L345" t="s">
        <v>65</v>
      </c>
      <c r="M345" s="3">
        <v>48000</v>
      </c>
      <c r="N345" s="3">
        <f>Table1[[#This Row],[Unit Price]]*Table1[[#This Row],[Quantity]]</f>
        <v>120000</v>
      </c>
      <c r="O345" s="3">
        <f>Table1[[#This Row],[Cost Price]]*Table1[[#This Row],[Quantity]]</f>
        <v>96000</v>
      </c>
      <c r="P345" s="3">
        <f>Table1[[#This Row],[Revenue]]-Table1[[#This Row],[COGS]]</f>
        <v>24000</v>
      </c>
      <c r="Q345" s="1">
        <v>344</v>
      </c>
    </row>
    <row r="346" spans="1:17">
      <c r="A346" t="s">
        <v>124</v>
      </c>
      <c r="B346" t="str">
        <f>TEXT(Table1[[#This Row],[Date]],"MMMM")</f>
        <v>February</v>
      </c>
      <c r="C346" t="str">
        <f>TEXT(Table1[[#This Row],[Date]],"DDDD")</f>
        <v>Monday</v>
      </c>
      <c r="D346" t="s">
        <v>27</v>
      </c>
      <c r="E346" t="s">
        <v>53</v>
      </c>
      <c r="F346" t="s">
        <v>41</v>
      </c>
      <c r="G346" t="s">
        <v>37</v>
      </c>
      <c r="H346" t="s">
        <v>54</v>
      </c>
      <c r="I346" t="s">
        <v>39</v>
      </c>
      <c r="J346" s="3">
        <v>180000</v>
      </c>
      <c r="K346">
        <v>5</v>
      </c>
      <c r="L346" t="s">
        <v>42</v>
      </c>
      <c r="M346" s="3">
        <v>144000</v>
      </c>
      <c r="N346" s="3">
        <f>Table1[[#This Row],[Unit Price]]*Table1[[#This Row],[Quantity]]</f>
        <v>900000</v>
      </c>
      <c r="O346" s="3">
        <f>Table1[[#This Row],[Cost Price]]*Table1[[#This Row],[Quantity]]</f>
        <v>720000</v>
      </c>
      <c r="P346" s="3">
        <f>Table1[[#This Row],[Revenue]]-Table1[[#This Row],[COGS]]</f>
        <v>180000</v>
      </c>
      <c r="Q346" s="1">
        <v>345</v>
      </c>
    </row>
    <row r="347" spans="1:17">
      <c r="A347" t="s">
        <v>123</v>
      </c>
      <c r="B347" t="str">
        <f>TEXT(Table1[[#This Row],[Date]],"MMMM")</f>
        <v>April</v>
      </c>
      <c r="C347" t="str">
        <f>TEXT(Table1[[#This Row],[Date]],"DDDD")</f>
        <v>Monday</v>
      </c>
      <c r="D347" t="s">
        <v>35</v>
      </c>
      <c r="E347" t="s">
        <v>53</v>
      </c>
      <c r="F347" t="s">
        <v>41</v>
      </c>
      <c r="G347" t="s">
        <v>37</v>
      </c>
      <c r="H347" t="s">
        <v>62</v>
      </c>
      <c r="I347" t="s">
        <v>51</v>
      </c>
      <c r="J347" s="3">
        <v>150000</v>
      </c>
      <c r="K347">
        <v>6</v>
      </c>
      <c r="L347" t="s">
        <v>65</v>
      </c>
      <c r="M347" s="3">
        <v>120000</v>
      </c>
      <c r="N347" s="3">
        <f>Table1[[#This Row],[Unit Price]]*Table1[[#This Row],[Quantity]]</f>
        <v>900000</v>
      </c>
      <c r="O347" s="3">
        <f>Table1[[#This Row],[Cost Price]]*Table1[[#This Row],[Quantity]]</f>
        <v>720000</v>
      </c>
      <c r="P347" s="3">
        <f>Table1[[#This Row],[Revenue]]-Table1[[#This Row],[COGS]]</f>
        <v>180000</v>
      </c>
      <c r="Q347" s="1">
        <v>346</v>
      </c>
    </row>
    <row r="348" spans="1:17">
      <c r="A348" t="s">
        <v>139</v>
      </c>
      <c r="B348" t="str">
        <f>TEXT(Table1[[#This Row],[Date]],"MMMM")</f>
        <v>January</v>
      </c>
      <c r="C348" t="str">
        <f>TEXT(Table1[[#This Row],[Date]],"DDDD")</f>
        <v>Monday</v>
      </c>
      <c r="D348" t="s">
        <v>35</v>
      </c>
      <c r="E348" t="s">
        <v>28</v>
      </c>
      <c r="F348" t="s">
        <v>41</v>
      </c>
      <c r="G348" t="s">
        <v>37</v>
      </c>
      <c r="H348" t="s">
        <v>38</v>
      </c>
      <c r="I348" t="s">
        <v>39</v>
      </c>
      <c r="J348" s="3">
        <v>30000</v>
      </c>
      <c r="K348">
        <v>2</v>
      </c>
      <c r="L348" t="s">
        <v>65</v>
      </c>
      <c r="M348" s="3">
        <v>24000</v>
      </c>
      <c r="N348" s="3">
        <f>Table1[[#This Row],[Unit Price]]*Table1[[#This Row],[Quantity]]</f>
        <v>60000</v>
      </c>
      <c r="O348" s="3">
        <f>Table1[[#This Row],[Cost Price]]*Table1[[#This Row],[Quantity]]</f>
        <v>48000</v>
      </c>
      <c r="P348" s="3">
        <f>Table1[[#This Row],[Revenue]]-Table1[[#This Row],[COGS]]</f>
        <v>12000</v>
      </c>
      <c r="Q348" s="1">
        <v>347</v>
      </c>
    </row>
    <row r="349" spans="1:17">
      <c r="A349" t="s">
        <v>167</v>
      </c>
      <c r="B349" t="str">
        <f>TEXT(Table1[[#This Row],[Date]],"MMMM")</f>
        <v>April</v>
      </c>
      <c r="C349" t="str">
        <f>TEXT(Table1[[#This Row],[Date]],"DDDD")</f>
        <v>Wednesday</v>
      </c>
      <c r="D349" t="s">
        <v>49</v>
      </c>
      <c r="E349" t="s">
        <v>28</v>
      </c>
      <c r="F349" t="s">
        <v>29</v>
      </c>
      <c r="G349" t="s">
        <v>30</v>
      </c>
      <c r="H349" t="s">
        <v>71</v>
      </c>
      <c r="I349" t="s">
        <v>51</v>
      </c>
      <c r="J349" s="3">
        <v>250000</v>
      </c>
      <c r="K349">
        <v>9</v>
      </c>
      <c r="L349" t="s">
        <v>65</v>
      </c>
      <c r="M349" s="3">
        <v>200000</v>
      </c>
      <c r="N349" s="3">
        <f>Table1[[#This Row],[Unit Price]]*Table1[[#This Row],[Quantity]]</f>
        <v>2250000</v>
      </c>
      <c r="O349" s="3">
        <f>Table1[[#This Row],[Cost Price]]*Table1[[#This Row],[Quantity]]</f>
        <v>1800000</v>
      </c>
      <c r="P349" s="3">
        <f>Table1[[#This Row],[Revenue]]-Table1[[#This Row],[COGS]]</f>
        <v>450000</v>
      </c>
      <c r="Q349" s="1">
        <v>348</v>
      </c>
    </row>
    <row r="350" spans="1:17">
      <c r="A350" t="s">
        <v>127</v>
      </c>
      <c r="B350" t="str">
        <f>TEXT(Table1[[#This Row],[Date]],"MMMM")</f>
        <v>January</v>
      </c>
      <c r="C350" t="str">
        <f>TEXT(Table1[[#This Row],[Date]],"DDDD")</f>
        <v>Tuesday</v>
      </c>
      <c r="D350" t="s">
        <v>27</v>
      </c>
      <c r="E350" t="s">
        <v>45</v>
      </c>
      <c r="F350" t="s">
        <v>29</v>
      </c>
      <c r="G350" t="s">
        <v>37</v>
      </c>
      <c r="H350" t="s">
        <v>46</v>
      </c>
      <c r="I350" t="s">
        <v>39</v>
      </c>
      <c r="J350" s="3">
        <v>60000</v>
      </c>
      <c r="K350">
        <v>4</v>
      </c>
      <c r="L350" t="s">
        <v>42</v>
      </c>
      <c r="M350" s="3">
        <v>48000</v>
      </c>
      <c r="N350" s="3">
        <f>Table1[[#This Row],[Unit Price]]*Table1[[#This Row],[Quantity]]</f>
        <v>240000</v>
      </c>
      <c r="O350" s="3">
        <f>Table1[[#This Row],[Cost Price]]*Table1[[#This Row],[Quantity]]</f>
        <v>192000</v>
      </c>
      <c r="P350" s="3">
        <f>Table1[[#This Row],[Revenue]]-Table1[[#This Row],[COGS]]</f>
        <v>48000</v>
      </c>
      <c r="Q350" s="1">
        <v>349</v>
      </c>
    </row>
    <row r="351" spans="1:17">
      <c r="A351" t="s">
        <v>161</v>
      </c>
      <c r="B351" t="str">
        <f>TEXT(Table1[[#This Row],[Date]],"MMMM")</f>
        <v>March</v>
      </c>
      <c r="C351" t="str">
        <f>TEXT(Table1[[#This Row],[Date]],"DDDD")</f>
        <v>Thursday</v>
      </c>
      <c r="D351" t="s">
        <v>35</v>
      </c>
      <c r="E351" t="s">
        <v>28</v>
      </c>
      <c r="F351" t="s">
        <v>29</v>
      </c>
      <c r="G351" t="s">
        <v>30</v>
      </c>
      <c r="H351" t="s">
        <v>62</v>
      </c>
      <c r="I351" t="s">
        <v>51</v>
      </c>
      <c r="J351" s="3">
        <v>150000</v>
      </c>
      <c r="K351">
        <v>9</v>
      </c>
      <c r="L351" t="s">
        <v>65</v>
      </c>
      <c r="M351" s="3">
        <v>120000</v>
      </c>
      <c r="N351" s="3">
        <f>Table1[[#This Row],[Unit Price]]*Table1[[#This Row],[Quantity]]</f>
        <v>1350000</v>
      </c>
      <c r="O351" s="3">
        <f>Table1[[#This Row],[Cost Price]]*Table1[[#This Row],[Quantity]]</f>
        <v>1080000</v>
      </c>
      <c r="P351" s="3">
        <f>Table1[[#This Row],[Revenue]]-Table1[[#This Row],[COGS]]</f>
        <v>270000</v>
      </c>
      <c r="Q351" s="1">
        <v>350</v>
      </c>
    </row>
    <row r="352" spans="1:17">
      <c r="A352" t="s">
        <v>147</v>
      </c>
      <c r="B352" t="str">
        <f>TEXT(Table1[[#This Row],[Date]],"MMMM")</f>
        <v>January</v>
      </c>
      <c r="C352" t="str">
        <f>TEXT(Table1[[#This Row],[Date]],"DDDD")</f>
        <v>Saturday</v>
      </c>
      <c r="D352" t="s">
        <v>49</v>
      </c>
      <c r="E352" t="s">
        <v>36</v>
      </c>
      <c r="F352" t="s">
        <v>41</v>
      </c>
      <c r="G352" t="s">
        <v>37</v>
      </c>
      <c r="H352" t="s">
        <v>54</v>
      </c>
      <c r="I352" t="s">
        <v>39</v>
      </c>
      <c r="J352" s="3">
        <v>180000</v>
      </c>
      <c r="K352">
        <v>3</v>
      </c>
      <c r="L352" t="s">
        <v>33</v>
      </c>
      <c r="M352" s="3">
        <v>144000</v>
      </c>
      <c r="N352" s="3">
        <f>Table1[[#This Row],[Unit Price]]*Table1[[#This Row],[Quantity]]</f>
        <v>540000</v>
      </c>
      <c r="O352" s="3">
        <f>Table1[[#This Row],[Cost Price]]*Table1[[#This Row],[Quantity]]</f>
        <v>432000</v>
      </c>
      <c r="P352" s="3">
        <f>Table1[[#This Row],[Revenue]]-Table1[[#This Row],[COGS]]</f>
        <v>108000</v>
      </c>
      <c r="Q352" s="1">
        <v>351</v>
      </c>
    </row>
    <row r="353" spans="1:17">
      <c r="A353" t="s">
        <v>60</v>
      </c>
      <c r="B353" t="str">
        <f>TEXT(Table1[[#This Row],[Date]],"MMMM")</f>
        <v>March</v>
      </c>
      <c r="C353" t="str">
        <f>TEXT(Table1[[#This Row],[Date]],"DDDD")</f>
        <v>Wednesday</v>
      </c>
      <c r="D353" t="s">
        <v>27</v>
      </c>
      <c r="E353" t="s">
        <v>28</v>
      </c>
      <c r="F353" t="s">
        <v>29</v>
      </c>
      <c r="G353" t="s">
        <v>30</v>
      </c>
      <c r="H353" t="s">
        <v>54</v>
      </c>
      <c r="I353" t="s">
        <v>39</v>
      </c>
      <c r="J353" s="3">
        <v>180000</v>
      </c>
      <c r="K353">
        <v>10</v>
      </c>
      <c r="L353" t="s">
        <v>33</v>
      </c>
      <c r="M353" s="3">
        <v>144000</v>
      </c>
      <c r="N353" s="3">
        <f>Table1[[#This Row],[Unit Price]]*Table1[[#This Row],[Quantity]]</f>
        <v>1800000</v>
      </c>
      <c r="O353" s="3">
        <f>Table1[[#This Row],[Cost Price]]*Table1[[#This Row],[Quantity]]</f>
        <v>1440000</v>
      </c>
      <c r="P353" s="3">
        <f>Table1[[#This Row],[Revenue]]-Table1[[#This Row],[COGS]]</f>
        <v>360000</v>
      </c>
      <c r="Q353" s="1">
        <v>352</v>
      </c>
    </row>
    <row r="354" spans="1:17">
      <c r="A354" t="s">
        <v>26</v>
      </c>
      <c r="B354" t="str">
        <f>TEXT(Table1[[#This Row],[Date]],"MMMM")</f>
        <v>January</v>
      </c>
      <c r="C354" t="str">
        <f>TEXT(Table1[[#This Row],[Date]],"DDDD")</f>
        <v>Sunday</v>
      </c>
      <c r="D354" t="s">
        <v>35</v>
      </c>
      <c r="E354" t="s">
        <v>36</v>
      </c>
      <c r="F354" t="s">
        <v>29</v>
      </c>
      <c r="G354" t="s">
        <v>30</v>
      </c>
      <c r="H354" t="s">
        <v>73</v>
      </c>
      <c r="I354" t="s">
        <v>39</v>
      </c>
      <c r="J354" s="3">
        <v>220000</v>
      </c>
      <c r="K354">
        <v>2</v>
      </c>
      <c r="L354" t="s">
        <v>33</v>
      </c>
      <c r="M354" s="3">
        <v>176000</v>
      </c>
      <c r="N354" s="3">
        <f>Table1[[#This Row],[Unit Price]]*Table1[[#This Row],[Quantity]]</f>
        <v>440000</v>
      </c>
      <c r="O354" s="3">
        <f>Table1[[#This Row],[Cost Price]]*Table1[[#This Row],[Quantity]]</f>
        <v>352000</v>
      </c>
      <c r="P354" s="3">
        <f>Table1[[#This Row],[Revenue]]-Table1[[#This Row],[COGS]]</f>
        <v>88000</v>
      </c>
      <c r="Q354" s="1">
        <v>353</v>
      </c>
    </row>
    <row r="355" spans="1:17">
      <c r="A355" t="s">
        <v>137</v>
      </c>
      <c r="B355" t="str">
        <f>TEXT(Table1[[#This Row],[Date]],"MMMM")</f>
        <v>April</v>
      </c>
      <c r="C355" t="str">
        <f>TEXT(Table1[[#This Row],[Date]],"DDDD")</f>
        <v>Wednesday</v>
      </c>
      <c r="D355" t="s">
        <v>49</v>
      </c>
      <c r="E355" t="s">
        <v>28</v>
      </c>
      <c r="F355" t="s">
        <v>41</v>
      </c>
      <c r="G355" t="s">
        <v>30</v>
      </c>
      <c r="H355" t="s">
        <v>67</v>
      </c>
      <c r="I355" t="s">
        <v>51</v>
      </c>
      <c r="J355" s="3">
        <v>420000</v>
      </c>
      <c r="K355">
        <v>10</v>
      </c>
      <c r="L355" t="s">
        <v>47</v>
      </c>
      <c r="M355" s="3">
        <v>336000</v>
      </c>
      <c r="N355" s="3">
        <f>Table1[[#This Row],[Unit Price]]*Table1[[#This Row],[Quantity]]</f>
        <v>4200000</v>
      </c>
      <c r="O355" s="3">
        <f>Table1[[#This Row],[Cost Price]]*Table1[[#This Row],[Quantity]]</f>
        <v>3360000</v>
      </c>
      <c r="P355" s="3">
        <f>Table1[[#This Row],[Revenue]]-Table1[[#This Row],[COGS]]</f>
        <v>840000</v>
      </c>
      <c r="Q355" s="1">
        <v>354</v>
      </c>
    </row>
    <row r="356" spans="1:17">
      <c r="A356" t="s">
        <v>122</v>
      </c>
      <c r="B356" t="str">
        <f>TEXT(Table1[[#This Row],[Date]],"MMMM")</f>
        <v>March</v>
      </c>
      <c r="C356" t="str">
        <f>TEXT(Table1[[#This Row],[Date]],"DDDD")</f>
        <v>Thursday</v>
      </c>
      <c r="D356" t="s">
        <v>27</v>
      </c>
      <c r="E356" t="s">
        <v>28</v>
      </c>
      <c r="F356" t="s">
        <v>29</v>
      </c>
      <c r="G356" t="s">
        <v>37</v>
      </c>
      <c r="H356" t="s">
        <v>38</v>
      </c>
      <c r="I356" t="s">
        <v>39</v>
      </c>
      <c r="J356" s="3">
        <v>30000</v>
      </c>
      <c r="K356">
        <v>9</v>
      </c>
      <c r="L356" t="s">
        <v>69</v>
      </c>
      <c r="M356" s="3">
        <v>24000</v>
      </c>
      <c r="N356" s="3">
        <f>Table1[[#This Row],[Unit Price]]*Table1[[#This Row],[Quantity]]</f>
        <v>270000</v>
      </c>
      <c r="O356" s="3">
        <f>Table1[[#This Row],[Cost Price]]*Table1[[#This Row],[Quantity]]</f>
        <v>216000</v>
      </c>
      <c r="P356" s="3">
        <f>Table1[[#This Row],[Revenue]]-Table1[[#This Row],[COGS]]</f>
        <v>54000</v>
      </c>
      <c r="Q356" s="1">
        <v>355</v>
      </c>
    </row>
    <row r="357" spans="1:17">
      <c r="A357" t="s">
        <v>26</v>
      </c>
      <c r="B357" t="str">
        <f>TEXT(Table1[[#This Row],[Date]],"MMMM")</f>
        <v>January</v>
      </c>
      <c r="C357" t="str">
        <f>TEXT(Table1[[#This Row],[Date]],"DDDD")</f>
        <v>Sunday</v>
      </c>
      <c r="D357" t="s">
        <v>27</v>
      </c>
      <c r="E357" t="s">
        <v>53</v>
      </c>
      <c r="F357" t="s">
        <v>41</v>
      </c>
      <c r="G357" t="s">
        <v>30</v>
      </c>
      <c r="H357" t="s">
        <v>56</v>
      </c>
      <c r="I357" t="s">
        <v>32</v>
      </c>
      <c r="J357" s="3">
        <v>320000</v>
      </c>
      <c r="K357">
        <v>6</v>
      </c>
      <c r="L357" t="s">
        <v>58</v>
      </c>
      <c r="M357" s="3">
        <v>256000</v>
      </c>
      <c r="N357" s="3">
        <f>Table1[[#This Row],[Unit Price]]*Table1[[#This Row],[Quantity]]</f>
        <v>1920000</v>
      </c>
      <c r="O357" s="3">
        <f>Table1[[#This Row],[Cost Price]]*Table1[[#This Row],[Quantity]]</f>
        <v>1536000</v>
      </c>
      <c r="P357" s="3">
        <f>Table1[[#This Row],[Revenue]]-Table1[[#This Row],[COGS]]</f>
        <v>384000</v>
      </c>
      <c r="Q357" s="1">
        <v>356</v>
      </c>
    </row>
    <row r="358" spans="1:17">
      <c r="A358" t="s">
        <v>61</v>
      </c>
      <c r="B358" t="str">
        <f>TEXT(Table1[[#This Row],[Date]],"MMMM")</f>
        <v>January</v>
      </c>
      <c r="C358" t="str">
        <f>TEXT(Table1[[#This Row],[Date]],"DDDD")</f>
        <v>Friday</v>
      </c>
      <c r="D358" t="s">
        <v>27</v>
      </c>
      <c r="E358" t="s">
        <v>53</v>
      </c>
      <c r="F358" t="s">
        <v>29</v>
      </c>
      <c r="G358" t="s">
        <v>37</v>
      </c>
      <c r="H358" t="s">
        <v>67</v>
      </c>
      <c r="I358" t="s">
        <v>51</v>
      </c>
      <c r="J358" s="3">
        <v>420000</v>
      </c>
      <c r="K358">
        <v>2</v>
      </c>
      <c r="L358" t="s">
        <v>69</v>
      </c>
      <c r="M358" s="3">
        <v>336000</v>
      </c>
      <c r="N358" s="3">
        <f>Table1[[#This Row],[Unit Price]]*Table1[[#This Row],[Quantity]]</f>
        <v>840000</v>
      </c>
      <c r="O358" s="3">
        <f>Table1[[#This Row],[Cost Price]]*Table1[[#This Row],[Quantity]]</f>
        <v>672000</v>
      </c>
      <c r="P358" s="3">
        <f>Table1[[#This Row],[Revenue]]-Table1[[#This Row],[COGS]]</f>
        <v>168000</v>
      </c>
      <c r="Q358" s="1">
        <v>357</v>
      </c>
    </row>
    <row r="359" spans="1:17">
      <c r="A359" t="s">
        <v>167</v>
      </c>
      <c r="B359" t="str">
        <f>TEXT(Table1[[#This Row],[Date]],"MMMM")</f>
        <v>April</v>
      </c>
      <c r="C359" t="str">
        <f>TEXT(Table1[[#This Row],[Date]],"DDDD")</f>
        <v>Wednesday</v>
      </c>
      <c r="D359" t="s">
        <v>44</v>
      </c>
      <c r="E359" t="s">
        <v>45</v>
      </c>
      <c r="F359" t="s">
        <v>41</v>
      </c>
      <c r="G359" t="s">
        <v>30</v>
      </c>
      <c r="H359" t="s">
        <v>56</v>
      </c>
      <c r="I359" t="s">
        <v>32</v>
      </c>
      <c r="J359" s="3">
        <v>320000</v>
      </c>
      <c r="K359">
        <v>10</v>
      </c>
      <c r="L359" t="s">
        <v>58</v>
      </c>
      <c r="M359" s="3">
        <v>256000</v>
      </c>
      <c r="N359" s="3">
        <f>Table1[[#This Row],[Unit Price]]*Table1[[#This Row],[Quantity]]</f>
        <v>3200000</v>
      </c>
      <c r="O359" s="3">
        <f>Table1[[#This Row],[Cost Price]]*Table1[[#This Row],[Quantity]]</f>
        <v>2560000</v>
      </c>
      <c r="P359" s="3">
        <f>Table1[[#This Row],[Revenue]]-Table1[[#This Row],[COGS]]</f>
        <v>640000</v>
      </c>
      <c r="Q359" s="1">
        <v>358</v>
      </c>
    </row>
    <row r="360" spans="1:17">
      <c r="A360" t="s">
        <v>57</v>
      </c>
      <c r="B360" t="str">
        <f>TEXT(Table1[[#This Row],[Date]],"MMMM")</f>
        <v>February</v>
      </c>
      <c r="C360" t="str">
        <f>TEXT(Table1[[#This Row],[Date]],"DDDD")</f>
        <v>Thursday</v>
      </c>
      <c r="D360" t="s">
        <v>35</v>
      </c>
      <c r="E360" t="s">
        <v>45</v>
      </c>
      <c r="F360" t="s">
        <v>41</v>
      </c>
      <c r="G360" t="s">
        <v>37</v>
      </c>
      <c r="H360" t="s">
        <v>50</v>
      </c>
      <c r="I360" t="s">
        <v>51</v>
      </c>
      <c r="J360" s="3">
        <v>300000</v>
      </c>
      <c r="K360">
        <v>8</v>
      </c>
      <c r="L360" t="s">
        <v>69</v>
      </c>
      <c r="M360" s="3">
        <v>240000</v>
      </c>
      <c r="N360" s="3">
        <f>Table1[[#This Row],[Unit Price]]*Table1[[#This Row],[Quantity]]</f>
        <v>2400000</v>
      </c>
      <c r="O360" s="3">
        <f>Table1[[#This Row],[Cost Price]]*Table1[[#This Row],[Quantity]]</f>
        <v>1920000</v>
      </c>
      <c r="P360" s="3">
        <f>Table1[[#This Row],[Revenue]]-Table1[[#This Row],[COGS]]</f>
        <v>480000</v>
      </c>
      <c r="Q360" s="1">
        <v>359</v>
      </c>
    </row>
    <row r="361" spans="1:17">
      <c r="A361" t="s">
        <v>144</v>
      </c>
      <c r="B361" t="str">
        <f>TEXT(Table1[[#This Row],[Date]],"MMMM")</f>
        <v>February</v>
      </c>
      <c r="C361" t="str">
        <f>TEXT(Table1[[#This Row],[Date]],"DDDD")</f>
        <v>Friday</v>
      </c>
      <c r="D361" t="s">
        <v>35</v>
      </c>
      <c r="E361" t="s">
        <v>28</v>
      </c>
      <c r="F361" t="s">
        <v>41</v>
      </c>
      <c r="G361" t="s">
        <v>30</v>
      </c>
      <c r="H361" t="s">
        <v>46</v>
      </c>
      <c r="I361" t="s">
        <v>39</v>
      </c>
      <c r="J361" s="3">
        <v>60000</v>
      </c>
      <c r="K361">
        <v>1</v>
      </c>
      <c r="L361" t="s">
        <v>42</v>
      </c>
      <c r="M361" s="3">
        <v>48000</v>
      </c>
      <c r="N361" s="3">
        <f>Table1[[#This Row],[Unit Price]]*Table1[[#This Row],[Quantity]]</f>
        <v>60000</v>
      </c>
      <c r="O361" s="3">
        <f>Table1[[#This Row],[Cost Price]]*Table1[[#This Row],[Quantity]]</f>
        <v>48000</v>
      </c>
      <c r="P361" s="3">
        <f>Table1[[#This Row],[Revenue]]-Table1[[#This Row],[COGS]]</f>
        <v>12000</v>
      </c>
      <c r="Q361" s="1">
        <v>360</v>
      </c>
    </row>
    <row r="362" spans="1:17">
      <c r="A362" t="s">
        <v>131</v>
      </c>
      <c r="B362" t="str">
        <f>TEXT(Table1[[#This Row],[Date]],"MMMM")</f>
        <v>March</v>
      </c>
      <c r="C362" t="str">
        <f>TEXT(Table1[[#This Row],[Date]],"DDDD")</f>
        <v>Friday</v>
      </c>
      <c r="D362" t="s">
        <v>44</v>
      </c>
      <c r="E362" t="s">
        <v>36</v>
      </c>
      <c r="F362" t="s">
        <v>41</v>
      </c>
      <c r="G362" t="s">
        <v>30</v>
      </c>
      <c r="H362" t="s">
        <v>31</v>
      </c>
      <c r="I362" t="s">
        <v>32</v>
      </c>
      <c r="J362" s="3">
        <v>85000</v>
      </c>
      <c r="K362">
        <v>3</v>
      </c>
      <c r="L362" t="s">
        <v>42</v>
      </c>
      <c r="M362" s="3">
        <v>68000</v>
      </c>
      <c r="N362" s="3">
        <f>Table1[[#This Row],[Unit Price]]*Table1[[#This Row],[Quantity]]</f>
        <v>255000</v>
      </c>
      <c r="O362" s="3">
        <f>Table1[[#This Row],[Cost Price]]*Table1[[#This Row],[Quantity]]</f>
        <v>204000</v>
      </c>
      <c r="P362" s="3">
        <f>Table1[[#This Row],[Revenue]]-Table1[[#This Row],[COGS]]</f>
        <v>51000</v>
      </c>
      <c r="Q362" s="1">
        <v>361</v>
      </c>
    </row>
    <row r="363" spans="1:17">
      <c r="A363" t="s">
        <v>164</v>
      </c>
      <c r="B363" t="str">
        <f>TEXT(Table1[[#This Row],[Date]],"MMMM")</f>
        <v>March</v>
      </c>
      <c r="C363" t="str">
        <f>TEXT(Table1[[#This Row],[Date]],"DDDD")</f>
        <v>Tuesday</v>
      </c>
      <c r="D363" t="s">
        <v>35</v>
      </c>
      <c r="E363" t="s">
        <v>45</v>
      </c>
      <c r="F363" t="s">
        <v>41</v>
      </c>
      <c r="G363" t="s">
        <v>37</v>
      </c>
      <c r="H363" t="s">
        <v>38</v>
      </c>
      <c r="I363" t="s">
        <v>39</v>
      </c>
      <c r="J363" s="3">
        <v>30000</v>
      </c>
      <c r="K363">
        <v>10</v>
      </c>
      <c r="L363" t="s">
        <v>33</v>
      </c>
      <c r="M363" s="3">
        <v>24000</v>
      </c>
      <c r="N363" s="3">
        <f>Table1[[#This Row],[Unit Price]]*Table1[[#This Row],[Quantity]]</f>
        <v>300000</v>
      </c>
      <c r="O363" s="3">
        <f>Table1[[#This Row],[Cost Price]]*Table1[[#This Row],[Quantity]]</f>
        <v>240000</v>
      </c>
      <c r="P363" s="3">
        <f>Table1[[#This Row],[Revenue]]-Table1[[#This Row],[COGS]]</f>
        <v>60000</v>
      </c>
      <c r="Q363" s="1">
        <v>362</v>
      </c>
    </row>
    <row r="364" spans="1:17">
      <c r="A364" t="s">
        <v>134</v>
      </c>
      <c r="B364" t="str">
        <f>TEXT(Table1[[#This Row],[Date]],"MMMM")</f>
        <v>January</v>
      </c>
      <c r="C364" t="str">
        <f>TEXT(Table1[[#This Row],[Date]],"DDDD")</f>
        <v>Wednesday</v>
      </c>
      <c r="D364" t="s">
        <v>35</v>
      </c>
      <c r="E364" t="s">
        <v>45</v>
      </c>
      <c r="F364" t="s">
        <v>41</v>
      </c>
      <c r="G364" t="s">
        <v>30</v>
      </c>
      <c r="H364" t="s">
        <v>38</v>
      </c>
      <c r="I364" t="s">
        <v>39</v>
      </c>
      <c r="J364" s="3">
        <v>30000</v>
      </c>
      <c r="K364">
        <v>4</v>
      </c>
      <c r="L364" t="s">
        <v>58</v>
      </c>
      <c r="M364" s="3">
        <v>24000</v>
      </c>
      <c r="N364" s="3">
        <f>Table1[[#This Row],[Unit Price]]*Table1[[#This Row],[Quantity]]</f>
        <v>120000</v>
      </c>
      <c r="O364" s="3">
        <f>Table1[[#This Row],[Cost Price]]*Table1[[#This Row],[Quantity]]</f>
        <v>96000</v>
      </c>
      <c r="P364" s="3">
        <f>Table1[[#This Row],[Revenue]]-Table1[[#This Row],[COGS]]</f>
        <v>24000</v>
      </c>
      <c r="Q364" s="1">
        <v>363</v>
      </c>
    </row>
    <row r="365" spans="1:17">
      <c r="A365" t="s">
        <v>139</v>
      </c>
      <c r="B365" t="str">
        <f>TEXT(Table1[[#This Row],[Date]],"MMMM")</f>
        <v>January</v>
      </c>
      <c r="C365" t="str">
        <f>TEXT(Table1[[#This Row],[Date]],"DDDD")</f>
        <v>Monday</v>
      </c>
      <c r="D365" t="s">
        <v>44</v>
      </c>
      <c r="E365" t="s">
        <v>53</v>
      </c>
      <c r="F365" t="s">
        <v>41</v>
      </c>
      <c r="G365" t="s">
        <v>37</v>
      </c>
      <c r="H365" t="s">
        <v>62</v>
      </c>
      <c r="I365" t="s">
        <v>51</v>
      </c>
      <c r="J365" s="3">
        <v>150000</v>
      </c>
      <c r="K365">
        <v>3</v>
      </c>
      <c r="L365" t="s">
        <v>42</v>
      </c>
      <c r="M365" s="3">
        <v>120000</v>
      </c>
      <c r="N365" s="3">
        <f>Table1[[#This Row],[Unit Price]]*Table1[[#This Row],[Quantity]]</f>
        <v>450000</v>
      </c>
      <c r="O365" s="3">
        <f>Table1[[#This Row],[Cost Price]]*Table1[[#This Row],[Quantity]]</f>
        <v>360000</v>
      </c>
      <c r="P365" s="3">
        <f>Table1[[#This Row],[Revenue]]-Table1[[#This Row],[COGS]]</f>
        <v>90000</v>
      </c>
      <c r="Q365" s="1">
        <v>364</v>
      </c>
    </row>
    <row r="366" spans="1:17">
      <c r="A366" t="s">
        <v>138</v>
      </c>
      <c r="B366" t="str">
        <f>TEXT(Table1[[#This Row],[Date]],"MMMM")</f>
        <v>April</v>
      </c>
      <c r="C366" t="str">
        <f>TEXT(Table1[[#This Row],[Date]],"DDDD")</f>
        <v>Monday</v>
      </c>
      <c r="D366" t="s">
        <v>27</v>
      </c>
      <c r="E366" t="s">
        <v>28</v>
      </c>
      <c r="F366" t="s">
        <v>41</v>
      </c>
      <c r="G366" t="s">
        <v>30</v>
      </c>
      <c r="H366" t="s">
        <v>62</v>
      </c>
      <c r="I366" t="s">
        <v>51</v>
      </c>
      <c r="J366" s="3">
        <v>150000</v>
      </c>
      <c r="K366">
        <v>3</v>
      </c>
      <c r="L366" t="s">
        <v>33</v>
      </c>
      <c r="M366" s="3">
        <v>120000</v>
      </c>
      <c r="N366" s="3">
        <f>Table1[[#This Row],[Unit Price]]*Table1[[#This Row],[Quantity]]</f>
        <v>450000</v>
      </c>
      <c r="O366" s="3">
        <f>Table1[[#This Row],[Cost Price]]*Table1[[#This Row],[Quantity]]</f>
        <v>360000</v>
      </c>
      <c r="P366" s="3">
        <f>Table1[[#This Row],[Revenue]]-Table1[[#This Row],[COGS]]</f>
        <v>90000</v>
      </c>
      <c r="Q366" s="1">
        <v>365</v>
      </c>
    </row>
    <row r="367" spans="1:17">
      <c r="A367" t="s">
        <v>121</v>
      </c>
      <c r="B367" t="str">
        <f>TEXT(Table1[[#This Row],[Date]],"MMMM")</f>
        <v>April</v>
      </c>
      <c r="C367" t="str">
        <f>TEXT(Table1[[#This Row],[Date]],"DDDD")</f>
        <v>Wednesday</v>
      </c>
      <c r="D367" t="s">
        <v>35</v>
      </c>
      <c r="E367" t="s">
        <v>45</v>
      </c>
      <c r="F367" t="s">
        <v>41</v>
      </c>
      <c r="G367" t="s">
        <v>37</v>
      </c>
      <c r="H367" t="s">
        <v>31</v>
      </c>
      <c r="I367" t="s">
        <v>32</v>
      </c>
      <c r="J367" s="3">
        <v>85000</v>
      </c>
      <c r="K367">
        <v>8</v>
      </c>
      <c r="L367" t="s">
        <v>33</v>
      </c>
      <c r="M367" s="3">
        <v>68000</v>
      </c>
      <c r="N367" s="3">
        <f>Table1[[#This Row],[Unit Price]]*Table1[[#This Row],[Quantity]]</f>
        <v>680000</v>
      </c>
      <c r="O367" s="3">
        <f>Table1[[#This Row],[Cost Price]]*Table1[[#This Row],[Quantity]]</f>
        <v>544000</v>
      </c>
      <c r="P367" s="3">
        <f>Table1[[#This Row],[Revenue]]-Table1[[#This Row],[COGS]]</f>
        <v>136000</v>
      </c>
      <c r="Q367" s="1">
        <v>366</v>
      </c>
    </row>
    <row r="368" spans="1:17">
      <c r="A368" t="s">
        <v>142</v>
      </c>
      <c r="B368" t="str">
        <f>TEXT(Table1[[#This Row],[Date]],"MMMM")</f>
        <v>April</v>
      </c>
      <c r="C368" t="str">
        <f>TEXT(Table1[[#This Row],[Date]],"DDDD")</f>
        <v>Monday</v>
      </c>
      <c r="D368" t="s">
        <v>44</v>
      </c>
      <c r="E368" t="s">
        <v>45</v>
      </c>
      <c r="F368" t="s">
        <v>41</v>
      </c>
      <c r="G368" t="s">
        <v>30</v>
      </c>
      <c r="H368" t="s">
        <v>67</v>
      </c>
      <c r="I368" t="s">
        <v>51</v>
      </c>
      <c r="J368" s="3">
        <v>420000</v>
      </c>
      <c r="K368">
        <v>7</v>
      </c>
      <c r="L368" t="s">
        <v>33</v>
      </c>
      <c r="M368" s="3">
        <v>336000</v>
      </c>
      <c r="N368" s="3">
        <f>Table1[[#This Row],[Unit Price]]*Table1[[#This Row],[Quantity]]</f>
        <v>2940000</v>
      </c>
      <c r="O368" s="3">
        <f>Table1[[#This Row],[Cost Price]]*Table1[[#This Row],[Quantity]]</f>
        <v>2352000</v>
      </c>
      <c r="P368" s="3">
        <f>Table1[[#This Row],[Revenue]]-Table1[[#This Row],[COGS]]</f>
        <v>588000</v>
      </c>
      <c r="Q368" s="1">
        <v>367</v>
      </c>
    </row>
    <row r="369" spans="1:17">
      <c r="A369" t="s">
        <v>134</v>
      </c>
      <c r="B369" t="str">
        <f>TEXT(Table1[[#This Row],[Date]],"MMMM")</f>
        <v>January</v>
      </c>
      <c r="C369" t="str">
        <f>TEXT(Table1[[#This Row],[Date]],"DDDD")</f>
        <v>Wednesday</v>
      </c>
      <c r="D369" t="s">
        <v>35</v>
      </c>
      <c r="E369" t="s">
        <v>53</v>
      </c>
      <c r="F369" t="s">
        <v>41</v>
      </c>
      <c r="G369" t="s">
        <v>37</v>
      </c>
      <c r="H369" t="s">
        <v>62</v>
      </c>
      <c r="I369" t="s">
        <v>51</v>
      </c>
      <c r="J369" s="3">
        <v>150000</v>
      </c>
      <c r="K369">
        <v>3</v>
      </c>
      <c r="L369" t="s">
        <v>42</v>
      </c>
      <c r="M369" s="3">
        <v>120000</v>
      </c>
      <c r="N369" s="3">
        <f>Table1[[#This Row],[Unit Price]]*Table1[[#This Row],[Quantity]]</f>
        <v>450000</v>
      </c>
      <c r="O369" s="3">
        <f>Table1[[#This Row],[Cost Price]]*Table1[[#This Row],[Quantity]]</f>
        <v>360000</v>
      </c>
      <c r="P369" s="3">
        <f>Table1[[#This Row],[Revenue]]-Table1[[#This Row],[COGS]]</f>
        <v>90000</v>
      </c>
      <c r="Q369" s="1">
        <v>368</v>
      </c>
    </row>
    <row r="370" spans="1:17">
      <c r="A370" t="s">
        <v>43</v>
      </c>
      <c r="B370" t="str">
        <f>TEXT(Table1[[#This Row],[Date]],"MMMM")</f>
        <v>April</v>
      </c>
      <c r="C370" t="str">
        <f>TEXT(Table1[[#This Row],[Date]],"DDDD")</f>
        <v>Friday</v>
      </c>
      <c r="D370" t="s">
        <v>27</v>
      </c>
      <c r="E370" t="s">
        <v>53</v>
      </c>
      <c r="F370" t="s">
        <v>41</v>
      </c>
      <c r="G370" t="s">
        <v>37</v>
      </c>
      <c r="H370" t="s">
        <v>56</v>
      </c>
      <c r="I370" t="s">
        <v>32</v>
      </c>
      <c r="J370" s="3">
        <v>320000</v>
      </c>
      <c r="K370">
        <v>1</v>
      </c>
      <c r="L370" t="s">
        <v>47</v>
      </c>
      <c r="M370" s="3">
        <v>256000</v>
      </c>
      <c r="N370" s="3">
        <f>Table1[[#This Row],[Unit Price]]*Table1[[#This Row],[Quantity]]</f>
        <v>320000</v>
      </c>
      <c r="O370" s="3">
        <f>Table1[[#This Row],[Cost Price]]*Table1[[#This Row],[Quantity]]</f>
        <v>256000</v>
      </c>
      <c r="P370" s="3">
        <f>Table1[[#This Row],[Revenue]]-Table1[[#This Row],[COGS]]</f>
        <v>64000</v>
      </c>
      <c r="Q370" s="1">
        <v>369</v>
      </c>
    </row>
    <row r="371" spans="1:17">
      <c r="A371" t="s">
        <v>80</v>
      </c>
      <c r="B371" t="str">
        <f>TEXT(Table1[[#This Row],[Date]],"MMMM")</f>
        <v>February</v>
      </c>
      <c r="C371" t="str">
        <f>TEXT(Table1[[#This Row],[Date]],"DDDD")</f>
        <v>Sunday</v>
      </c>
      <c r="D371" t="s">
        <v>35</v>
      </c>
      <c r="E371" t="s">
        <v>53</v>
      </c>
      <c r="F371" t="s">
        <v>41</v>
      </c>
      <c r="G371" t="s">
        <v>30</v>
      </c>
      <c r="H371" t="s">
        <v>54</v>
      </c>
      <c r="I371" t="s">
        <v>39</v>
      </c>
      <c r="J371" s="3">
        <v>180000</v>
      </c>
      <c r="K371">
        <v>5</v>
      </c>
      <c r="L371" t="s">
        <v>33</v>
      </c>
      <c r="M371" s="3">
        <v>144000</v>
      </c>
      <c r="N371" s="3">
        <f>Table1[[#This Row],[Unit Price]]*Table1[[#This Row],[Quantity]]</f>
        <v>900000</v>
      </c>
      <c r="O371" s="3">
        <f>Table1[[#This Row],[Cost Price]]*Table1[[#This Row],[Quantity]]</f>
        <v>720000</v>
      </c>
      <c r="P371" s="3">
        <f>Table1[[#This Row],[Revenue]]-Table1[[#This Row],[COGS]]</f>
        <v>180000</v>
      </c>
      <c r="Q371" s="1">
        <v>370</v>
      </c>
    </row>
    <row r="372" spans="1:17">
      <c r="A372" t="s">
        <v>105</v>
      </c>
      <c r="B372" t="str">
        <f>TEXT(Table1[[#This Row],[Date]],"MMMM")</f>
        <v>March</v>
      </c>
      <c r="C372" t="str">
        <f>TEXT(Table1[[#This Row],[Date]],"DDDD")</f>
        <v>Friday</v>
      </c>
      <c r="D372" t="s">
        <v>49</v>
      </c>
      <c r="E372" t="s">
        <v>45</v>
      </c>
      <c r="F372" t="s">
        <v>41</v>
      </c>
      <c r="G372" t="s">
        <v>37</v>
      </c>
      <c r="H372" t="s">
        <v>50</v>
      </c>
      <c r="I372" t="s">
        <v>51</v>
      </c>
      <c r="J372" s="3">
        <v>300000</v>
      </c>
      <c r="K372">
        <v>1</v>
      </c>
      <c r="L372" t="s">
        <v>47</v>
      </c>
      <c r="M372" s="3">
        <v>240000</v>
      </c>
      <c r="N372" s="3">
        <f>Table1[[#This Row],[Unit Price]]*Table1[[#This Row],[Quantity]]</f>
        <v>300000</v>
      </c>
      <c r="O372" s="3">
        <f>Table1[[#This Row],[Cost Price]]*Table1[[#This Row],[Quantity]]</f>
        <v>240000</v>
      </c>
      <c r="P372" s="3">
        <f>Table1[[#This Row],[Revenue]]-Table1[[#This Row],[COGS]]</f>
        <v>60000</v>
      </c>
      <c r="Q372" s="1">
        <v>371</v>
      </c>
    </row>
    <row r="373" spans="1:17">
      <c r="A373" t="s">
        <v>168</v>
      </c>
      <c r="B373" t="str">
        <f>TEXT(Table1[[#This Row],[Date]],"MMMM")</f>
        <v>April</v>
      </c>
      <c r="C373" t="str">
        <f>TEXT(Table1[[#This Row],[Date]],"DDDD")</f>
        <v>Wednesday</v>
      </c>
      <c r="D373" t="s">
        <v>35</v>
      </c>
      <c r="E373" t="s">
        <v>28</v>
      </c>
      <c r="F373" t="s">
        <v>41</v>
      </c>
      <c r="G373" t="s">
        <v>30</v>
      </c>
      <c r="H373" t="s">
        <v>54</v>
      </c>
      <c r="I373" t="s">
        <v>39</v>
      </c>
      <c r="J373" s="3">
        <v>180000</v>
      </c>
      <c r="K373">
        <v>8</v>
      </c>
      <c r="L373" t="s">
        <v>65</v>
      </c>
      <c r="M373" s="3">
        <v>144000</v>
      </c>
      <c r="N373" s="3">
        <f>Table1[[#This Row],[Unit Price]]*Table1[[#This Row],[Quantity]]</f>
        <v>1440000</v>
      </c>
      <c r="O373" s="3">
        <f>Table1[[#This Row],[Cost Price]]*Table1[[#This Row],[Quantity]]</f>
        <v>1152000</v>
      </c>
      <c r="P373" s="3">
        <f>Table1[[#This Row],[Revenue]]-Table1[[#This Row],[COGS]]</f>
        <v>288000</v>
      </c>
      <c r="Q373" s="1">
        <v>372</v>
      </c>
    </row>
    <row r="374" spans="1:17">
      <c r="A374" t="s">
        <v>132</v>
      </c>
      <c r="B374" t="str">
        <f>TEXT(Table1[[#This Row],[Date]],"MMMM")</f>
        <v>April</v>
      </c>
      <c r="C374" t="str">
        <f>TEXT(Table1[[#This Row],[Date]],"DDDD")</f>
        <v>Saturday</v>
      </c>
      <c r="D374" t="s">
        <v>44</v>
      </c>
      <c r="E374" t="s">
        <v>45</v>
      </c>
      <c r="F374" t="s">
        <v>41</v>
      </c>
      <c r="G374" t="s">
        <v>30</v>
      </c>
      <c r="H374" t="s">
        <v>54</v>
      </c>
      <c r="I374" t="s">
        <v>39</v>
      </c>
      <c r="J374" s="3">
        <v>180000</v>
      </c>
      <c r="K374">
        <v>3</v>
      </c>
      <c r="L374" t="s">
        <v>58</v>
      </c>
      <c r="M374" s="3">
        <v>144000</v>
      </c>
      <c r="N374" s="3">
        <f>Table1[[#This Row],[Unit Price]]*Table1[[#This Row],[Quantity]]</f>
        <v>540000</v>
      </c>
      <c r="O374" s="3">
        <f>Table1[[#This Row],[Cost Price]]*Table1[[#This Row],[Quantity]]</f>
        <v>432000</v>
      </c>
      <c r="P374" s="3">
        <f>Table1[[#This Row],[Revenue]]-Table1[[#This Row],[COGS]]</f>
        <v>108000</v>
      </c>
      <c r="Q374" s="1">
        <v>373</v>
      </c>
    </row>
    <row r="375" spans="1:17">
      <c r="A375" t="s">
        <v>158</v>
      </c>
      <c r="B375" t="str">
        <f>TEXT(Table1[[#This Row],[Date]],"MMMM")</f>
        <v>January</v>
      </c>
      <c r="C375" t="str">
        <f>TEXT(Table1[[#This Row],[Date]],"DDDD")</f>
        <v>Saturday</v>
      </c>
      <c r="D375" t="s">
        <v>27</v>
      </c>
      <c r="E375" t="s">
        <v>53</v>
      </c>
      <c r="F375" t="s">
        <v>41</v>
      </c>
      <c r="G375" t="s">
        <v>37</v>
      </c>
      <c r="H375" t="s">
        <v>56</v>
      </c>
      <c r="I375" t="s">
        <v>32</v>
      </c>
      <c r="J375" s="3">
        <v>320000</v>
      </c>
      <c r="K375">
        <v>6</v>
      </c>
      <c r="L375" t="s">
        <v>69</v>
      </c>
      <c r="M375" s="3">
        <v>256000</v>
      </c>
      <c r="N375" s="3">
        <f>Table1[[#This Row],[Unit Price]]*Table1[[#This Row],[Quantity]]</f>
        <v>1920000</v>
      </c>
      <c r="O375" s="3">
        <f>Table1[[#This Row],[Cost Price]]*Table1[[#This Row],[Quantity]]</f>
        <v>1536000</v>
      </c>
      <c r="P375" s="3">
        <f>Table1[[#This Row],[Revenue]]-Table1[[#This Row],[COGS]]</f>
        <v>384000</v>
      </c>
      <c r="Q375" s="1">
        <v>374</v>
      </c>
    </row>
    <row r="376" spans="1:17">
      <c r="A376" t="s">
        <v>147</v>
      </c>
      <c r="B376" t="str">
        <f>TEXT(Table1[[#This Row],[Date]],"MMMM")</f>
        <v>January</v>
      </c>
      <c r="C376" t="str">
        <f>TEXT(Table1[[#This Row],[Date]],"DDDD")</f>
        <v>Saturday</v>
      </c>
      <c r="D376" t="s">
        <v>27</v>
      </c>
      <c r="E376" t="s">
        <v>53</v>
      </c>
      <c r="F376" t="s">
        <v>41</v>
      </c>
      <c r="G376" t="s">
        <v>37</v>
      </c>
      <c r="H376" t="s">
        <v>46</v>
      </c>
      <c r="I376" t="s">
        <v>39</v>
      </c>
      <c r="J376" s="3">
        <v>60000</v>
      </c>
      <c r="K376">
        <v>10</v>
      </c>
      <c r="L376" t="s">
        <v>33</v>
      </c>
      <c r="M376" s="3">
        <v>48000</v>
      </c>
      <c r="N376" s="3">
        <f>Table1[[#This Row],[Unit Price]]*Table1[[#This Row],[Quantity]]</f>
        <v>600000</v>
      </c>
      <c r="O376" s="3">
        <f>Table1[[#This Row],[Cost Price]]*Table1[[#This Row],[Quantity]]</f>
        <v>480000</v>
      </c>
      <c r="P376" s="3">
        <f>Table1[[#This Row],[Revenue]]-Table1[[#This Row],[COGS]]</f>
        <v>120000</v>
      </c>
      <c r="Q376" s="1">
        <v>375</v>
      </c>
    </row>
    <row r="377" spans="1:17">
      <c r="A377" t="s">
        <v>124</v>
      </c>
      <c r="B377" t="str">
        <f>TEXT(Table1[[#This Row],[Date]],"MMMM")</f>
        <v>February</v>
      </c>
      <c r="C377" t="str">
        <f>TEXT(Table1[[#This Row],[Date]],"DDDD")</f>
        <v>Monday</v>
      </c>
      <c r="D377" t="s">
        <v>44</v>
      </c>
      <c r="E377" t="s">
        <v>36</v>
      </c>
      <c r="F377" t="s">
        <v>41</v>
      </c>
      <c r="G377" t="s">
        <v>37</v>
      </c>
      <c r="H377" t="s">
        <v>50</v>
      </c>
      <c r="I377" t="s">
        <v>51</v>
      </c>
      <c r="J377" s="3">
        <v>300000</v>
      </c>
      <c r="K377">
        <v>1</v>
      </c>
      <c r="L377" t="s">
        <v>65</v>
      </c>
      <c r="M377" s="3">
        <v>240000</v>
      </c>
      <c r="N377" s="3">
        <f>Table1[[#This Row],[Unit Price]]*Table1[[#This Row],[Quantity]]</f>
        <v>300000</v>
      </c>
      <c r="O377" s="3">
        <f>Table1[[#This Row],[Cost Price]]*Table1[[#This Row],[Quantity]]</f>
        <v>240000</v>
      </c>
      <c r="P377" s="3">
        <f>Table1[[#This Row],[Revenue]]-Table1[[#This Row],[COGS]]</f>
        <v>60000</v>
      </c>
      <c r="Q377" s="1">
        <v>376</v>
      </c>
    </row>
    <row r="378" spans="1:17">
      <c r="A378" t="s">
        <v>153</v>
      </c>
      <c r="B378" t="str">
        <f>TEXT(Table1[[#This Row],[Date]],"MMMM")</f>
        <v>March</v>
      </c>
      <c r="C378" t="str">
        <f>TEXT(Table1[[#This Row],[Date]],"DDDD")</f>
        <v>Tuesday</v>
      </c>
      <c r="D378" t="s">
        <v>27</v>
      </c>
      <c r="E378" t="s">
        <v>36</v>
      </c>
      <c r="F378" t="s">
        <v>41</v>
      </c>
      <c r="G378" t="s">
        <v>30</v>
      </c>
      <c r="H378" t="s">
        <v>54</v>
      </c>
      <c r="I378" t="s">
        <v>39</v>
      </c>
      <c r="J378" s="3">
        <v>180000</v>
      </c>
      <c r="K378">
        <v>1</v>
      </c>
      <c r="L378" t="s">
        <v>42</v>
      </c>
      <c r="M378" s="3">
        <v>144000</v>
      </c>
      <c r="N378" s="3">
        <f>Table1[[#This Row],[Unit Price]]*Table1[[#This Row],[Quantity]]</f>
        <v>180000</v>
      </c>
      <c r="O378" s="3">
        <f>Table1[[#This Row],[Cost Price]]*Table1[[#This Row],[Quantity]]</f>
        <v>144000</v>
      </c>
      <c r="P378" s="3">
        <f>Table1[[#This Row],[Revenue]]-Table1[[#This Row],[COGS]]</f>
        <v>36000</v>
      </c>
      <c r="Q378" s="1">
        <v>377</v>
      </c>
    </row>
    <row r="379" spans="1:17">
      <c r="A379" t="s">
        <v>134</v>
      </c>
      <c r="B379" t="str">
        <f>TEXT(Table1[[#This Row],[Date]],"MMMM")</f>
        <v>January</v>
      </c>
      <c r="C379" t="str">
        <f>TEXT(Table1[[#This Row],[Date]],"DDDD")</f>
        <v>Wednesday</v>
      </c>
      <c r="D379" t="s">
        <v>35</v>
      </c>
      <c r="E379" t="s">
        <v>36</v>
      </c>
      <c r="F379" t="s">
        <v>29</v>
      </c>
      <c r="G379" t="s">
        <v>37</v>
      </c>
      <c r="H379" t="s">
        <v>73</v>
      </c>
      <c r="I379" t="s">
        <v>39</v>
      </c>
      <c r="J379" s="3">
        <v>220000</v>
      </c>
      <c r="K379">
        <v>8</v>
      </c>
      <c r="L379" t="s">
        <v>65</v>
      </c>
      <c r="M379" s="3">
        <v>176000</v>
      </c>
      <c r="N379" s="3">
        <f>Table1[[#This Row],[Unit Price]]*Table1[[#This Row],[Quantity]]</f>
        <v>1760000</v>
      </c>
      <c r="O379" s="3">
        <f>Table1[[#This Row],[Cost Price]]*Table1[[#This Row],[Quantity]]</f>
        <v>1408000</v>
      </c>
      <c r="P379" s="3">
        <f>Table1[[#This Row],[Revenue]]-Table1[[#This Row],[COGS]]</f>
        <v>352000</v>
      </c>
      <c r="Q379" s="1">
        <v>378</v>
      </c>
    </row>
    <row r="380" spans="1:17">
      <c r="A380" t="s">
        <v>136</v>
      </c>
      <c r="B380" t="str">
        <f>TEXT(Table1[[#This Row],[Date]],"MMMM")</f>
        <v>February</v>
      </c>
      <c r="C380" t="str">
        <f>TEXT(Table1[[#This Row],[Date]],"DDDD")</f>
        <v>Saturday</v>
      </c>
      <c r="D380" t="s">
        <v>49</v>
      </c>
      <c r="E380" t="s">
        <v>36</v>
      </c>
      <c r="F380" t="s">
        <v>41</v>
      </c>
      <c r="G380" t="s">
        <v>37</v>
      </c>
      <c r="H380" t="s">
        <v>31</v>
      </c>
      <c r="I380" t="s">
        <v>32</v>
      </c>
      <c r="J380" s="3">
        <v>85000</v>
      </c>
      <c r="K380">
        <v>7</v>
      </c>
      <c r="L380" t="s">
        <v>47</v>
      </c>
      <c r="M380" s="3">
        <v>68000</v>
      </c>
      <c r="N380" s="3">
        <f>Table1[[#This Row],[Unit Price]]*Table1[[#This Row],[Quantity]]</f>
        <v>595000</v>
      </c>
      <c r="O380" s="3">
        <f>Table1[[#This Row],[Cost Price]]*Table1[[#This Row],[Quantity]]</f>
        <v>476000</v>
      </c>
      <c r="P380" s="3">
        <f>Table1[[#This Row],[Revenue]]-Table1[[#This Row],[COGS]]</f>
        <v>119000</v>
      </c>
      <c r="Q380" s="1">
        <v>379</v>
      </c>
    </row>
    <row r="381" spans="1:17">
      <c r="A381" t="s">
        <v>80</v>
      </c>
      <c r="B381" t="str">
        <f>TEXT(Table1[[#This Row],[Date]],"MMMM")</f>
        <v>February</v>
      </c>
      <c r="C381" t="str">
        <f>TEXT(Table1[[#This Row],[Date]],"DDDD")</f>
        <v>Sunday</v>
      </c>
      <c r="D381" t="s">
        <v>27</v>
      </c>
      <c r="E381" t="s">
        <v>28</v>
      </c>
      <c r="F381" t="s">
        <v>29</v>
      </c>
      <c r="G381" t="s">
        <v>37</v>
      </c>
      <c r="H381" t="s">
        <v>54</v>
      </c>
      <c r="I381" t="s">
        <v>39</v>
      </c>
      <c r="J381" s="3">
        <v>180000</v>
      </c>
      <c r="K381">
        <v>9</v>
      </c>
      <c r="L381" t="s">
        <v>69</v>
      </c>
      <c r="M381" s="3">
        <v>144000</v>
      </c>
      <c r="N381" s="3">
        <f>Table1[[#This Row],[Unit Price]]*Table1[[#This Row],[Quantity]]</f>
        <v>1620000</v>
      </c>
      <c r="O381" s="3">
        <f>Table1[[#This Row],[Cost Price]]*Table1[[#This Row],[Quantity]]</f>
        <v>1296000</v>
      </c>
      <c r="P381" s="3">
        <f>Table1[[#This Row],[Revenue]]-Table1[[#This Row],[COGS]]</f>
        <v>324000</v>
      </c>
      <c r="Q381" s="1">
        <v>380</v>
      </c>
    </row>
    <row r="382" spans="1:17">
      <c r="A382" t="s">
        <v>88</v>
      </c>
      <c r="B382" t="str">
        <f>TEXT(Table1[[#This Row],[Date]],"MMMM")</f>
        <v>February</v>
      </c>
      <c r="C382" t="str">
        <f>TEXT(Table1[[#This Row],[Date]],"DDDD")</f>
        <v>Monday</v>
      </c>
      <c r="D382" t="s">
        <v>49</v>
      </c>
      <c r="E382" t="s">
        <v>28</v>
      </c>
      <c r="F382" t="s">
        <v>41</v>
      </c>
      <c r="G382" t="s">
        <v>30</v>
      </c>
      <c r="H382" t="s">
        <v>56</v>
      </c>
      <c r="I382" t="s">
        <v>32</v>
      </c>
      <c r="J382" s="3">
        <v>320000</v>
      </c>
      <c r="K382">
        <v>3</v>
      </c>
      <c r="L382" t="s">
        <v>58</v>
      </c>
      <c r="M382" s="3">
        <v>256000</v>
      </c>
      <c r="N382" s="3">
        <f>Table1[[#This Row],[Unit Price]]*Table1[[#This Row],[Quantity]]</f>
        <v>960000</v>
      </c>
      <c r="O382" s="3">
        <f>Table1[[#This Row],[Cost Price]]*Table1[[#This Row],[Quantity]]</f>
        <v>768000</v>
      </c>
      <c r="P382" s="3">
        <f>Table1[[#This Row],[Revenue]]-Table1[[#This Row],[COGS]]</f>
        <v>192000</v>
      </c>
      <c r="Q382" s="1">
        <v>381</v>
      </c>
    </row>
    <row r="383" spans="1:17">
      <c r="A383" t="s">
        <v>157</v>
      </c>
      <c r="B383" t="str">
        <f>TEXT(Table1[[#This Row],[Date]],"MMMM")</f>
        <v>April</v>
      </c>
      <c r="C383" t="str">
        <f>TEXT(Table1[[#This Row],[Date]],"DDDD")</f>
        <v>Tuesday</v>
      </c>
      <c r="D383" t="s">
        <v>49</v>
      </c>
      <c r="E383" t="s">
        <v>28</v>
      </c>
      <c r="F383" t="s">
        <v>41</v>
      </c>
      <c r="G383" t="s">
        <v>30</v>
      </c>
      <c r="H383" t="s">
        <v>62</v>
      </c>
      <c r="I383" t="s">
        <v>51</v>
      </c>
      <c r="J383" s="3">
        <v>150000</v>
      </c>
      <c r="K383">
        <v>4</v>
      </c>
      <c r="L383" t="s">
        <v>33</v>
      </c>
      <c r="M383" s="3">
        <v>120000</v>
      </c>
      <c r="N383" s="3">
        <f>Table1[[#This Row],[Unit Price]]*Table1[[#This Row],[Quantity]]</f>
        <v>600000</v>
      </c>
      <c r="O383" s="3">
        <f>Table1[[#This Row],[Cost Price]]*Table1[[#This Row],[Quantity]]</f>
        <v>480000</v>
      </c>
      <c r="P383" s="3">
        <f>Table1[[#This Row],[Revenue]]-Table1[[#This Row],[COGS]]</f>
        <v>120000</v>
      </c>
      <c r="Q383" s="1">
        <v>382</v>
      </c>
    </row>
    <row r="384" spans="1:17">
      <c r="A384" t="s">
        <v>137</v>
      </c>
      <c r="B384" t="str">
        <f>TEXT(Table1[[#This Row],[Date]],"MMMM")</f>
        <v>April</v>
      </c>
      <c r="C384" t="str">
        <f>TEXT(Table1[[#This Row],[Date]],"DDDD")</f>
        <v>Wednesday</v>
      </c>
      <c r="D384" t="s">
        <v>35</v>
      </c>
      <c r="E384" t="s">
        <v>36</v>
      </c>
      <c r="F384" t="s">
        <v>29</v>
      </c>
      <c r="G384" t="s">
        <v>30</v>
      </c>
      <c r="H384" t="s">
        <v>73</v>
      </c>
      <c r="I384" t="s">
        <v>39</v>
      </c>
      <c r="J384" s="3">
        <v>220000</v>
      </c>
      <c r="K384">
        <v>10</v>
      </c>
      <c r="L384" t="s">
        <v>69</v>
      </c>
      <c r="M384" s="3">
        <v>176000</v>
      </c>
      <c r="N384" s="3">
        <f>Table1[[#This Row],[Unit Price]]*Table1[[#This Row],[Quantity]]</f>
        <v>2200000</v>
      </c>
      <c r="O384" s="3">
        <f>Table1[[#This Row],[Cost Price]]*Table1[[#This Row],[Quantity]]</f>
        <v>1760000</v>
      </c>
      <c r="P384" s="3">
        <f>Table1[[#This Row],[Revenue]]-Table1[[#This Row],[COGS]]</f>
        <v>440000</v>
      </c>
      <c r="Q384" s="1">
        <v>383</v>
      </c>
    </row>
    <row r="385" spans="1:17">
      <c r="A385" t="s">
        <v>154</v>
      </c>
      <c r="B385" t="str">
        <f>TEXT(Table1[[#This Row],[Date]],"MMMM")</f>
        <v>February</v>
      </c>
      <c r="C385" t="str">
        <f>TEXT(Table1[[#This Row],[Date]],"DDDD")</f>
        <v>Saturday</v>
      </c>
      <c r="D385" t="s">
        <v>44</v>
      </c>
      <c r="E385" t="s">
        <v>28</v>
      </c>
      <c r="F385" t="s">
        <v>41</v>
      </c>
      <c r="G385" t="s">
        <v>30</v>
      </c>
      <c r="H385" t="s">
        <v>62</v>
      </c>
      <c r="I385" t="s">
        <v>51</v>
      </c>
      <c r="J385" s="3">
        <v>150000</v>
      </c>
      <c r="K385">
        <v>6</v>
      </c>
      <c r="L385" t="s">
        <v>33</v>
      </c>
      <c r="M385" s="3">
        <v>120000</v>
      </c>
      <c r="N385" s="3">
        <f>Table1[[#This Row],[Unit Price]]*Table1[[#This Row],[Quantity]]</f>
        <v>900000</v>
      </c>
      <c r="O385" s="3">
        <f>Table1[[#This Row],[Cost Price]]*Table1[[#This Row],[Quantity]]</f>
        <v>720000</v>
      </c>
      <c r="P385" s="3">
        <f>Table1[[#This Row],[Revenue]]-Table1[[#This Row],[COGS]]</f>
        <v>180000</v>
      </c>
      <c r="Q385" s="1">
        <v>384</v>
      </c>
    </row>
    <row r="386" spans="1:17">
      <c r="A386" t="s">
        <v>117</v>
      </c>
      <c r="B386" t="str">
        <f>TEXT(Table1[[#This Row],[Date]],"MMMM")</f>
        <v>January</v>
      </c>
      <c r="C386" t="str">
        <f>TEXT(Table1[[#This Row],[Date]],"DDDD")</f>
        <v>Wednesday</v>
      </c>
      <c r="D386" t="s">
        <v>27</v>
      </c>
      <c r="E386" t="s">
        <v>36</v>
      </c>
      <c r="F386" t="s">
        <v>41</v>
      </c>
      <c r="G386" t="s">
        <v>37</v>
      </c>
      <c r="H386" t="s">
        <v>54</v>
      </c>
      <c r="I386" t="s">
        <v>39</v>
      </c>
      <c r="J386" s="3">
        <v>180000</v>
      </c>
      <c r="K386">
        <v>1</v>
      </c>
      <c r="L386" t="s">
        <v>47</v>
      </c>
      <c r="M386" s="3">
        <v>144000</v>
      </c>
      <c r="N386" s="3">
        <f>Table1[[#This Row],[Unit Price]]*Table1[[#This Row],[Quantity]]</f>
        <v>180000</v>
      </c>
      <c r="O386" s="3">
        <f>Table1[[#This Row],[Cost Price]]*Table1[[#This Row],[Quantity]]</f>
        <v>144000</v>
      </c>
      <c r="P386" s="3">
        <f>Table1[[#This Row],[Revenue]]-Table1[[#This Row],[COGS]]</f>
        <v>36000</v>
      </c>
      <c r="Q386" s="1">
        <v>385</v>
      </c>
    </row>
    <row r="387" spans="1:17">
      <c r="A387" t="s">
        <v>113</v>
      </c>
      <c r="B387" t="str">
        <f>TEXT(Table1[[#This Row],[Date]],"MMMM")</f>
        <v>April</v>
      </c>
      <c r="C387" t="str">
        <f>TEXT(Table1[[#This Row],[Date]],"DDDD")</f>
        <v>Monday</v>
      </c>
      <c r="D387" t="s">
        <v>35</v>
      </c>
      <c r="E387" t="s">
        <v>45</v>
      </c>
      <c r="F387" t="s">
        <v>29</v>
      </c>
      <c r="G387" t="s">
        <v>30</v>
      </c>
      <c r="H387" t="s">
        <v>38</v>
      </c>
      <c r="I387" t="s">
        <v>39</v>
      </c>
      <c r="J387" s="3">
        <v>30000</v>
      </c>
      <c r="K387">
        <v>2</v>
      </c>
      <c r="L387" t="s">
        <v>58</v>
      </c>
      <c r="M387" s="3">
        <v>24000</v>
      </c>
      <c r="N387" s="3">
        <f>Table1[[#This Row],[Unit Price]]*Table1[[#This Row],[Quantity]]</f>
        <v>60000</v>
      </c>
      <c r="O387" s="3">
        <f>Table1[[#This Row],[Cost Price]]*Table1[[#This Row],[Quantity]]</f>
        <v>48000</v>
      </c>
      <c r="P387" s="3">
        <f>Table1[[#This Row],[Revenue]]-Table1[[#This Row],[COGS]]</f>
        <v>12000</v>
      </c>
      <c r="Q387" s="1">
        <v>386</v>
      </c>
    </row>
    <row r="388" spans="1:17">
      <c r="A388" t="s">
        <v>82</v>
      </c>
      <c r="B388" t="str">
        <f>TEXT(Table1[[#This Row],[Date]],"MMMM")</f>
        <v>March</v>
      </c>
      <c r="C388" t="str">
        <f>TEXT(Table1[[#This Row],[Date]],"DDDD")</f>
        <v>Saturday</v>
      </c>
      <c r="D388" t="s">
        <v>49</v>
      </c>
      <c r="E388" t="s">
        <v>53</v>
      </c>
      <c r="F388" t="s">
        <v>41</v>
      </c>
      <c r="G388" t="s">
        <v>30</v>
      </c>
      <c r="H388" t="s">
        <v>56</v>
      </c>
      <c r="I388" t="s">
        <v>32</v>
      </c>
      <c r="J388" s="3">
        <v>320000</v>
      </c>
      <c r="K388">
        <v>7</v>
      </c>
      <c r="L388" t="s">
        <v>33</v>
      </c>
      <c r="M388" s="3">
        <v>256000</v>
      </c>
      <c r="N388" s="3">
        <f>Table1[[#This Row],[Unit Price]]*Table1[[#This Row],[Quantity]]</f>
        <v>2240000</v>
      </c>
      <c r="O388" s="3">
        <f>Table1[[#This Row],[Cost Price]]*Table1[[#This Row],[Quantity]]</f>
        <v>1792000</v>
      </c>
      <c r="P388" s="3">
        <f>Table1[[#This Row],[Revenue]]-Table1[[#This Row],[COGS]]</f>
        <v>448000</v>
      </c>
      <c r="Q388" s="1">
        <v>387</v>
      </c>
    </row>
    <row r="389" spans="1:17">
      <c r="A389" t="s">
        <v>144</v>
      </c>
      <c r="B389" t="str">
        <f>TEXT(Table1[[#This Row],[Date]],"MMMM")</f>
        <v>February</v>
      </c>
      <c r="C389" t="str">
        <f>TEXT(Table1[[#This Row],[Date]],"DDDD")</f>
        <v>Friday</v>
      </c>
      <c r="D389" t="s">
        <v>49</v>
      </c>
      <c r="E389" t="s">
        <v>45</v>
      </c>
      <c r="F389" t="s">
        <v>29</v>
      </c>
      <c r="G389" t="s">
        <v>37</v>
      </c>
      <c r="H389" t="s">
        <v>31</v>
      </c>
      <c r="I389" t="s">
        <v>32</v>
      </c>
      <c r="J389" s="3">
        <v>85000</v>
      </c>
      <c r="K389">
        <v>10</v>
      </c>
      <c r="L389" t="s">
        <v>42</v>
      </c>
      <c r="M389" s="3">
        <v>68000</v>
      </c>
      <c r="N389" s="3">
        <f>Table1[[#This Row],[Unit Price]]*Table1[[#This Row],[Quantity]]</f>
        <v>850000</v>
      </c>
      <c r="O389" s="3">
        <f>Table1[[#This Row],[Cost Price]]*Table1[[#This Row],[Quantity]]</f>
        <v>680000</v>
      </c>
      <c r="P389" s="3">
        <f>Table1[[#This Row],[Revenue]]-Table1[[#This Row],[COGS]]</f>
        <v>170000</v>
      </c>
      <c r="Q389" s="1">
        <v>388</v>
      </c>
    </row>
    <row r="390" spans="1:17">
      <c r="A390" t="s">
        <v>132</v>
      </c>
      <c r="B390" t="str">
        <f>TEXT(Table1[[#This Row],[Date]],"MMMM")</f>
        <v>April</v>
      </c>
      <c r="C390" t="str">
        <f>TEXT(Table1[[#This Row],[Date]],"DDDD")</f>
        <v>Saturday</v>
      </c>
      <c r="D390" t="s">
        <v>35</v>
      </c>
      <c r="E390" t="s">
        <v>28</v>
      </c>
      <c r="F390" t="s">
        <v>41</v>
      </c>
      <c r="G390" t="s">
        <v>30</v>
      </c>
      <c r="H390" t="s">
        <v>54</v>
      </c>
      <c r="I390" t="s">
        <v>39</v>
      </c>
      <c r="J390" s="3">
        <v>180000</v>
      </c>
      <c r="K390">
        <v>7</v>
      </c>
      <c r="L390" t="s">
        <v>47</v>
      </c>
      <c r="M390" s="3">
        <v>144000</v>
      </c>
      <c r="N390" s="3">
        <f>Table1[[#This Row],[Unit Price]]*Table1[[#This Row],[Quantity]]</f>
        <v>1260000</v>
      </c>
      <c r="O390" s="3">
        <f>Table1[[#This Row],[Cost Price]]*Table1[[#This Row],[Quantity]]</f>
        <v>1008000</v>
      </c>
      <c r="P390" s="3">
        <f>Table1[[#This Row],[Revenue]]-Table1[[#This Row],[COGS]]</f>
        <v>252000</v>
      </c>
      <c r="Q390" s="1">
        <v>389</v>
      </c>
    </row>
    <row r="391" spans="1:17">
      <c r="A391" t="s">
        <v>59</v>
      </c>
      <c r="B391" t="str">
        <f>TEXT(Table1[[#This Row],[Date]],"MMMM")</f>
        <v>March</v>
      </c>
      <c r="C391" t="str">
        <f>TEXT(Table1[[#This Row],[Date]],"DDDD")</f>
        <v>Monday</v>
      </c>
      <c r="D391" t="s">
        <v>44</v>
      </c>
      <c r="E391" t="s">
        <v>36</v>
      </c>
      <c r="F391" t="s">
        <v>29</v>
      </c>
      <c r="G391" t="s">
        <v>30</v>
      </c>
      <c r="H391" t="s">
        <v>67</v>
      </c>
      <c r="I391" t="s">
        <v>51</v>
      </c>
      <c r="J391" s="3">
        <v>420000</v>
      </c>
      <c r="K391">
        <v>5</v>
      </c>
      <c r="L391" t="s">
        <v>58</v>
      </c>
      <c r="M391" s="3">
        <v>336000</v>
      </c>
      <c r="N391" s="3">
        <f>Table1[[#This Row],[Unit Price]]*Table1[[#This Row],[Quantity]]</f>
        <v>2100000</v>
      </c>
      <c r="O391" s="3">
        <f>Table1[[#This Row],[Cost Price]]*Table1[[#This Row],[Quantity]]</f>
        <v>1680000</v>
      </c>
      <c r="P391" s="3">
        <f>Table1[[#This Row],[Revenue]]-Table1[[#This Row],[COGS]]</f>
        <v>420000</v>
      </c>
      <c r="Q391" s="1">
        <v>390</v>
      </c>
    </row>
    <row r="392" spans="1:17">
      <c r="A392" t="s">
        <v>77</v>
      </c>
      <c r="B392" t="str">
        <f>TEXT(Table1[[#This Row],[Date]],"MMMM")</f>
        <v>April</v>
      </c>
      <c r="C392" t="str">
        <f>TEXT(Table1[[#This Row],[Date]],"DDDD")</f>
        <v>Friday</v>
      </c>
      <c r="D392" t="s">
        <v>44</v>
      </c>
      <c r="E392" t="s">
        <v>53</v>
      </c>
      <c r="F392" t="s">
        <v>41</v>
      </c>
      <c r="G392" t="s">
        <v>37</v>
      </c>
      <c r="H392" t="s">
        <v>56</v>
      </c>
      <c r="I392" t="s">
        <v>32</v>
      </c>
      <c r="J392" s="3">
        <v>320000</v>
      </c>
      <c r="K392">
        <v>8</v>
      </c>
      <c r="L392" t="s">
        <v>42</v>
      </c>
      <c r="M392" s="3">
        <v>256000</v>
      </c>
      <c r="N392" s="3">
        <f>Table1[[#This Row],[Unit Price]]*Table1[[#This Row],[Quantity]]</f>
        <v>2560000</v>
      </c>
      <c r="O392" s="3">
        <f>Table1[[#This Row],[Cost Price]]*Table1[[#This Row],[Quantity]]</f>
        <v>2048000</v>
      </c>
      <c r="P392" s="3">
        <f>Table1[[#This Row],[Revenue]]-Table1[[#This Row],[COGS]]</f>
        <v>512000</v>
      </c>
      <c r="Q392" s="1">
        <v>391</v>
      </c>
    </row>
    <row r="393" spans="1:17">
      <c r="A393" t="s">
        <v>151</v>
      </c>
      <c r="B393" t="str">
        <f>TEXT(Table1[[#This Row],[Date]],"MMMM")</f>
        <v>February</v>
      </c>
      <c r="C393" t="str">
        <f>TEXT(Table1[[#This Row],[Date]],"DDDD")</f>
        <v>Tuesday</v>
      </c>
      <c r="D393" t="s">
        <v>35</v>
      </c>
      <c r="E393" t="s">
        <v>45</v>
      </c>
      <c r="F393" t="s">
        <v>41</v>
      </c>
      <c r="G393" t="s">
        <v>37</v>
      </c>
      <c r="H393" t="s">
        <v>54</v>
      </c>
      <c r="I393" t="s">
        <v>39</v>
      </c>
      <c r="J393" s="3">
        <v>180000</v>
      </c>
      <c r="K393">
        <v>5</v>
      </c>
      <c r="L393" t="s">
        <v>47</v>
      </c>
      <c r="M393" s="3">
        <v>144000</v>
      </c>
      <c r="N393" s="3">
        <f>Table1[[#This Row],[Unit Price]]*Table1[[#This Row],[Quantity]]</f>
        <v>900000</v>
      </c>
      <c r="O393" s="3">
        <f>Table1[[#This Row],[Cost Price]]*Table1[[#This Row],[Quantity]]</f>
        <v>720000</v>
      </c>
      <c r="P393" s="3">
        <f>Table1[[#This Row],[Revenue]]-Table1[[#This Row],[COGS]]</f>
        <v>180000</v>
      </c>
      <c r="Q393" s="1">
        <v>392</v>
      </c>
    </row>
    <row r="394" spans="1:17">
      <c r="A394" t="s">
        <v>135</v>
      </c>
      <c r="B394" t="str">
        <f>TEXT(Table1[[#This Row],[Date]],"MMMM")</f>
        <v>March</v>
      </c>
      <c r="C394" t="str">
        <f>TEXT(Table1[[#This Row],[Date]],"DDDD")</f>
        <v>Sunday</v>
      </c>
      <c r="D394" t="s">
        <v>49</v>
      </c>
      <c r="E394" t="s">
        <v>28</v>
      </c>
      <c r="F394" t="s">
        <v>41</v>
      </c>
      <c r="G394" t="s">
        <v>37</v>
      </c>
      <c r="H394" t="s">
        <v>67</v>
      </c>
      <c r="I394" t="s">
        <v>51</v>
      </c>
      <c r="J394" s="3">
        <v>420000</v>
      </c>
      <c r="K394">
        <v>2</v>
      </c>
      <c r="L394" t="s">
        <v>33</v>
      </c>
      <c r="M394" s="3">
        <v>336000</v>
      </c>
      <c r="N394" s="3">
        <f>Table1[[#This Row],[Unit Price]]*Table1[[#This Row],[Quantity]]</f>
        <v>840000</v>
      </c>
      <c r="O394" s="3">
        <f>Table1[[#This Row],[Cost Price]]*Table1[[#This Row],[Quantity]]</f>
        <v>672000</v>
      </c>
      <c r="P394" s="3">
        <f>Table1[[#This Row],[Revenue]]-Table1[[#This Row],[COGS]]</f>
        <v>168000</v>
      </c>
      <c r="Q394" s="1">
        <v>393</v>
      </c>
    </row>
    <row r="395" spans="1:17">
      <c r="A395" t="s">
        <v>105</v>
      </c>
      <c r="B395" t="str">
        <f>TEXT(Table1[[#This Row],[Date]],"MMMM")</f>
        <v>March</v>
      </c>
      <c r="C395" t="str">
        <f>TEXT(Table1[[#This Row],[Date]],"DDDD")</f>
        <v>Friday</v>
      </c>
      <c r="D395" t="s">
        <v>49</v>
      </c>
      <c r="E395" t="s">
        <v>45</v>
      </c>
      <c r="F395" t="s">
        <v>29</v>
      </c>
      <c r="G395" t="s">
        <v>30</v>
      </c>
      <c r="H395" t="s">
        <v>50</v>
      </c>
      <c r="I395" t="s">
        <v>51</v>
      </c>
      <c r="J395" s="3">
        <v>300000</v>
      </c>
      <c r="K395">
        <v>8</v>
      </c>
      <c r="L395" t="s">
        <v>42</v>
      </c>
      <c r="M395" s="3">
        <v>240000</v>
      </c>
      <c r="N395" s="3">
        <f>Table1[[#This Row],[Unit Price]]*Table1[[#This Row],[Quantity]]</f>
        <v>2400000</v>
      </c>
      <c r="O395" s="3">
        <f>Table1[[#This Row],[Cost Price]]*Table1[[#This Row],[Quantity]]</f>
        <v>1920000</v>
      </c>
      <c r="P395" s="3">
        <f>Table1[[#This Row],[Revenue]]-Table1[[#This Row],[COGS]]</f>
        <v>480000</v>
      </c>
      <c r="Q395" s="1">
        <v>394</v>
      </c>
    </row>
    <row r="396" spans="1:17">
      <c r="A396" t="s">
        <v>101</v>
      </c>
      <c r="B396" t="str">
        <f>TEXT(Table1[[#This Row],[Date]],"MMMM")</f>
        <v>January</v>
      </c>
      <c r="C396" t="str">
        <f>TEXT(Table1[[#This Row],[Date]],"DDDD")</f>
        <v>Thursday</v>
      </c>
      <c r="D396" t="s">
        <v>35</v>
      </c>
      <c r="E396" t="s">
        <v>45</v>
      </c>
      <c r="F396" t="s">
        <v>29</v>
      </c>
      <c r="G396" t="s">
        <v>30</v>
      </c>
      <c r="H396" t="s">
        <v>56</v>
      </c>
      <c r="I396" t="s">
        <v>32</v>
      </c>
      <c r="J396" s="3">
        <v>320000</v>
      </c>
      <c r="K396">
        <v>1</v>
      </c>
      <c r="L396" t="s">
        <v>42</v>
      </c>
      <c r="M396" s="3">
        <v>256000</v>
      </c>
      <c r="N396" s="3">
        <f>Table1[[#This Row],[Unit Price]]*Table1[[#This Row],[Quantity]]</f>
        <v>320000</v>
      </c>
      <c r="O396" s="3">
        <f>Table1[[#This Row],[Cost Price]]*Table1[[#This Row],[Quantity]]</f>
        <v>256000</v>
      </c>
      <c r="P396" s="3">
        <f>Table1[[#This Row],[Revenue]]-Table1[[#This Row],[COGS]]</f>
        <v>64000</v>
      </c>
      <c r="Q396" s="1">
        <v>395</v>
      </c>
    </row>
    <row r="397" spans="1:17">
      <c r="A397" t="s">
        <v>98</v>
      </c>
      <c r="B397" t="str">
        <f>TEXT(Table1[[#This Row],[Date]],"MMMM")</f>
        <v>January</v>
      </c>
      <c r="C397" t="str">
        <f>TEXT(Table1[[#This Row],[Date]],"DDDD")</f>
        <v>Friday</v>
      </c>
      <c r="D397" t="s">
        <v>35</v>
      </c>
      <c r="E397" t="s">
        <v>45</v>
      </c>
      <c r="F397" t="s">
        <v>29</v>
      </c>
      <c r="G397" t="s">
        <v>30</v>
      </c>
      <c r="H397" t="s">
        <v>67</v>
      </c>
      <c r="I397" t="s">
        <v>51</v>
      </c>
      <c r="J397" s="3">
        <v>420000</v>
      </c>
      <c r="K397">
        <v>9</v>
      </c>
      <c r="L397" t="s">
        <v>33</v>
      </c>
      <c r="M397" s="3">
        <v>336000</v>
      </c>
      <c r="N397" s="3">
        <f>Table1[[#This Row],[Unit Price]]*Table1[[#This Row],[Quantity]]</f>
        <v>3780000</v>
      </c>
      <c r="O397" s="3">
        <f>Table1[[#This Row],[Cost Price]]*Table1[[#This Row],[Quantity]]</f>
        <v>3024000</v>
      </c>
      <c r="P397" s="3">
        <f>Table1[[#This Row],[Revenue]]-Table1[[#This Row],[COGS]]</f>
        <v>756000</v>
      </c>
      <c r="Q397" s="1">
        <v>396</v>
      </c>
    </row>
    <row r="398" spans="1:17">
      <c r="A398" t="s">
        <v>112</v>
      </c>
      <c r="B398" t="str">
        <f>TEXT(Table1[[#This Row],[Date]],"MMMM")</f>
        <v>February</v>
      </c>
      <c r="C398" t="str">
        <f>TEXT(Table1[[#This Row],[Date]],"DDDD")</f>
        <v>Monday</v>
      </c>
      <c r="D398" t="s">
        <v>35</v>
      </c>
      <c r="E398" t="s">
        <v>53</v>
      </c>
      <c r="F398" t="s">
        <v>41</v>
      </c>
      <c r="G398" t="s">
        <v>37</v>
      </c>
      <c r="H398" t="s">
        <v>31</v>
      </c>
      <c r="I398" t="s">
        <v>32</v>
      </c>
      <c r="J398" s="3">
        <v>85000</v>
      </c>
      <c r="K398">
        <v>8</v>
      </c>
      <c r="L398" t="s">
        <v>69</v>
      </c>
      <c r="M398" s="3">
        <v>68000</v>
      </c>
      <c r="N398" s="3">
        <f>Table1[[#This Row],[Unit Price]]*Table1[[#This Row],[Quantity]]</f>
        <v>680000</v>
      </c>
      <c r="O398" s="3">
        <f>Table1[[#This Row],[Cost Price]]*Table1[[#This Row],[Quantity]]</f>
        <v>544000</v>
      </c>
      <c r="P398" s="3">
        <f>Table1[[#This Row],[Revenue]]-Table1[[#This Row],[COGS]]</f>
        <v>136000</v>
      </c>
      <c r="Q398" s="1">
        <v>397</v>
      </c>
    </row>
    <row r="399" spans="1:17">
      <c r="A399" t="s">
        <v>88</v>
      </c>
      <c r="B399" t="str">
        <f>TEXT(Table1[[#This Row],[Date]],"MMMM")</f>
        <v>February</v>
      </c>
      <c r="C399" t="str">
        <f>TEXT(Table1[[#This Row],[Date]],"DDDD")</f>
        <v>Monday</v>
      </c>
      <c r="D399" t="s">
        <v>49</v>
      </c>
      <c r="E399" t="s">
        <v>28</v>
      </c>
      <c r="F399" t="s">
        <v>41</v>
      </c>
      <c r="G399" t="s">
        <v>37</v>
      </c>
      <c r="H399" t="s">
        <v>67</v>
      </c>
      <c r="I399" t="s">
        <v>51</v>
      </c>
      <c r="J399" s="3">
        <v>420000</v>
      </c>
      <c r="K399">
        <v>10</v>
      </c>
      <c r="L399" t="s">
        <v>58</v>
      </c>
      <c r="M399" s="3">
        <v>336000</v>
      </c>
      <c r="N399" s="3">
        <f>Table1[[#This Row],[Unit Price]]*Table1[[#This Row],[Quantity]]</f>
        <v>4200000</v>
      </c>
      <c r="O399" s="3">
        <f>Table1[[#This Row],[Cost Price]]*Table1[[#This Row],[Quantity]]</f>
        <v>3360000</v>
      </c>
      <c r="P399" s="3">
        <f>Table1[[#This Row],[Revenue]]-Table1[[#This Row],[COGS]]</f>
        <v>840000</v>
      </c>
      <c r="Q399" s="1">
        <v>398</v>
      </c>
    </row>
    <row r="400" spans="1:17">
      <c r="A400" t="s">
        <v>125</v>
      </c>
      <c r="B400" t="str">
        <f>TEXT(Table1[[#This Row],[Date]],"MMMM")</f>
        <v>February</v>
      </c>
      <c r="C400" t="str">
        <f>TEXT(Table1[[#This Row],[Date]],"DDDD")</f>
        <v>Tuesday</v>
      </c>
      <c r="D400" t="s">
        <v>35</v>
      </c>
      <c r="E400" t="s">
        <v>28</v>
      </c>
      <c r="F400" t="s">
        <v>29</v>
      </c>
      <c r="G400" t="s">
        <v>37</v>
      </c>
      <c r="H400" t="s">
        <v>71</v>
      </c>
      <c r="I400" t="s">
        <v>51</v>
      </c>
      <c r="J400" s="3">
        <v>250000</v>
      </c>
      <c r="K400">
        <v>1</v>
      </c>
      <c r="L400" t="s">
        <v>58</v>
      </c>
      <c r="M400" s="3">
        <v>200000</v>
      </c>
      <c r="N400" s="3">
        <f>Table1[[#This Row],[Unit Price]]*Table1[[#This Row],[Quantity]]</f>
        <v>250000</v>
      </c>
      <c r="O400" s="3">
        <f>Table1[[#This Row],[Cost Price]]*Table1[[#This Row],[Quantity]]</f>
        <v>200000</v>
      </c>
      <c r="P400" s="3">
        <f>Table1[[#This Row],[Revenue]]-Table1[[#This Row],[COGS]]</f>
        <v>50000</v>
      </c>
      <c r="Q400" s="1">
        <v>399</v>
      </c>
    </row>
    <row r="401" spans="1:17">
      <c r="A401" t="s">
        <v>169</v>
      </c>
      <c r="B401" t="str">
        <f>TEXT(Table1[[#This Row],[Date]],"MMMM")</f>
        <v>February</v>
      </c>
      <c r="C401" t="str">
        <f>TEXT(Table1[[#This Row],[Date]],"DDDD")</f>
        <v>Saturday</v>
      </c>
      <c r="D401" t="s">
        <v>35</v>
      </c>
      <c r="E401" t="s">
        <v>53</v>
      </c>
      <c r="F401" t="s">
        <v>41</v>
      </c>
      <c r="G401" t="s">
        <v>30</v>
      </c>
      <c r="H401" t="s">
        <v>73</v>
      </c>
      <c r="I401" t="s">
        <v>39</v>
      </c>
      <c r="J401" s="3">
        <v>220000</v>
      </c>
      <c r="K401">
        <v>5</v>
      </c>
      <c r="L401" t="s">
        <v>69</v>
      </c>
      <c r="M401" s="3">
        <v>176000</v>
      </c>
      <c r="N401" s="3">
        <f>Table1[[#This Row],[Unit Price]]*Table1[[#This Row],[Quantity]]</f>
        <v>1100000</v>
      </c>
      <c r="O401" s="3">
        <f>Table1[[#This Row],[Cost Price]]*Table1[[#This Row],[Quantity]]</f>
        <v>880000</v>
      </c>
      <c r="P401" s="3">
        <f>Table1[[#This Row],[Revenue]]-Table1[[#This Row],[COGS]]</f>
        <v>220000</v>
      </c>
      <c r="Q401" s="1">
        <v>400</v>
      </c>
    </row>
    <row r="402" spans="1:17">
      <c r="A402" t="s">
        <v>102</v>
      </c>
      <c r="B402" t="str">
        <f>TEXT(Table1[[#This Row],[Date]],"MMMM")</f>
        <v>March</v>
      </c>
      <c r="C402" t="str">
        <f>TEXT(Table1[[#This Row],[Date]],"DDDD")</f>
        <v>Wednesday</v>
      </c>
      <c r="D402" t="s">
        <v>49</v>
      </c>
      <c r="E402" t="s">
        <v>36</v>
      </c>
      <c r="F402" t="s">
        <v>29</v>
      </c>
      <c r="G402" t="s">
        <v>30</v>
      </c>
      <c r="H402" t="s">
        <v>50</v>
      </c>
      <c r="I402" t="s">
        <v>51</v>
      </c>
      <c r="J402" s="3">
        <v>300000</v>
      </c>
      <c r="K402">
        <v>1</v>
      </c>
      <c r="L402" t="s">
        <v>33</v>
      </c>
      <c r="M402" s="3">
        <v>240000</v>
      </c>
      <c r="N402" s="3">
        <f>Table1[[#This Row],[Unit Price]]*Table1[[#This Row],[Quantity]]</f>
        <v>300000</v>
      </c>
      <c r="O402" s="3">
        <f>Table1[[#This Row],[Cost Price]]*Table1[[#This Row],[Quantity]]</f>
        <v>240000</v>
      </c>
      <c r="P402" s="3">
        <f>Table1[[#This Row],[Revenue]]-Table1[[#This Row],[COGS]]</f>
        <v>60000</v>
      </c>
      <c r="Q402" s="1">
        <v>401</v>
      </c>
    </row>
    <row r="403" spans="1:17">
      <c r="A403" t="s">
        <v>79</v>
      </c>
      <c r="B403" t="str">
        <f>TEXT(Table1[[#This Row],[Date]],"MMMM")</f>
        <v>February</v>
      </c>
      <c r="C403" t="str">
        <f>TEXT(Table1[[#This Row],[Date]],"DDDD")</f>
        <v>Wednesday</v>
      </c>
      <c r="D403" t="s">
        <v>49</v>
      </c>
      <c r="E403" t="s">
        <v>45</v>
      </c>
      <c r="F403" t="s">
        <v>41</v>
      </c>
      <c r="G403" t="s">
        <v>37</v>
      </c>
      <c r="H403" t="s">
        <v>46</v>
      </c>
      <c r="I403" t="s">
        <v>39</v>
      </c>
      <c r="J403" s="3">
        <v>60000</v>
      </c>
      <c r="K403">
        <v>6</v>
      </c>
      <c r="L403" t="s">
        <v>65</v>
      </c>
      <c r="M403" s="3">
        <v>48000</v>
      </c>
      <c r="N403" s="3">
        <f>Table1[[#This Row],[Unit Price]]*Table1[[#This Row],[Quantity]]</f>
        <v>360000</v>
      </c>
      <c r="O403" s="3">
        <f>Table1[[#This Row],[Cost Price]]*Table1[[#This Row],[Quantity]]</f>
        <v>288000</v>
      </c>
      <c r="P403" s="3">
        <f>Table1[[#This Row],[Revenue]]-Table1[[#This Row],[COGS]]</f>
        <v>72000</v>
      </c>
      <c r="Q403" s="1">
        <v>402</v>
      </c>
    </row>
    <row r="404" spans="1:17">
      <c r="A404" t="s">
        <v>118</v>
      </c>
      <c r="B404" t="str">
        <f>TEXT(Table1[[#This Row],[Date]],"MMMM")</f>
        <v>March</v>
      </c>
      <c r="C404" t="str">
        <f>TEXT(Table1[[#This Row],[Date]],"DDDD")</f>
        <v>Tuesday</v>
      </c>
      <c r="D404" t="s">
        <v>44</v>
      </c>
      <c r="E404" t="s">
        <v>53</v>
      </c>
      <c r="F404" t="s">
        <v>29</v>
      </c>
      <c r="G404" t="s">
        <v>30</v>
      </c>
      <c r="H404" t="s">
        <v>46</v>
      </c>
      <c r="I404" t="s">
        <v>39</v>
      </c>
      <c r="J404" s="3">
        <v>60000</v>
      </c>
      <c r="K404">
        <v>8</v>
      </c>
      <c r="L404" t="s">
        <v>42</v>
      </c>
      <c r="M404" s="3">
        <v>48000</v>
      </c>
      <c r="N404" s="3">
        <f>Table1[[#This Row],[Unit Price]]*Table1[[#This Row],[Quantity]]</f>
        <v>480000</v>
      </c>
      <c r="O404" s="3">
        <f>Table1[[#This Row],[Cost Price]]*Table1[[#This Row],[Quantity]]</f>
        <v>384000</v>
      </c>
      <c r="P404" s="3">
        <f>Table1[[#This Row],[Revenue]]-Table1[[#This Row],[COGS]]</f>
        <v>96000</v>
      </c>
      <c r="Q404" s="1">
        <v>403</v>
      </c>
    </row>
    <row r="405" spans="1:17">
      <c r="A405" t="s">
        <v>143</v>
      </c>
      <c r="B405" t="str">
        <f>TEXT(Table1[[#This Row],[Date]],"MMMM")</f>
        <v>April</v>
      </c>
      <c r="C405" t="str">
        <f>TEXT(Table1[[#This Row],[Date]],"DDDD")</f>
        <v>Thursday</v>
      </c>
      <c r="D405" t="s">
        <v>44</v>
      </c>
      <c r="E405" t="s">
        <v>45</v>
      </c>
      <c r="F405" t="s">
        <v>29</v>
      </c>
      <c r="G405" t="s">
        <v>37</v>
      </c>
      <c r="H405" t="s">
        <v>73</v>
      </c>
      <c r="I405" t="s">
        <v>39</v>
      </c>
      <c r="J405" s="3">
        <v>220000</v>
      </c>
      <c r="K405">
        <v>3</v>
      </c>
      <c r="L405" t="s">
        <v>65</v>
      </c>
      <c r="M405" s="3">
        <v>176000</v>
      </c>
      <c r="N405" s="3">
        <f>Table1[[#This Row],[Unit Price]]*Table1[[#This Row],[Quantity]]</f>
        <v>660000</v>
      </c>
      <c r="O405" s="3">
        <f>Table1[[#This Row],[Cost Price]]*Table1[[#This Row],[Quantity]]</f>
        <v>528000</v>
      </c>
      <c r="P405" s="3">
        <f>Table1[[#This Row],[Revenue]]-Table1[[#This Row],[COGS]]</f>
        <v>132000</v>
      </c>
      <c r="Q405" s="1">
        <v>404</v>
      </c>
    </row>
    <row r="406" spans="1:17">
      <c r="A406" t="s">
        <v>135</v>
      </c>
      <c r="B406" t="str">
        <f>TEXT(Table1[[#This Row],[Date]],"MMMM")</f>
        <v>March</v>
      </c>
      <c r="C406" t="str">
        <f>TEXT(Table1[[#This Row],[Date]],"DDDD")</f>
        <v>Sunday</v>
      </c>
      <c r="D406" t="s">
        <v>49</v>
      </c>
      <c r="E406" t="s">
        <v>53</v>
      </c>
      <c r="F406" t="s">
        <v>29</v>
      </c>
      <c r="G406" t="s">
        <v>30</v>
      </c>
      <c r="H406" t="s">
        <v>46</v>
      </c>
      <c r="I406" t="s">
        <v>39</v>
      </c>
      <c r="J406" s="3">
        <v>60000</v>
      </c>
      <c r="K406">
        <v>1</v>
      </c>
      <c r="L406" t="s">
        <v>58</v>
      </c>
      <c r="M406" s="3">
        <v>48000</v>
      </c>
      <c r="N406" s="3">
        <f>Table1[[#This Row],[Unit Price]]*Table1[[#This Row],[Quantity]]</f>
        <v>60000</v>
      </c>
      <c r="O406" s="3">
        <f>Table1[[#This Row],[Cost Price]]*Table1[[#This Row],[Quantity]]</f>
        <v>48000</v>
      </c>
      <c r="P406" s="3">
        <f>Table1[[#This Row],[Revenue]]-Table1[[#This Row],[COGS]]</f>
        <v>12000</v>
      </c>
      <c r="Q406" s="1">
        <v>405</v>
      </c>
    </row>
    <row r="407" spans="1:17">
      <c r="A407" t="s">
        <v>96</v>
      </c>
      <c r="B407" t="str">
        <f>TEXT(Table1[[#This Row],[Date]],"MMMM")</f>
        <v>March</v>
      </c>
      <c r="C407" t="str">
        <f>TEXT(Table1[[#This Row],[Date]],"DDDD")</f>
        <v>Sunday</v>
      </c>
      <c r="D407" t="s">
        <v>35</v>
      </c>
      <c r="E407" t="s">
        <v>36</v>
      </c>
      <c r="F407" t="s">
        <v>41</v>
      </c>
      <c r="G407" t="s">
        <v>30</v>
      </c>
      <c r="H407" t="s">
        <v>62</v>
      </c>
      <c r="I407" t="s">
        <v>51</v>
      </c>
      <c r="J407" s="3">
        <v>150000</v>
      </c>
      <c r="K407">
        <v>1</v>
      </c>
      <c r="L407" t="s">
        <v>47</v>
      </c>
      <c r="M407" s="3">
        <v>120000</v>
      </c>
      <c r="N407" s="3">
        <f>Table1[[#This Row],[Unit Price]]*Table1[[#This Row],[Quantity]]</f>
        <v>150000</v>
      </c>
      <c r="O407" s="3">
        <f>Table1[[#This Row],[Cost Price]]*Table1[[#This Row],[Quantity]]</f>
        <v>120000</v>
      </c>
      <c r="P407" s="3">
        <f>Table1[[#This Row],[Revenue]]-Table1[[#This Row],[COGS]]</f>
        <v>30000</v>
      </c>
      <c r="Q407" s="1">
        <v>406</v>
      </c>
    </row>
    <row r="408" spans="1:17">
      <c r="A408" t="s">
        <v>96</v>
      </c>
      <c r="B408" t="str">
        <f>TEXT(Table1[[#This Row],[Date]],"MMMM")</f>
        <v>March</v>
      </c>
      <c r="C408" t="str">
        <f>TEXT(Table1[[#This Row],[Date]],"DDDD")</f>
        <v>Sunday</v>
      </c>
      <c r="D408" t="s">
        <v>27</v>
      </c>
      <c r="E408" t="s">
        <v>45</v>
      </c>
      <c r="F408" t="s">
        <v>41</v>
      </c>
      <c r="G408" t="s">
        <v>30</v>
      </c>
      <c r="H408" t="s">
        <v>56</v>
      </c>
      <c r="I408" t="s">
        <v>32</v>
      </c>
      <c r="J408" s="3">
        <v>320000</v>
      </c>
      <c r="K408">
        <v>7</v>
      </c>
      <c r="L408" t="s">
        <v>69</v>
      </c>
      <c r="M408" s="3">
        <v>256000</v>
      </c>
      <c r="N408" s="3">
        <f>Table1[[#This Row],[Unit Price]]*Table1[[#This Row],[Quantity]]</f>
        <v>2240000</v>
      </c>
      <c r="O408" s="3">
        <f>Table1[[#This Row],[Cost Price]]*Table1[[#This Row],[Quantity]]</f>
        <v>1792000</v>
      </c>
      <c r="P408" s="3">
        <f>Table1[[#This Row],[Revenue]]-Table1[[#This Row],[COGS]]</f>
        <v>448000</v>
      </c>
      <c r="Q408" s="1">
        <v>407</v>
      </c>
    </row>
    <row r="409" spans="1:17">
      <c r="A409" t="s">
        <v>91</v>
      </c>
      <c r="B409" t="str">
        <f>TEXT(Table1[[#This Row],[Date]],"MMMM")</f>
        <v>February</v>
      </c>
      <c r="C409" t="str">
        <f>TEXT(Table1[[#This Row],[Date]],"DDDD")</f>
        <v>Friday</v>
      </c>
      <c r="D409" t="s">
        <v>44</v>
      </c>
      <c r="E409" t="s">
        <v>45</v>
      </c>
      <c r="F409" t="s">
        <v>29</v>
      </c>
      <c r="G409" t="s">
        <v>37</v>
      </c>
      <c r="H409" t="s">
        <v>31</v>
      </c>
      <c r="I409" t="s">
        <v>32</v>
      </c>
      <c r="J409" s="3">
        <v>85000</v>
      </c>
      <c r="K409">
        <v>10</v>
      </c>
      <c r="L409" t="s">
        <v>47</v>
      </c>
      <c r="M409" s="3">
        <v>68000</v>
      </c>
      <c r="N409" s="3">
        <f>Table1[[#This Row],[Unit Price]]*Table1[[#This Row],[Quantity]]</f>
        <v>850000</v>
      </c>
      <c r="O409" s="3">
        <f>Table1[[#This Row],[Cost Price]]*Table1[[#This Row],[Quantity]]</f>
        <v>680000</v>
      </c>
      <c r="P409" s="3">
        <f>Table1[[#This Row],[Revenue]]-Table1[[#This Row],[COGS]]</f>
        <v>170000</v>
      </c>
      <c r="Q409" s="1">
        <v>408</v>
      </c>
    </row>
    <row r="410" spans="1:17">
      <c r="A410" t="s">
        <v>165</v>
      </c>
      <c r="B410" t="str">
        <f>TEXT(Table1[[#This Row],[Date]],"MMMM")</f>
        <v>April</v>
      </c>
      <c r="C410" t="str">
        <f>TEXT(Table1[[#This Row],[Date]],"DDDD")</f>
        <v>Sunday</v>
      </c>
      <c r="D410" t="s">
        <v>27</v>
      </c>
      <c r="E410" t="s">
        <v>28</v>
      </c>
      <c r="F410" t="s">
        <v>41</v>
      </c>
      <c r="G410" t="s">
        <v>30</v>
      </c>
      <c r="H410" t="s">
        <v>62</v>
      </c>
      <c r="I410" t="s">
        <v>51</v>
      </c>
      <c r="J410" s="3">
        <v>150000</v>
      </c>
      <c r="K410">
        <v>10</v>
      </c>
      <c r="L410" t="s">
        <v>33</v>
      </c>
      <c r="M410" s="3">
        <v>120000</v>
      </c>
      <c r="N410" s="3">
        <f>Table1[[#This Row],[Unit Price]]*Table1[[#This Row],[Quantity]]</f>
        <v>1500000</v>
      </c>
      <c r="O410" s="3">
        <f>Table1[[#This Row],[Cost Price]]*Table1[[#This Row],[Quantity]]</f>
        <v>1200000</v>
      </c>
      <c r="P410" s="3">
        <f>Table1[[#This Row],[Revenue]]-Table1[[#This Row],[COGS]]</f>
        <v>300000</v>
      </c>
      <c r="Q410" s="1">
        <v>409</v>
      </c>
    </row>
    <row r="411" spans="1:17">
      <c r="A411" t="s">
        <v>61</v>
      </c>
      <c r="B411" t="str">
        <f>TEXT(Table1[[#This Row],[Date]],"MMMM")</f>
        <v>January</v>
      </c>
      <c r="C411" t="str">
        <f>TEXT(Table1[[#This Row],[Date]],"DDDD")</f>
        <v>Friday</v>
      </c>
      <c r="D411" t="s">
        <v>44</v>
      </c>
      <c r="E411" t="s">
        <v>36</v>
      </c>
      <c r="F411" t="s">
        <v>41</v>
      </c>
      <c r="G411" t="s">
        <v>30</v>
      </c>
      <c r="H411" t="s">
        <v>46</v>
      </c>
      <c r="I411" t="s">
        <v>39</v>
      </c>
      <c r="J411" s="3">
        <v>60000</v>
      </c>
      <c r="K411">
        <v>2</v>
      </c>
      <c r="L411" t="s">
        <v>47</v>
      </c>
      <c r="M411" s="3">
        <v>48000</v>
      </c>
      <c r="N411" s="3">
        <f>Table1[[#This Row],[Unit Price]]*Table1[[#This Row],[Quantity]]</f>
        <v>120000</v>
      </c>
      <c r="O411" s="3">
        <f>Table1[[#This Row],[Cost Price]]*Table1[[#This Row],[Quantity]]</f>
        <v>96000</v>
      </c>
      <c r="P411" s="3">
        <f>Table1[[#This Row],[Revenue]]-Table1[[#This Row],[COGS]]</f>
        <v>24000</v>
      </c>
      <c r="Q411" s="1">
        <v>410</v>
      </c>
    </row>
    <row r="412" spans="1:17">
      <c r="A412" t="s">
        <v>52</v>
      </c>
      <c r="B412" t="str">
        <f>TEXT(Table1[[#This Row],[Date]],"MMMM")</f>
        <v>March</v>
      </c>
      <c r="C412" t="str">
        <f>TEXT(Table1[[#This Row],[Date]],"DDDD")</f>
        <v>Saturday</v>
      </c>
      <c r="D412" t="s">
        <v>49</v>
      </c>
      <c r="E412" t="s">
        <v>53</v>
      </c>
      <c r="F412" t="s">
        <v>41</v>
      </c>
      <c r="G412" t="s">
        <v>30</v>
      </c>
      <c r="H412" t="s">
        <v>50</v>
      </c>
      <c r="I412" t="s">
        <v>51</v>
      </c>
      <c r="J412" s="3">
        <v>300000</v>
      </c>
      <c r="K412">
        <v>6</v>
      </c>
      <c r="L412" t="s">
        <v>33</v>
      </c>
      <c r="M412" s="3">
        <v>240000</v>
      </c>
      <c r="N412" s="3">
        <f>Table1[[#This Row],[Unit Price]]*Table1[[#This Row],[Quantity]]</f>
        <v>1800000</v>
      </c>
      <c r="O412" s="3">
        <f>Table1[[#This Row],[Cost Price]]*Table1[[#This Row],[Quantity]]</f>
        <v>1440000</v>
      </c>
      <c r="P412" s="3">
        <f>Table1[[#This Row],[Revenue]]-Table1[[#This Row],[COGS]]</f>
        <v>360000</v>
      </c>
      <c r="Q412" s="1">
        <v>411</v>
      </c>
    </row>
    <row r="413" spans="1:17">
      <c r="A413" t="s">
        <v>118</v>
      </c>
      <c r="B413" t="str">
        <f>TEXT(Table1[[#This Row],[Date]],"MMMM")</f>
        <v>March</v>
      </c>
      <c r="C413" t="str">
        <f>TEXT(Table1[[#This Row],[Date]],"DDDD")</f>
        <v>Tuesday</v>
      </c>
      <c r="D413" t="s">
        <v>35</v>
      </c>
      <c r="E413" t="s">
        <v>45</v>
      </c>
      <c r="F413" t="s">
        <v>29</v>
      </c>
      <c r="G413" t="s">
        <v>30</v>
      </c>
      <c r="H413" t="s">
        <v>62</v>
      </c>
      <c r="I413" t="s">
        <v>51</v>
      </c>
      <c r="J413" s="3">
        <v>150000</v>
      </c>
      <c r="K413">
        <v>3</v>
      </c>
      <c r="L413" t="s">
        <v>65</v>
      </c>
      <c r="M413" s="3">
        <v>120000</v>
      </c>
      <c r="N413" s="3">
        <f>Table1[[#This Row],[Unit Price]]*Table1[[#This Row],[Quantity]]</f>
        <v>450000</v>
      </c>
      <c r="O413" s="3">
        <f>Table1[[#This Row],[Cost Price]]*Table1[[#This Row],[Quantity]]</f>
        <v>360000</v>
      </c>
      <c r="P413" s="3">
        <f>Table1[[#This Row],[Revenue]]-Table1[[#This Row],[COGS]]</f>
        <v>90000</v>
      </c>
      <c r="Q413" s="1">
        <v>412</v>
      </c>
    </row>
    <row r="414" spans="1:17">
      <c r="A414" t="s">
        <v>81</v>
      </c>
      <c r="B414" t="str">
        <f>TEXT(Table1[[#This Row],[Date]],"MMMM")</f>
        <v>March</v>
      </c>
      <c r="C414" t="str">
        <f>TEXT(Table1[[#This Row],[Date]],"DDDD")</f>
        <v>Sunday</v>
      </c>
      <c r="D414" t="s">
        <v>27</v>
      </c>
      <c r="E414" t="s">
        <v>28</v>
      </c>
      <c r="F414" t="s">
        <v>41</v>
      </c>
      <c r="G414" t="s">
        <v>30</v>
      </c>
      <c r="H414" t="s">
        <v>38</v>
      </c>
      <c r="I414" t="s">
        <v>39</v>
      </c>
      <c r="J414" s="3">
        <v>30000</v>
      </c>
      <c r="K414">
        <v>2</v>
      </c>
      <c r="L414" t="s">
        <v>42</v>
      </c>
      <c r="M414" s="3">
        <v>24000</v>
      </c>
      <c r="N414" s="3">
        <f>Table1[[#This Row],[Unit Price]]*Table1[[#This Row],[Quantity]]</f>
        <v>60000</v>
      </c>
      <c r="O414" s="3">
        <f>Table1[[#This Row],[Cost Price]]*Table1[[#This Row],[Quantity]]</f>
        <v>48000</v>
      </c>
      <c r="P414" s="3">
        <f>Table1[[#This Row],[Revenue]]-Table1[[#This Row],[COGS]]</f>
        <v>12000</v>
      </c>
      <c r="Q414" s="1">
        <v>413</v>
      </c>
    </row>
    <row r="415" spans="1:17">
      <c r="A415" t="s">
        <v>158</v>
      </c>
      <c r="B415" t="str">
        <f>TEXT(Table1[[#This Row],[Date]],"MMMM")</f>
        <v>January</v>
      </c>
      <c r="C415" t="str">
        <f>TEXT(Table1[[#This Row],[Date]],"DDDD")</f>
        <v>Saturday</v>
      </c>
      <c r="D415" t="s">
        <v>35</v>
      </c>
      <c r="E415" t="s">
        <v>36</v>
      </c>
      <c r="F415" t="s">
        <v>29</v>
      </c>
      <c r="G415" t="s">
        <v>30</v>
      </c>
      <c r="H415" t="s">
        <v>54</v>
      </c>
      <c r="I415" t="s">
        <v>39</v>
      </c>
      <c r="J415" s="3">
        <v>180000</v>
      </c>
      <c r="K415">
        <v>2</v>
      </c>
      <c r="L415" t="s">
        <v>65</v>
      </c>
      <c r="M415" s="3">
        <v>144000</v>
      </c>
      <c r="N415" s="3">
        <f>Table1[[#This Row],[Unit Price]]*Table1[[#This Row],[Quantity]]</f>
        <v>360000</v>
      </c>
      <c r="O415" s="3">
        <f>Table1[[#This Row],[Cost Price]]*Table1[[#This Row],[Quantity]]</f>
        <v>288000</v>
      </c>
      <c r="P415" s="3">
        <f>Table1[[#This Row],[Revenue]]-Table1[[#This Row],[COGS]]</f>
        <v>72000</v>
      </c>
      <c r="Q415" s="1">
        <v>414</v>
      </c>
    </row>
    <row r="416" spans="1:17">
      <c r="A416" t="s">
        <v>115</v>
      </c>
      <c r="B416" t="str">
        <f>TEXT(Table1[[#This Row],[Date]],"MMMM")</f>
        <v>January</v>
      </c>
      <c r="C416" t="str">
        <f>TEXT(Table1[[#This Row],[Date]],"DDDD")</f>
        <v>Thursday</v>
      </c>
      <c r="D416" t="s">
        <v>27</v>
      </c>
      <c r="E416" t="s">
        <v>45</v>
      </c>
      <c r="F416" t="s">
        <v>41</v>
      </c>
      <c r="G416" t="s">
        <v>30</v>
      </c>
      <c r="H416" t="s">
        <v>56</v>
      </c>
      <c r="I416" t="s">
        <v>32</v>
      </c>
      <c r="J416" s="3">
        <v>320000</v>
      </c>
      <c r="K416">
        <v>3</v>
      </c>
      <c r="L416" t="s">
        <v>47</v>
      </c>
      <c r="M416" s="3">
        <v>256000</v>
      </c>
      <c r="N416" s="3">
        <f>Table1[[#This Row],[Unit Price]]*Table1[[#This Row],[Quantity]]</f>
        <v>960000</v>
      </c>
      <c r="O416" s="3">
        <f>Table1[[#This Row],[Cost Price]]*Table1[[#This Row],[Quantity]]</f>
        <v>768000</v>
      </c>
      <c r="P416" s="3">
        <f>Table1[[#This Row],[Revenue]]-Table1[[#This Row],[COGS]]</f>
        <v>192000</v>
      </c>
      <c r="Q416" s="1">
        <v>415</v>
      </c>
    </row>
    <row r="417" spans="1:17">
      <c r="A417" t="s">
        <v>170</v>
      </c>
      <c r="B417" t="str">
        <f>TEXT(Table1[[#This Row],[Date]],"MMMM")</f>
        <v>January</v>
      </c>
      <c r="C417" t="str">
        <f>TEXT(Table1[[#This Row],[Date]],"DDDD")</f>
        <v>Sunday</v>
      </c>
      <c r="D417" t="s">
        <v>44</v>
      </c>
      <c r="E417" t="s">
        <v>45</v>
      </c>
      <c r="F417" t="s">
        <v>41</v>
      </c>
      <c r="G417" t="s">
        <v>37</v>
      </c>
      <c r="H417" t="s">
        <v>38</v>
      </c>
      <c r="I417" t="s">
        <v>39</v>
      </c>
      <c r="J417" s="3">
        <v>30000</v>
      </c>
      <c r="K417">
        <v>3</v>
      </c>
      <c r="L417" t="s">
        <v>65</v>
      </c>
      <c r="M417" s="3">
        <v>24000</v>
      </c>
      <c r="N417" s="3">
        <f>Table1[[#This Row],[Unit Price]]*Table1[[#This Row],[Quantity]]</f>
        <v>90000</v>
      </c>
      <c r="O417" s="3">
        <f>Table1[[#This Row],[Cost Price]]*Table1[[#This Row],[Quantity]]</f>
        <v>72000</v>
      </c>
      <c r="P417" s="3">
        <f>Table1[[#This Row],[Revenue]]-Table1[[#This Row],[COGS]]</f>
        <v>18000</v>
      </c>
      <c r="Q417" s="1">
        <v>416</v>
      </c>
    </row>
    <row r="418" spans="1:17">
      <c r="A418" t="s">
        <v>140</v>
      </c>
      <c r="B418" t="str">
        <f>TEXT(Table1[[#This Row],[Date]],"MMMM")</f>
        <v>April</v>
      </c>
      <c r="C418" t="str">
        <f>TEXT(Table1[[#This Row],[Date]],"DDDD")</f>
        <v>Thursday</v>
      </c>
      <c r="D418" t="s">
        <v>27</v>
      </c>
      <c r="E418" t="s">
        <v>53</v>
      </c>
      <c r="F418" t="s">
        <v>29</v>
      </c>
      <c r="G418" t="s">
        <v>37</v>
      </c>
      <c r="H418" t="s">
        <v>31</v>
      </c>
      <c r="I418" t="s">
        <v>32</v>
      </c>
      <c r="J418" s="3">
        <v>85000</v>
      </c>
      <c r="K418">
        <v>3</v>
      </c>
      <c r="L418" t="s">
        <v>58</v>
      </c>
      <c r="M418" s="3">
        <v>68000</v>
      </c>
      <c r="N418" s="3">
        <f>Table1[[#This Row],[Unit Price]]*Table1[[#This Row],[Quantity]]</f>
        <v>255000</v>
      </c>
      <c r="O418" s="3">
        <f>Table1[[#This Row],[Cost Price]]*Table1[[#This Row],[Quantity]]</f>
        <v>204000</v>
      </c>
      <c r="P418" s="3">
        <f>Table1[[#This Row],[Revenue]]-Table1[[#This Row],[COGS]]</f>
        <v>51000</v>
      </c>
      <c r="Q418" s="1">
        <v>417</v>
      </c>
    </row>
    <row r="419" spans="1:17">
      <c r="A419" t="s">
        <v>79</v>
      </c>
      <c r="B419" t="str">
        <f>TEXT(Table1[[#This Row],[Date]],"MMMM")</f>
        <v>February</v>
      </c>
      <c r="C419" t="str">
        <f>TEXT(Table1[[#This Row],[Date]],"DDDD")</f>
        <v>Wednesday</v>
      </c>
      <c r="D419" t="s">
        <v>49</v>
      </c>
      <c r="E419" t="s">
        <v>45</v>
      </c>
      <c r="F419" t="s">
        <v>29</v>
      </c>
      <c r="G419" t="s">
        <v>37</v>
      </c>
      <c r="H419" t="s">
        <v>31</v>
      </c>
      <c r="I419" t="s">
        <v>32</v>
      </c>
      <c r="J419" s="3">
        <v>85000</v>
      </c>
      <c r="K419">
        <v>10</v>
      </c>
      <c r="L419" t="s">
        <v>65</v>
      </c>
      <c r="M419" s="3">
        <v>68000</v>
      </c>
      <c r="N419" s="3">
        <f>Table1[[#This Row],[Unit Price]]*Table1[[#This Row],[Quantity]]</f>
        <v>850000</v>
      </c>
      <c r="O419" s="3">
        <f>Table1[[#This Row],[Cost Price]]*Table1[[#This Row],[Quantity]]</f>
        <v>680000</v>
      </c>
      <c r="P419" s="3">
        <f>Table1[[#This Row],[Revenue]]-Table1[[#This Row],[COGS]]</f>
        <v>170000</v>
      </c>
      <c r="Q419" s="1">
        <v>418</v>
      </c>
    </row>
    <row r="420" spans="1:17">
      <c r="A420" t="s">
        <v>120</v>
      </c>
      <c r="B420" t="str">
        <f>TEXT(Table1[[#This Row],[Date]],"MMMM")</f>
        <v>March</v>
      </c>
      <c r="C420" t="str">
        <f>TEXT(Table1[[#This Row],[Date]],"DDDD")</f>
        <v>Thursday</v>
      </c>
      <c r="D420" t="s">
        <v>35</v>
      </c>
      <c r="E420" t="s">
        <v>28</v>
      </c>
      <c r="F420" t="s">
        <v>41</v>
      </c>
      <c r="G420" t="s">
        <v>37</v>
      </c>
      <c r="H420" t="s">
        <v>54</v>
      </c>
      <c r="I420" t="s">
        <v>39</v>
      </c>
      <c r="J420" s="3">
        <v>180000</v>
      </c>
      <c r="K420">
        <v>10</v>
      </c>
      <c r="L420" t="s">
        <v>33</v>
      </c>
      <c r="M420" s="3">
        <v>144000</v>
      </c>
      <c r="N420" s="3">
        <f>Table1[[#This Row],[Unit Price]]*Table1[[#This Row],[Quantity]]</f>
        <v>1800000</v>
      </c>
      <c r="O420" s="3">
        <f>Table1[[#This Row],[Cost Price]]*Table1[[#This Row],[Quantity]]</f>
        <v>1440000</v>
      </c>
      <c r="P420" s="3">
        <f>Table1[[#This Row],[Revenue]]-Table1[[#This Row],[COGS]]</f>
        <v>360000</v>
      </c>
      <c r="Q420" s="1">
        <v>419</v>
      </c>
    </row>
    <row r="421" spans="1:17">
      <c r="A421" t="s">
        <v>126</v>
      </c>
      <c r="B421" t="str">
        <f>TEXT(Table1[[#This Row],[Date]],"MMMM")</f>
        <v>January</v>
      </c>
      <c r="C421" t="str">
        <f>TEXT(Table1[[#This Row],[Date]],"DDDD")</f>
        <v>Thursday</v>
      </c>
      <c r="D421" t="s">
        <v>27</v>
      </c>
      <c r="E421" t="s">
        <v>36</v>
      </c>
      <c r="F421" t="s">
        <v>29</v>
      </c>
      <c r="G421" t="s">
        <v>37</v>
      </c>
      <c r="H421" t="s">
        <v>73</v>
      </c>
      <c r="I421" t="s">
        <v>39</v>
      </c>
      <c r="J421" s="3">
        <v>220000</v>
      </c>
      <c r="K421">
        <v>9</v>
      </c>
      <c r="L421" t="s">
        <v>47</v>
      </c>
      <c r="M421" s="3">
        <v>176000</v>
      </c>
      <c r="N421" s="3">
        <f>Table1[[#This Row],[Unit Price]]*Table1[[#This Row],[Quantity]]</f>
        <v>1980000</v>
      </c>
      <c r="O421" s="3">
        <f>Table1[[#This Row],[Cost Price]]*Table1[[#This Row],[Quantity]]</f>
        <v>1584000</v>
      </c>
      <c r="P421" s="3">
        <f>Table1[[#This Row],[Revenue]]-Table1[[#This Row],[COGS]]</f>
        <v>396000</v>
      </c>
      <c r="Q421" s="1">
        <v>420</v>
      </c>
    </row>
    <row r="422" spans="1:17">
      <c r="A422" t="s">
        <v>75</v>
      </c>
      <c r="B422" t="str">
        <f>TEXT(Table1[[#This Row],[Date]],"MMMM")</f>
        <v>March</v>
      </c>
      <c r="C422" t="str">
        <f>TEXT(Table1[[#This Row],[Date]],"DDDD")</f>
        <v>Monday</v>
      </c>
      <c r="D422" t="s">
        <v>27</v>
      </c>
      <c r="E422" t="s">
        <v>53</v>
      </c>
      <c r="F422" t="s">
        <v>41</v>
      </c>
      <c r="G422" t="s">
        <v>37</v>
      </c>
      <c r="H422" t="s">
        <v>67</v>
      </c>
      <c r="I422" t="s">
        <v>51</v>
      </c>
      <c r="J422" s="3">
        <v>420000</v>
      </c>
      <c r="K422">
        <v>9</v>
      </c>
      <c r="L422" t="s">
        <v>47</v>
      </c>
      <c r="M422" s="3">
        <v>336000</v>
      </c>
      <c r="N422" s="3">
        <f>Table1[[#This Row],[Unit Price]]*Table1[[#This Row],[Quantity]]</f>
        <v>3780000</v>
      </c>
      <c r="O422" s="3">
        <f>Table1[[#This Row],[Cost Price]]*Table1[[#This Row],[Quantity]]</f>
        <v>3024000</v>
      </c>
      <c r="P422" s="3">
        <f>Table1[[#This Row],[Revenue]]-Table1[[#This Row],[COGS]]</f>
        <v>756000</v>
      </c>
      <c r="Q422" s="1">
        <v>421</v>
      </c>
    </row>
    <row r="423" spans="1:17">
      <c r="A423" t="s">
        <v>124</v>
      </c>
      <c r="B423" t="str">
        <f>TEXT(Table1[[#This Row],[Date]],"MMMM")</f>
        <v>February</v>
      </c>
      <c r="C423" t="str">
        <f>TEXT(Table1[[#This Row],[Date]],"DDDD")</f>
        <v>Monday</v>
      </c>
      <c r="D423" t="s">
        <v>35</v>
      </c>
      <c r="E423" t="s">
        <v>28</v>
      </c>
      <c r="F423" t="s">
        <v>41</v>
      </c>
      <c r="G423" t="s">
        <v>30</v>
      </c>
      <c r="H423" t="s">
        <v>54</v>
      </c>
      <c r="I423" t="s">
        <v>39</v>
      </c>
      <c r="J423" s="3">
        <v>180000</v>
      </c>
      <c r="K423">
        <v>2</v>
      </c>
      <c r="L423" t="s">
        <v>65</v>
      </c>
      <c r="M423" s="3">
        <v>144000</v>
      </c>
      <c r="N423" s="3">
        <f>Table1[[#This Row],[Unit Price]]*Table1[[#This Row],[Quantity]]</f>
        <v>360000</v>
      </c>
      <c r="O423" s="3">
        <f>Table1[[#This Row],[Cost Price]]*Table1[[#This Row],[Quantity]]</f>
        <v>288000</v>
      </c>
      <c r="P423" s="3">
        <f>Table1[[#This Row],[Revenue]]-Table1[[#This Row],[COGS]]</f>
        <v>72000</v>
      </c>
      <c r="Q423" s="1">
        <v>422</v>
      </c>
    </row>
    <row r="424" spans="1:17">
      <c r="A424" t="s">
        <v>96</v>
      </c>
      <c r="B424" t="str">
        <f>TEXT(Table1[[#This Row],[Date]],"MMMM")</f>
        <v>March</v>
      </c>
      <c r="C424" t="str">
        <f>TEXT(Table1[[#This Row],[Date]],"DDDD")</f>
        <v>Sunday</v>
      </c>
      <c r="D424" t="s">
        <v>27</v>
      </c>
      <c r="E424" t="s">
        <v>36</v>
      </c>
      <c r="F424" t="s">
        <v>41</v>
      </c>
      <c r="G424" t="s">
        <v>30</v>
      </c>
      <c r="H424" t="s">
        <v>50</v>
      </c>
      <c r="I424" t="s">
        <v>51</v>
      </c>
      <c r="J424" s="3">
        <v>300000</v>
      </c>
      <c r="K424">
        <v>3</v>
      </c>
      <c r="L424" t="s">
        <v>42</v>
      </c>
      <c r="M424" s="3">
        <v>240000</v>
      </c>
      <c r="N424" s="3">
        <f>Table1[[#This Row],[Unit Price]]*Table1[[#This Row],[Quantity]]</f>
        <v>900000</v>
      </c>
      <c r="O424" s="3">
        <f>Table1[[#This Row],[Cost Price]]*Table1[[#This Row],[Quantity]]</f>
        <v>720000</v>
      </c>
      <c r="P424" s="3">
        <f>Table1[[#This Row],[Revenue]]-Table1[[#This Row],[COGS]]</f>
        <v>180000</v>
      </c>
      <c r="Q424" s="1">
        <v>423</v>
      </c>
    </row>
    <row r="425" spans="1:17">
      <c r="A425" t="s">
        <v>151</v>
      </c>
      <c r="B425" t="str">
        <f>TEXT(Table1[[#This Row],[Date]],"MMMM")</f>
        <v>February</v>
      </c>
      <c r="C425" t="str">
        <f>TEXT(Table1[[#This Row],[Date]],"DDDD")</f>
        <v>Tuesday</v>
      </c>
      <c r="D425" t="s">
        <v>49</v>
      </c>
      <c r="E425" t="s">
        <v>45</v>
      </c>
      <c r="F425" t="s">
        <v>41</v>
      </c>
      <c r="G425" t="s">
        <v>30</v>
      </c>
      <c r="H425" t="s">
        <v>54</v>
      </c>
      <c r="I425" t="s">
        <v>39</v>
      </c>
      <c r="J425" s="3">
        <v>180000</v>
      </c>
      <c r="K425">
        <v>1</v>
      </c>
      <c r="L425" t="s">
        <v>69</v>
      </c>
      <c r="M425" s="3">
        <v>144000</v>
      </c>
      <c r="N425" s="3">
        <f>Table1[[#This Row],[Unit Price]]*Table1[[#This Row],[Quantity]]</f>
        <v>180000</v>
      </c>
      <c r="O425" s="3">
        <f>Table1[[#This Row],[Cost Price]]*Table1[[#This Row],[Quantity]]</f>
        <v>144000</v>
      </c>
      <c r="P425" s="3">
        <f>Table1[[#This Row],[Revenue]]-Table1[[#This Row],[COGS]]</f>
        <v>36000</v>
      </c>
      <c r="Q425" s="1">
        <v>424</v>
      </c>
    </row>
    <row r="426" spans="1:17">
      <c r="A426" t="s">
        <v>70</v>
      </c>
      <c r="B426" t="str">
        <f>TEXT(Table1[[#This Row],[Date]],"MMMM")</f>
        <v>April</v>
      </c>
      <c r="C426" t="str">
        <f>TEXT(Table1[[#This Row],[Date]],"DDDD")</f>
        <v>Friday</v>
      </c>
      <c r="D426" t="s">
        <v>49</v>
      </c>
      <c r="E426" t="s">
        <v>36</v>
      </c>
      <c r="F426" t="s">
        <v>29</v>
      </c>
      <c r="G426" t="s">
        <v>37</v>
      </c>
      <c r="H426" t="s">
        <v>56</v>
      </c>
      <c r="I426" t="s">
        <v>32</v>
      </c>
      <c r="J426" s="3">
        <v>320000</v>
      </c>
      <c r="K426">
        <v>9</v>
      </c>
      <c r="L426" t="s">
        <v>58</v>
      </c>
      <c r="M426" s="3">
        <v>256000</v>
      </c>
      <c r="N426" s="3">
        <f>Table1[[#This Row],[Unit Price]]*Table1[[#This Row],[Quantity]]</f>
        <v>2880000</v>
      </c>
      <c r="O426" s="3">
        <f>Table1[[#This Row],[Cost Price]]*Table1[[#This Row],[Quantity]]</f>
        <v>2304000</v>
      </c>
      <c r="P426" s="3">
        <f>Table1[[#This Row],[Revenue]]-Table1[[#This Row],[COGS]]</f>
        <v>576000</v>
      </c>
      <c r="Q426" s="1">
        <v>425</v>
      </c>
    </row>
    <row r="427" spans="1:17">
      <c r="A427" t="s">
        <v>129</v>
      </c>
      <c r="B427" t="str">
        <f>TEXT(Table1[[#This Row],[Date]],"MMMM")</f>
        <v>March</v>
      </c>
      <c r="C427" t="str">
        <f>TEXT(Table1[[#This Row],[Date]],"DDDD")</f>
        <v>Tuesday</v>
      </c>
      <c r="D427" t="s">
        <v>49</v>
      </c>
      <c r="E427" t="s">
        <v>28</v>
      </c>
      <c r="F427" t="s">
        <v>29</v>
      </c>
      <c r="G427" t="s">
        <v>30</v>
      </c>
      <c r="H427" t="s">
        <v>56</v>
      </c>
      <c r="I427" t="s">
        <v>32</v>
      </c>
      <c r="J427" s="3">
        <v>320000</v>
      </c>
      <c r="K427">
        <v>5</v>
      </c>
      <c r="L427" t="s">
        <v>42</v>
      </c>
      <c r="M427" s="3">
        <v>256000</v>
      </c>
      <c r="N427" s="3">
        <f>Table1[[#This Row],[Unit Price]]*Table1[[#This Row],[Quantity]]</f>
        <v>1600000</v>
      </c>
      <c r="O427" s="3">
        <f>Table1[[#This Row],[Cost Price]]*Table1[[#This Row],[Quantity]]</f>
        <v>1280000</v>
      </c>
      <c r="P427" s="3">
        <f>Table1[[#This Row],[Revenue]]-Table1[[#This Row],[COGS]]</f>
        <v>320000</v>
      </c>
      <c r="Q427" s="1">
        <v>426</v>
      </c>
    </row>
    <row r="428" spans="1:17">
      <c r="A428" t="s">
        <v>85</v>
      </c>
      <c r="B428" t="str">
        <f>TEXT(Table1[[#This Row],[Date]],"MMMM")</f>
        <v>February</v>
      </c>
      <c r="C428" t="str">
        <f>TEXT(Table1[[#This Row],[Date]],"DDDD")</f>
        <v>Thursday</v>
      </c>
      <c r="D428" t="s">
        <v>49</v>
      </c>
      <c r="E428" t="s">
        <v>53</v>
      </c>
      <c r="F428" t="s">
        <v>29</v>
      </c>
      <c r="G428" t="s">
        <v>30</v>
      </c>
      <c r="H428" t="s">
        <v>46</v>
      </c>
      <c r="I428" t="s">
        <v>39</v>
      </c>
      <c r="J428" s="3">
        <v>60000</v>
      </c>
      <c r="K428">
        <v>8</v>
      </c>
      <c r="L428" t="s">
        <v>69</v>
      </c>
      <c r="M428" s="3">
        <v>48000</v>
      </c>
      <c r="N428" s="3">
        <f>Table1[[#This Row],[Unit Price]]*Table1[[#This Row],[Quantity]]</f>
        <v>480000</v>
      </c>
      <c r="O428" s="3">
        <f>Table1[[#This Row],[Cost Price]]*Table1[[#This Row],[Quantity]]</f>
        <v>384000</v>
      </c>
      <c r="P428" s="3">
        <f>Table1[[#This Row],[Revenue]]-Table1[[#This Row],[COGS]]</f>
        <v>96000</v>
      </c>
      <c r="Q428" s="1">
        <v>427</v>
      </c>
    </row>
    <row r="429" spans="1:17">
      <c r="A429" t="s">
        <v>103</v>
      </c>
      <c r="B429" t="str">
        <f>TEXT(Table1[[#This Row],[Date]],"MMMM")</f>
        <v>March</v>
      </c>
      <c r="C429" t="str">
        <f>TEXT(Table1[[#This Row],[Date]],"DDDD")</f>
        <v>Wednesday</v>
      </c>
      <c r="D429" t="s">
        <v>44</v>
      </c>
      <c r="E429" t="s">
        <v>28</v>
      </c>
      <c r="F429" t="s">
        <v>41</v>
      </c>
      <c r="G429" t="s">
        <v>30</v>
      </c>
      <c r="H429" t="s">
        <v>31</v>
      </c>
      <c r="I429" t="s">
        <v>32</v>
      </c>
      <c r="J429" s="3">
        <v>85000</v>
      </c>
      <c r="K429">
        <v>8</v>
      </c>
      <c r="L429" t="s">
        <v>42</v>
      </c>
      <c r="M429" s="3">
        <v>68000</v>
      </c>
      <c r="N429" s="3">
        <f>Table1[[#This Row],[Unit Price]]*Table1[[#This Row],[Quantity]]</f>
        <v>680000</v>
      </c>
      <c r="O429" s="3">
        <f>Table1[[#This Row],[Cost Price]]*Table1[[#This Row],[Quantity]]</f>
        <v>544000</v>
      </c>
      <c r="P429" s="3">
        <f>Table1[[#This Row],[Revenue]]-Table1[[#This Row],[COGS]]</f>
        <v>136000</v>
      </c>
      <c r="Q429" s="1">
        <v>428</v>
      </c>
    </row>
    <row r="430" spans="1:17">
      <c r="A430" t="s">
        <v>109</v>
      </c>
      <c r="B430" t="str">
        <f>TEXT(Table1[[#This Row],[Date]],"MMMM")</f>
        <v>March</v>
      </c>
      <c r="C430" t="str">
        <f>TEXT(Table1[[#This Row],[Date]],"DDDD")</f>
        <v>Monday</v>
      </c>
      <c r="D430" t="s">
        <v>35</v>
      </c>
      <c r="E430" t="s">
        <v>28</v>
      </c>
      <c r="F430" t="s">
        <v>29</v>
      </c>
      <c r="G430" t="s">
        <v>37</v>
      </c>
      <c r="H430" t="s">
        <v>56</v>
      </c>
      <c r="I430" t="s">
        <v>32</v>
      </c>
      <c r="J430" s="3">
        <v>320000</v>
      </c>
      <c r="K430">
        <v>5</v>
      </c>
      <c r="L430" t="s">
        <v>42</v>
      </c>
      <c r="M430" s="3">
        <v>256000</v>
      </c>
      <c r="N430" s="3">
        <f>Table1[[#This Row],[Unit Price]]*Table1[[#This Row],[Quantity]]</f>
        <v>1600000</v>
      </c>
      <c r="O430" s="3">
        <f>Table1[[#This Row],[Cost Price]]*Table1[[#This Row],[Quantity]]</f>
        <v>1280000</v>
      </c>
      <c r="P430" s="3">
        <f>Table1[[#This Row],[Revenue]]-Table1[[#This Row],[COGS]]</f>
        <v>320000</v>
      </c>
      <c r="Q430" s="1">
        <v>429</v>
      </c>
    </row>
    <row r="431" spans="1:17">
      <c r="A431" t="s">
        <v>90</v>
      </c>
      <c r="B431" t="str">
        <f>TEXT(Table1[[#This Row],[Date]],"MMMM")</f>
        <v>February</v>
      </c>
      <c r="C431" t="str">
        <f>TEXT(Table1[[#This Row],[Date]],"DDDD")</f>
        <v>Tuesday</v>
      </c>
      <c r="D431" t="s">
        <v>49</v>
      </c>
      <c r="E431" t="s">
        <v>45</v>
      </c>
      <c r="F431" t="s">
        <v>41</v>
      </c>
      <c r="G431" t="s">
        <v>30</v>
      </c>
      <c r="H431" t="s">
        <v>62</v>
      </c>
      <c r="I431" t="s">
        <v>51</v>
      </c>
      <c r="J431" s="3">
        <v>150000</v>
      </c>
      <c r="K431">
        <v>3</v>
      </c>
      <c r="L431" t="s">
        <v>65</v>
      </c>
      <c r="M431" s="3">
        <v>120000</v>
      </c>
      <c r="N431" s="3">
        <f>Table1[[#This Row],[Unit Price]]*Table1[[#This Row],[Quantity]]</f>
        <v>450000</v>
      </c>
      <c r="O431" s="3">
        <f>Table1[[#This Row],[Cost Price]]*Table1[[#This Row],[Quantity]]</f>
        <v>360000</v>
      </c>
      <c r="P431" s="3">
        <f>Table1[[#This Row],[Revenue]]-Table1[[#This Row],[COGS]]</f>
        <v>90000</v>
      </c>
      <c r="Q431" s="1">
        <v>430</v>
      </c>
    </row>
    <row r="432" spans="1:17">
      <c r="A432" t="s">
        <v>110</v>
      </c>
      <c r="B432" t="str">
        <f>TEXT(Table1[[#This Row],[Date]],"MMMM")</f>
        <v>January</v>
      </c>
      <c r="C432" t="str">
        <f>TEXT(Table1[[#This Row],[Date]],"DDDD")</f>
        <v>Thursday</v>
      </c>
      <c r="D432" t="s">
        <v>49</v>
      </c>
      <c r="E432" t="s">
        <v>45</v>
      </c>
      <c r="F432" t="s">
        <v>29</v>
      </c>
      <c r="G432" t="s">
        <v>37</v>
      </c>
      <c r="H432" t="s">
        <v>62</v>
      </c>
      <c r="I432" t="s">
        <v>51</v>
      </c>
      <c r="J432" s="3">
        <v>150000</v>
      </c>
      <c r="K432">
        <v>1</v>
      </c>
      <c r="L432" t="s">
        <v>33</v>
      </c>
      <c r="M432" s="3">
        <v>120000</v>
      </c>
      <c r="N432" s="3">
        <f>Table1[[#This Row],[Unit Price]]*Table1[[#This Row],[Quantity]]</f>
        <v>150000</v>
      </c>
      <c r="O432" s="3">
        <f>Table1[[#This Row],[Cost Price]]*Table1[[#This Row],[Quantity]]</f>
        <v>120000</v>
      </c>
      <c r="P432" s="3">
        <f>Table1[[#This Row],[Revenue]]-Table1[[#This Row],[COGS]]</f>
        <v>30000</v>
      </c>
      <c r="Q432" s="1">
        <v>431</v>
      </c>
    </row>
    <row r="433" spans="1:17">
      <c r="A433" t="s">
        <v>113</v>
      </c>
      <c r="B433" t="str">
        <f>TEXT(Table1[[#This Row],[Date]],"MMMM")</f>
        <v>April</v>
      </c>
      <c r="C433" t="str">
        <f>TEXT(Table1[[#This Row],[Date]],"DDDD")</f>
        <v>Monday</v>
      </c>
      <c r="D433" t="s">
        <v>44</v>
      </c>
      <c r="E433" t="s">
        <v>45</v>
      </c>
      <c r="F433" t="s">
        <v>41</v>
      </c>
      <c r="G433" t="s">
        <v>30</v>
      </c>
      <c r="H433" t="s">
        <v>46</v>
      </c>
      <c r="I433" t="s">
        <v>39</v>
      </c>
      <c r="J433" s="3">
        <v>60000</v>
      </c>
      <c r="K433">
        <v>7</v>
      </c>
      <c r="L433" t="s">
        <v>42</v>
      </c>
      <c r="M433" s="3">
        <v>48000</v>
      </c>
      <c r="N433" s="3">
        <f>Table1[[#This Row],[Unit Price]]*Table1[[#This Row],[Quantity]]</f>
        <v>420000</v>
      </c>
      <c r="O433" s="3">
        <f>Table1[[#This Row],[Cost Price]]*Table1[[#This Row],[Quantity]]</f>
        <v>336000</v>
      </c>
      <c r="P433" s="3">
        <f>Table1[[#This Row],[Revenue]]-Table1[[#This Row],[COGS]]</f>
        <v>84000</v>
      </c>
      <c r="Q433" s="1">
        <v>432</v>
      </c>
    </row>
    <row r="434" spans="1:17">
      <c r="A434" t="s">
        <v>55</v>
      </c>
      <c r="B434" t="str">
        <f>TEXT(Table1[[#This Row],[Date]],"MMMM")</f>
        <v>March</v>
      </c>
      <c r="C434" t="str">
        <f>TEXT(Table1[[#This Row],[Date]],"DDDD")</f>
        <v>Sunday</v>
      </c>
      <c r="D434" t="s">
        <v>27</v>
      </c>
      <c r="E434" t="s">
        <v>28</v>
      </c>
      <c r="F434" t="s">
        <v>29</v>
      </c>
      <c r="G434" t="s">
        <v>30</v>
      </c>
      <c r="H434" t="s">
        <v>54</v>
      </c>
      <c r="I434" t="s">
        <v>39</v>
      </c>
      <c r="J434" s="3">
        <v>180000</v>
      </c>
      <c r="K434">
        <v>1</v>
      </c>
      <c r="L434" t="s">
        <v>42</v>
      </c>
      <c r="M434" s="3">
        <v>144000</v>
      </c>
      <c r="N434" s="3">
        <f>Table1[[#This Row],[Unit Price]]*Table1[[#This Row],[Quantity]]</f>
        <v>180000</v>
      </c>
      <c r="O434" s="3">
        <f>Table1[[#This Row],[Cost Price]]*Table1[[#This Row],[Quantity]]</f>
        <v>144000</v>
      </c>
      <c r="P434" s="3">
        <f>Table1[[#This Row],[Revenue]]-Table1[[#This Row],[COGS]]</f>
        <v>36000</v>
      </c>
      <c r="Q434" s="1">
        <v>433</v>
      </c>
    </row>
    <row r="435" spans="1:17">
      <c r="A435" t="s">
        <v>34</v>
      </c>
      <c r="B435" t="str">
        <f>TEXT(Table1[[#This Row],[Date]],"MMMM")</f>
        <v>April</v>
      </c>
      <c r="C435" t="str">
        <f>TEXT(Table1[[#This Row],[Date]],"DDDD")</f>
        <v>Tuesday</v>
      </c>
      <c r="D435" t="s">
        <v>44</v>
      </c>
      <c r="E435" t="s">
        <v>28</v>
      </c>
      <c r="F435" t="s">
        <v>41</v>
      </c>
      <c r="G435" t="s">
        <v>30</v>
      </c>
      <c r="H435" t="s">
        <v>54</v>
      </c>
      <c r="I435" t="s">
        <v>39</v>
      </c>
      <c r="J435" s="3">
        <v>180000</v>
      </c>
      <c r="K435">
        <v>1</v>
      </c>
      <c r="L435" t="s">
        <v>58</v>
      </c>
      <c r="M435" s="3">
        <v>144000</v>
      </c>
      <c r="N435" s="3">
        <f>Table1[[#This Row],[Unit Price]]*Table1[[#This Row],[Quantity]]</f>
        <v>180000</v>
      </c>
      <c r="O435" s="3">
        <f>Table1[[#This Row],[Cost Price]]*Table1[[#This Row],[Quantity]]</f>
        <v>144000</v>
      </c>
      <c r="P435" s="3">
        <f>Table1[[#This Row],[Revenue]]-Table1[[#This Row],[COGS]]</f>
        <v>36000</v>
      </c>
      <c r="Q435" s="1">
        <v>434</v>
      </c>
    </row>
    <row r="436" spans="1:17">
      <c r="A436" t="s">
        <v>95</v>
      </c>
      <c r="B436" t="str">
        <f>TEXT(Table1[[#This Row],[Date]],"MMMM")</f>
        <v>February</v>
      </c>
      <c r="C436" t="str">
        <f>TEXT(Table1[[#This Row],[Date]],"DDDD")</f>
        <v>Saturday</v>
      </c>
      <c r="D436" t="s">
        <v>44</v>
      </c>
      <c r="E436" t="s">
        <v>28</v>
      </c>
      <c r="F436" t="s">
        <v>29</v>
      </c>
      <c r="G436" t="s">
        <v>37</v>
      </c>
      <c r="H436" t="s">
        <v>71</v>
      </c>
      <c r="I436" t="s">
        <v>51</v>
      </c>
      <c r="J436" s="3">
        <v>250000</v>
      </c>
      <c r="K436">
        <v>9</v>
      </c>
      <c r="L436" t="s">
        <v>33</v>
      </c>
      <c r="M436" s="3">
        <v>200000</v>
      </c>
      <c r="N436" s="3">
        <f>Table1[[#This Row],[Unit Price]]*Table1[[#This Row],[Quantity]]</f>
        <v>2250000</v>
      </c>
      <c r="O436" s="3">
        <f>Table1[[#This Row],[Cost Price]]*Table1[[#This Row],[Quantity]]</f>
        <v>1800000</v>
      </c>
      <c r="P436" s="3">
        <f>Table1[[#This Row],[Revenue]]-Table1[[#This Row],[COGS]]</f>
        <v>450000</v>
      </c>
      <c r="Q436" s="1">
        <v>435</v>
      </c>
    </row>
    <row r="437" spans="1:17">
      <c r="A437" t="s">
        <v>122</v>
      </c>
      <c r="B437" t="str">
        <f>TEXT(Table1[[#This Row],[Date]],"MMMM")</f>
        <v>March</v>
      </c>
      <c r="C437" t="str">
        <f>TEXT(Table1[[#This Row],[Date]],"DDDD")</f>
        <v>Thursday</v>
      </c>
      <c r="D437" t="s">
        <v>27</v>
      </c>
      <c r="E437" t="s">
        <v>45</v>
      </c>
      <c r="F437" t="s">
        <v>41</v>
      </c>
      <c r="G437" t="s">
        <v>30</v>
      </c>
      <c r="H437" t="s">
        <v>56</v>
      </c>
      <c r="I437" t="s">
        <v>32</v>
      </c>
      <c r="J437" s="3">
        <v>320000</v>
      </c>
      <c r="K437">
        <v>1</v>
      </c>
      <c r="L437" t="s">
        <v>42</v>
      </c>
      <c r="M437" s="3">
        <v>256000</v>
      </c>
      <c r="N437" s="3">
        <f>Table1[[#This Row],[Unit Price]]*Table1[[#This Row],[Quantity]]</f>
        <v>320000</v>
      </c>
      <c r="O437" s="3">
        <f>Table1[[#This Row],[Cost Price]]*Table1[[#This Row],[Quantity]]</f>
        <v>256000</v>
      </c>
      <c r="P437" s="3">
        <f>Table1[[#This Row],[Revenue]]-Table1[[#This Row],[COGS]]</f>
        <v>64000</v>
      </c>
      <c r="Q437" s="1">
        <v>436</v>
      </c>
    </row>
    <row r="438" spans="1:17">
      <c r="A438" t="s">
        <v>144</v>
      </c>
      <c r="B438" t="str">
        <f>TEXT(Table1[[#This Row],[Date]],"MMMM")</f>
        <v>February</v>
      </c>
      <c r="C438" t="str">
        <f>TEXT(Table1[[#This Row],[Date]],"DDDD")</f>
        <v>Friday</v>
      </c>
      <c r="D438" t="s">
        <v>44</v>
      </c>
      <c r="E438" t="s">
        <v>36</v>
      </c>
      <c r="F438" t="s">
        <v>29</v>
      </c>
      <c r="G438" t="s">
        <v>37</v>
      </c>
      <c r="H438" t="s">
        <v>54</v>
      </c>
      <c r="I438" t="s">
        <v>39</v>
      </c>
      <c r="J438" s="3">
        <v>180000</v>
      </c>
      <c r="K438">
        <v>10</v>
      </c>
      <c r="L438" t="s">
        <v>33</v>
      </c>
      <c r="M438" s="3">
        <v>144000</v>
      </c>
      <c r="N438" s="3">
        <f>Table1[[#This Row],[Unit Price]]*Table1[[#This Row],[Quantity]]</f>
        <v>1800000</v>
      </c>
      <c r="O438" s="3">
        <f>Table1[[#This Row],[Cost Price]]*Table1[[#This Row],[Quantity]]</f>
        <v>1440000</v>
      </c>
      <c r="P438" s="3">
        <f>Table1[[#This Row],[Revenue]]-Table1[[#This Row],[COGS]]</f>
        <v>360000</v>
      </c>
      <c r="Q438" s="1">
        <v>437</v>
      </c>
    </row>
    <row r="439" spans="1:17">
      <c r="A439" t="s">
        <v>142</v>
      </c>
      <c r="B439" t="str">
        <f>TEXT(Table1[[#This Row],[Date]],"MMMM")</f>
        <v>April</v>
      </c>
      <c r="C439" t="str">
        <f>TEXT(Table1[[#This Row],[Date]],"DDDD")</f>
        <v>Monday</v>
      </c>
      <c r="D439" t="s">
        <v>35</v>
      </c>
      <c r="E439" t="s">
        <v>45</v>
      </c>
      <c r="F439" t="s">
        <v>29</v>
      </c>
      <c r="G439" t="s">
        <v>37</v>
      </c>
      <c r="H439" t="s">
        <v>50</v>
      </c>
      <c r="I439" t="s">
        <v>51</v>
      </c>
      <c r="J439" s="3">
        <v>300000</v>
      </c>
      <c r="K439">
        <v>10</v>
      </c>
      <c r="L439" t="s">
        <v>58</v>
      </c>
      <c r="M439" s="3">
        <v>240000</v>
      </c>
      <c r="N439" s="3">
        <f>Table1[[#This Row],[Unit Price]]*Table1[[#This Row],[Quantity]]</f>
        <v>3000000</v>
      </c>
      <c r="O439" s="3">
        <f>Table1[[#This Row],[Cost Price]]*Table1[[#This Row],[Quantity]]</f>
        <v>2400000</v>
      </c>
      <c r="P439" s="3">
        <f>Table1[[#This Row],[Revenue]]-Table1[[#This Row],[COGS]]</f>
        <v>600000</v>
      </c>
      <c r="Q439" s="1">
        <v>438</v>
      </c>
    </row>
    <row r="440" spans="1:17">
      <c r="A440" t="s">
        <v>78</v>
      </c>
      <c r="B440" t="str">
        <f>TEXT(Table1[[#This Row],[Date]],"MMMM")</f>
        <v>April</v>
      </c>
      <c r="C440" t="str">
        <f>TEXT(Table1[[#This Row],[Date]],"DDDD")</f>
        <v>Tuesday</v>
      </c>
      <c r="D440" t="s">
        <v>44</v>
      </c>
      <c r="E440" t="s">
        <v>28</v>
      </c>
      <c r="F440" t="s">
        <v>29</v>
      </c>
      <c r="G440" t="s">
        <v>30</v>
      </c>
      <c r="H440" t="s">
        <v>67</v>
      </c>
      <c r="I440" t="s">
        <v>51</v>
      </c>
      <c r="J440" s="3">
        <v>420000</v>
      </c>
      <c r="K440">
        <v>4</v>
      </c>
      <c r="L440" t="s">
        <v>65</v>
      </c>
      <c r="M440" s="3">
        <v>336000</v>
      </c>
      <c r="N440" s="3">
        <f>Table1[[#This Row],[Unit Price]]*Table1[[#This Row],[Quantity]]</f>
        <v>1680000</v>
      </c>
      <c r="O440" s="3">
        <f>Table1[[#This Row],[Cost Price]]*Table1[[#This Row],[Quantity]]</f>
        <v>1344000</v>
      </c>
      <c r="P440" s="3">
        <f>Table1[[#This Row],[Revenue]]-Table1[[#This Row],[COGS]]</f>
        <v>336000</v>
      </c>
      <c r="Q440" s="1">
        <v>439</v>
      </c>
    </row>
    <row r="441" spans="1:17">
      <c r="A441" t="s">
        <v>165</v>
      </c>
      <c r="B441" t="str">
        <f>TEXT(Table1[[#This Row],[Date]],"MMMM")</f>
        <v>April</v>
      </c>
      <c r="C441" t="str">
        <f>TEXT(Table1[[#This Row],[Date]],"DDDD")</f>
        <v>Sunday</v>
      </c>
      <c r="D441" t="s">
        <v>27</v>
      </c>
      <c r="E441" t="s">
        <v>28</v>
      </c>
      <c r="F441" t="s">
        <v>41</v>
      </c>
      <c r="G441" t="s">
        <v>37</v>
      </c>
      <c r="H441" t="s">
        <v>38</v>
      </c>
      <c r="I441" t="s">
        <v>39</v>
      </c>
      <c r="J441" s="3">
        <v>30000</v>
      </c>
      <c r="K441">
        <v>4</v>
      </c>
      <c r="L441" t="s">
        <v>47</v>
      </c>
      <c r="M441" s="3">
        <v>24000</v>
      </c>
      <c r="N441" s="3">
        <f>Table1[[#This Row],[Unit Price]]*Table1[[#This Row],[Quantity]]</f>
        <v>120000</v>
      </c>
      <c r="O441" s="3">
        <f>Table1[[#This Row],[Cost Price]]*Table1[[#This Row],[Quantity]]</f>
        <v>96000</v>
      </c>
      <c r="P441" s="3">
        <f>Table1[[#This Row],[Revenue]]-Table1[[#This Row],[COGS]]</f>
        <v>24000</v>
      </c>
      <c r="Q441" s="1">
        <v>440</v>
      </c>
    </row>
    <row r="442" spans="1:17">
      <c r="A442" t="s">
        <v>164</v>
      </c>
      <c r="B442" t="str">
        <f>TEXT(Table1[[#This Row],[Date]],"MMMM")</f>
        <v>March</v>
      </c>
      <c r="C442" t="str">
        <f>TEXT(Table1[[#This Row],[Date]],"DDDD")</f>
        <v>Tuesday</v>
      </c>
      <c r="D442" t="s">
        <v>49</v>
      </c>
      <c r="E442" t="s">
        <v>45</v>
      </c>
      <c r="F442" t="s">
        <v>29</v>
      </c>
      <c r="G442" t="s">
        <v>30</v>
      </c>
      <c r="H442" t="s">
        <v>38</v>
      </c>
      <c r="I442" t="s">
        <v>39</v>
      </c>
      <c r="J442" s="3">
        <v>30000</v>
      </c>
      <c r="K442">
        <v>10</v>
      </c>
      <c r="L442" t="s">
        <v>58</v>
      </c>
      <c r="M442" s="3">
        <v>24000</v>
      </c>
      <c r="N442" s="3">
        <f>Table1[[#This Row],[Unit Price]]*Table1[[#This Row],[Quantity]]</f>
        <v>300000</v>
      </c>
      <c r="O442" s="3">
        <f>Table1[[#This Row],[Cost Price]]*Table1[[#This Row],[Quantity]]</f>
        <v>240000</v>
      </c>
      <c r="P442" s="3">
        <f>Table1[[#This Row],[Revenue]]-Table1[[#This Row],[COGS]]</f>
        <v>60000</v>
      </c>
      <c r="Q442" s="1">
        <v>441</v>
      </c>
    </row>
    <row r="443" spans="1:17">
      <c r="A443" t="s">
        <v>162</v>
      </c>
      <c r="B443" t="str">
        <f>TEXT(Table1[[#This Row],[Date]],"MMMM")</f>
        <v>April</v>
      </c>
      <c r="C443" t="str">
        <f>TEXT(Table1[[#This Row],[Date]],"DDDD")</f>
        <v>Tuesday</v>
      </c>
      <c r="D443" t="s">
        <v>44</v>
      </c>
      <c r="E443" t="s">
        <v>28</v>
      </c>
      <c r="F443" t="s">
        <v>41</v>
      </c>
      <c r="G443" t="s">
        <v>37</v>
      </c>
      <c r="H443" t="s">
        <v>46</v>
      </c>
      <c r="I443" t="s">
        <v>39</v>
      </c>
      <c r="J443" s="3">
        <v>60000</v>
      </c>
      <c r="K443">
        <v>7</v>
      </c>
      <c r="L443" t="s">
        <v>33</v>
      </c>
      <c r="M443" s="3">
        <v>48000</v>
      </c>
      <c r="N443" s="3">
        <f>Table1[[#This Row],[Unit Price]]*Table1[[#This Row],[Quantity]]</f>
        <v>420000</v>
      </c>
      <c r="O443" s="3">
        <f>Table1[[#This Row],[Cost Price]]*Table1[[#This Row],[Quantity]]</f>
        <v>336000</v>
      </c>
      <c r="P443" s="3">
        <f>Table1[[#This Row],[Revenue]]-Table1[[#This Row],[COGS]]</f>
        <v>84000</v>
      </c>
      <c r="Q443" s="1">
        <v>442</v>
      </c>
    </row>
    <row r="444" spans="1:17">
      <c r="A444" t="s">
        <v>102</v>
      </c>
      <c r="B444" t="str">
        <f>TEXT(Table1[[#This Row],[Date]],"MMMM")</f>
        <v>March</v>
      </c>
      <c r="C444" t="str">
        <f>TEXT(Table1[[#This Row],[Date]],"DDDD")</f>
        <v>Wednesday</v>
      </c>
      <c r="D444" t="s">
        <v>49</v>
      </c>
      <c r="E444" t="s">
        <v>28</v>
      </c>
      <c r="F444" t="s">
        <v>41</v>
      </c>
      <c r="G444" t="s">
        <v>37</v>
      </c>
      <c r="H444" t="s">
        <v>54</v>
      </c>
      <c r="I444" t="s">
        <v>39</v>
      </c>
      <c r="J444" s="3">
        <v>180000</v>
      </c>
      <c r="K444">
        <v>4</v>
      </c>
      <c r="L444" t="s">
        <v>69</v>
      </c>
      <c r="M444" s="3">
        <v>144000</v>
      </c>
      <c r="N444" s="3">
        <f>Table1[[#This Row],[Unit Price]]*Table1[[#This Row],[Quantity]]</f>
        <v>720000</v>
      </c>
      <c r="O444" s="3">
        <f>Table1[[#This Row],[Cost Price]]*Table1[[#This Row],[Quantity]]</f>
        <v>576000</v>
      </c>
      <c r="P444" s="3">
        <f>Table1[[#This Row],[Revenue]]-Table1[[#This Row],[COGS]]</f>
        <v>144000</v>
      </c>
      <c r="Q444" s="1">
        <v>443</v>
      </c>
    </row>
    <row r="445" spans="1:17">
      <c r="A445" t="s">
        <v>159</v>
      </c>
      <c r="B445" t="str">
        <f>TEXT(Table1[[#This Row],[Date]],"MMMM")</f>
        <v>February</v>
      </c>
      <c r="C445" t="str">
        <f>TEXT(Table1[[#This Row],[Date]],"DDDD")</f>
        <v>Sunday</v>
      </c>
      <c r="D445" t="s">
        <v>27</v>
      </c>
      <c r="E445" t="s">
        <v>53</v>
      </c>
      <c r="F445" t="s">
        <v>29</v>
      </c>
      <c r="G445" t="s">
        <v>37</v>
      </c>
      <c r="H445" t="s">
        <v>38</v>
      </c>
      <c r="I445" t="s">
        <v>39</v>
      </c>
      <c r="J445" s="3">
        <v>30000</v>
      </c>
      <c r="K445">
        <v>7</v>
      </c>
      <c r="L445" t="s">
        <v>58</v>
      </c>
      <c r="M445" s="3">
        <v>24000</v>
      </c>
      <c r="N445" s="3">
        <f>Table1[[#This Row],[Unit Price]]*Table1[[#This Row],[Quantity]]</f>
        <v>210000</v>
      </c>
      <c r="O445" s="3">
        <f>Table1[[#This Row],[Cost Price]]*Table1[[#This Row],[Quantity]]</f>
        <v>168000</v>
      </c>
      <c r="P445" s="3">
        <f>Table1[[#This Row],[Revenue]]-Table1[[#This Row],[COGS]]</f>
        <v>42000</v>
      </c>
      <c r="Q445" s="1">
        <v>444</v>
      </c>
    </row>
    <row r="446" spans="1:17">
      <c r="A446" t="s">
        <v>103</v>
      </c>
      <c r="B446" t="str">
        <f>TEXT(Table1[[#This Row],[Date]],"MMMM")</f>
        <v>March</v>
      </c>
      <c r="C446" t="str">
        <f>TEXT(Table1[[#This Row],[Date]],"DDDD")</f>
        <v>Wednesday</v>
      </c>
      <c r="D446" t="s">
        <v>44</v>
      </c>
      <c r="E446" t="s">
        <v>36</v>
      </c>
      <c r="F446" t="s">
        <v>41</v>
      </c>
      <c r="G446" t="s">
        <v>37</v>
      </c>
      <c r="H446" t="s">
        <v>67</v>
      </c>
      <c r="I446" t="s">
        <v>51</v>
      </c>
      <c r="J446" s="3">
        <v>420000</v>
      </c>
      <c r="K446">
        <v>10</v>
      </c>
      <c r="L446" t="s">
        <v>33</v>
      </c>
      <c r="M446" s="3">
        <v>336000</v>
      </c>
      <c r="N446" s="3">
        <f>Table1[[#This Row],[Unit Price]]*Table1[[#This Row],[Quantity]]</f>
        <v>4200000</v>
      </c>
      <c r="O446" s="3">
        <f>Table1[[#This Row],[Cost Price]]*Table1[[#This Row],[Quantity]]</f>
        <v>3360000</v>
      </c>
      <c r="P446" s="3">
        <f>Table1[[#This Row],[Revenue]]-Table1[[#This Row],[COGS]]</f>
        <v>840000</v>
      </c>
      <c r="Q446" s="1">
        <v>445</v>
      </c>
    </row>
    <row r="447" spans="1:17">
      <c r="A447" t="s">
        <v>148</v>
      </c>
      <c r="B447" t="str">
        <f>TEXT(Table1[[#This Row],[Date]],"MMMM")</f>
        <v>February</v>
      </c>
      <c r="C447" t="str">
        <f>TEXT(Table1[[#This Row],[Date]],"DDDD")</f>
        <v>Sunday</v>
      </c>
      <c r="D447" t="s">
        <v>35</v>
      </c>
      <c r="E447" t="s">
        <v>28</v>
      </c>
      <c r="F447" t="s">
        <v>41</v>
      </c>
      <c r="G447" t="s">
        <v>30</v>
      </c>
      <c r="H447" t="s">
        <v>67</v>
      </c>
      <c r="I447" t="s">
        <v>51</v>
      </c>
      <c r="J447" s="3">
        <v>420000</v>
      </c>
      <c r="K447">
        <v>7</v>
      </c>
      <c r="L447" t="s">
        <v>58</v>
      </c>
      <c r="M447" s="3">
        <v>336000</v>
      </c>
      <c r="N447" s="3">
        <f>Table1[[#This Row],[Unit Price]]*Table1[[#This Row],[Quantity]]</f>
        <v>2940000</v>
      </c>
      <c r="O447" s="3">
        <f>Table1[[#This Row],[Cost Price]]*Table1[[#This Row],[Quantity]]</f>
        <v>2352000</v>
      </c>
      <c r="P447" s="3">
        <f>Table1[[#This Row],[Revenue]]-Table1[[#This Row],[COGS]]</f>
        <v>588000</v>
      </c>
      <c r="Q447" s="1">
        <v>446</v>
      </c>
    </row>
    <row r="448" spans="1:17">
      <c r="A448" t="s">
        <v>48</v>
      </c>
      <c r="B448" t="str">
        <f>TEXT(Table1[[#This Row],[Date]],"MMMM")</f>
        <v>April</v>
      </c>
      <c r="C448" t="str">
        <f>TEXT(Table1[[#This Row],[Date]],"DDDD")</f>
        <v>Sunday</v>
      </c>
      <c r="D448" t="s">
        <v>44</v>
      </c>
      <c r="E448" t="s">
        <v>45</v>
      </c>
      <c r="F448" t="s">
        <v>29</v>
      </c>
      <c r="G448" t="s">
        <v>37</v>
      </c>
      <c r="H448" t="s">
        <v>71</v>
      </c>
      <c r="I448" t="s">
        <v>51</v>
      </c>
      <c r="J448" s="3">
        <v>250000</v>
      </c>
      <c r="K448">
        <v>5</v>
      </c>
      <c r="L448" t="s">
        <v>42</v>
      </c>
      <c r="M448" s="3">
        <v>200000</v>
      </c>
      <c r="N448" s="3">
        <f>Table1[[#This Row],[Unit Price]]*Table1[[#This Row],[Quantity]]</f>
        <v>1250000</v>
      </c>
      <c r="O448" s="3">
        <f>Table1[[#This Row],[Cost Price]]*Table1[[#This Row],[Quantity]]</f>
        <v>1000000</v>
      </c>
      <c r="P448" s="3">
        <f>Table1[[#This Row],[Revenue]]-Table1[[#This Row],[COGS]]</f>
        <v>250000</v>
      </c>
      <c r="Q448" s="1">
        <v>447</v>
      </c>
    </row>
    <row r="449" spans="1:17">
      <c r="A449" t="s">
        <v>150</v>
      </c>
      <c r="B449" t="str">
        <f>TEXT(Table1[[#This Row],[Date]],"MMMM")</f>
        <v>January</v>
      </c>
      <c r="C449" t="str">
        <f>TEXT(Table1[[#This Row],[Date]],"DDDD")</f>
        <v>Sunday</v>
      </c>
      <c r="D449" t="s">
        <v>27</v>
      </c>
      <c r="E449" t="s">
        <v>53</v>
      </c>
      <c r="F449" t="s">
        <v>41</v>
      </c>
      <c r="G449" t="s">
        <v>30</v>
      </c>
      <c r="H449" t="s">
        <v>67</v>
      </c>
      <c r="I449" t="s">
        <v>51</v>
      </c>
      <c r="J449" s="3">
        <v>420000</v>
      </c>
      <c r="K449">
        <v>5</v>
      </c>
      <c r="L449" t="s">
        <v>47</v>
      </c>
      <c r="M449" s="3">
        <v>336000</v>
      </c>
      <c r="N449" s="3">
        <f>Table1[[#This Row],[Unit Price]]*Table1[[#This Row],[Quantity]]</f>
        <v>2100000</v>
      </c>
      <c r="O449" s="3">
        <f>Table1[[#This Row],[Cost Price]]*Table1[[#This Row],[Quantity]]</f>
        <v>1680000</v>
      </c>
      <c r="P449" s="3">
        <f>Table1[[#This Row],[Revenue]]-Table1[[#This Row],[COGS]]</f>
        <v>420000</v>
      </c>
      <c r="Q449" s="1">
        <v>448</v>
      </c>
    </row>
    <row r="450" spans="1:17">
      <c r="A450" t="s">
        <v>114</v>
      </c>
      <c r="B450" t="str">
        <f>TEXT(Table1[[#This Row],[Date]],"MMMM")</f>
        <v>April</v>
      </c>
      <c r="C450" t="str">
        <f>TEXT(Table1[[#This Row],[Date]],"DDDD")</f>
        <v>Sunday</v>
      </c>
      <c r="D450" t="s">
        <v>35</v>
      </c>
      <c r="E450" t="s">
        <v>45</v>
      </c>
      <c r="F450" t="s">
        <v>41</v>
      </c>
      <c r="G450" t="s">
        <v>37</v>
      </c>
      <c r="H450" t="s">
        <v>56</v>
      </c>
      <c r="I450" t="s">
        <v>32</v>
      </c>
      <c r="J450" s="3">
        <v>320000</v>
      </c>
      <c r="K450">
        <v>2</v>
      </c>
      <c r="L450" t="s">
        <v>47</v>
      </c>
      <c r="M450" s="3">
        <v>256000</v>
      </c>
      <c r="N450" s="3">
        <f>Table1[[#This Row],[Unit Price]]*Table1[[#This Row],[Quantity]]</f>
        <v>640000</v>
      </c>
      <c r="O450" s="3">
        <f>Table1[[#This Row],[Cost Price]]*Table1[[#This Row],[Quantity]]</f>
        <v>512000</v>
      </c>
      <c r="P450" s="3">
        <f>Table1[[#This Row],[Revenue]]-Table1[[#This Row],[COGS]]</f>
        <v>128000</v>
      </c>
      <c r="Q450" s="1">
        <v>449</v>
      </c>
    </row>
    <row r="451" spans="1:17">
      <c r="A451" t="s">
        <v>78</v>
      </c>
      <c r="B451" t="str">
        <f>TEXT(Table1[[#This Row],[Date]],"MMMM")</f>
        <v>April</v>
      </c>
      <c r="C451" t="str">
        <f>TEXT(Table1[[#This Row],[Date]],"DDDD")</f>
        <v>Tuesday</v>
      </c>
      <c r="D451" t="s">
        <v>49</v>
      </c>
      <c r="E451" t="s">
        <v>28</v>
      </c>
      <c r="F451" t="s">
        <v>29</v>
      </c>
      <c r="G451" t="s">
        <v>37</v>
      </c>
      <c r="H451" t="s">
        <v>50</v>
      </c>
      <c r="I451" t="s">
        <v>51</v>
      </c>
      <c r="J451" s="3">
        <v>300000</v>
      </c>
      <c r="K451">
        <v>10</v>
      </c>
      <c r="L451" t="s">
        <v>65</v>
      </c>
      <c r="M451" s="3">
        <v>240000</v>
      </c>
      <c r="N451" s="3">
        <f>Table1[[#This Row],[Unit Price]]*Table1[[#This Row],[Quantity]]</f>
        <v>3000000</v>
      </c>
      <c r="O451" s="3">
        <f>Table1[[#This Row],[Cost Price]]*Table1[[#This Row],[Quantity]]</f>
        <v>2400000</v>
      </c>
      <c r="P451" s="3">
        <f>Table1[[#This Row],[Revenue]]-Table1[[#This Row],[COGS]]</f>
        <v>600000</v>
      </c>
      <c r="Q451" s="1">
        <v>450</v>
      </c>
    </row>
    <row r="452" spans="1:17">
      <c r="A452" t="s">
        <v>115</v>
      </c>
      <c r="B452" t="str">
        <f>TEXT(Table1[[#This Row],[Date]],"MMMM")</f>
        <v>January</v>
      </c>
      <c r="C452" t="str">
        <f>TEXT(Table1[[#This Row],[Date]],"DDDD")</f>
        <v>Thursday</v>
      </c>
      <c r="D452" t="s">
        <v>35</v>
      </c>
      <c r="E452" t="s">
        <v>28</v>
      </c>
      <c r="F452" t="s">
        <v>29</v>
      </c>
      <c r="G452" t="s">
        <v>30</v>
      </c>
      <c r="H452" t="s">
        <v>71</v>
      </c>
      <c r="I452" t="s">
        <v>51</v>
      </c>
      <c r="J452" s="3">
        <v>250000</v>
      </c>
      <c r="K452">
        <v>5</v>
      </c>
      <c r="L452" t="s">
        <v>65</v>
      </c>
      <c r="M452" s="3">
        <v>200000</v>
      </c>
      <c r="N452" s="3">
        <f>Table1[[#This Row],[Unit Price]]*Table1[[#This Row],[Quantity]]</f>
        <v>1250000</v>
      </c>
      <c r="O452" s="3">
        <f>Table1[[#This Row],[Cost Price]]*Table1[[#This Row],[Quantity]]</f>
        <v>1000000</v>
      </c>
      <c r="P452" s="3">
        <f>Table1[[#This Row],[Revenue]]-Table1[[#This Row],[COGS]]</f>
        <v>250000</v>
      </c>
      <c r="Q452" s="1">
        <v>451</v>
      </c>
    </row>
    <row r="453" spans="1:17">
      <c r="A453" t="s">
        <v>162</v>
      </c>
      <c r="B453" t="str">
        <f>TEXT(Table1[[#This Row],[Date]],"MMMM")</f>
        <v>April</v>
      </c>
      <c r="C453" t="str">
        <f>TEXT(Table1[[#This Row],[Date]],"DDDD")</f>
        <v>Tuesday</v>
      </c>
      <c r="D453" t="s">
        <v>44</v>
      </c>
      <c r="E453" t="s">
        <v>45</v>
      </c>
      <c r="F453" t="s">
        <v>41</v>
      </c>
      <c r="G453" t="s">
        <v>37</v>
      </c>
      <c r="H453" t="s">
        <v>71</v>
      </c>
      <c r="I453" t="s">
        <v>51</v>
      </c>
      <c r="J453" s="3">
        <v>250000</v>
      </c>
      <c r="K453">
        <v>2</v>
      </c>
      <c r="L453" t="s">
        <v>42</v>
      </c>
      <c r="M453" s="3">
        <v>200000</v>
      </c>
      <c r="N453" s="3">
        <f>Table1[[#This Row],[Unit Price]]*Table1[[#This Row],[Quantity]]</f>
        <v>500000</v>
      </c>
      <c r="O453" s="3">
        <f>Table1[[#This Row],[Cost Price]]*Table1[[#This Row],[Quantity]]</f>
        <v>400000</v>
      </c>
      <c r="P453" s="3">
        <f>Table1[[#This Row],[Revenue]]-Table1[[#This Row],[COGS]]</f>
        <v>100000</v>
      </c>
      <c r="Q453" s="1">
        <v>452</v>
      </c>
    </row>
    <row r="454" spans="1:17">
      <c r="A454" t="s">
        <v>127</v>
      </c>
      <c r="B454" t="str">
        <f>TEXT(Table1[[#This Row],[Date]],"MMMM")</f>
        <v>January</v>
      </c>
      <c r="C454" t="str">
        <f>TEXT(Table1[[#This Row],[Date]],"DDDD")</f>
        <v>Tuesday</v>
      </c>
      <c r="D454" t="s">
        <v>49</v>
      </c>
      <c r="E454" t="s">
        <v>36</v>
      </c>
      <c r="F454" t="s">
        <v>29</v>
      </c>
      <c r="G454" t="s">
        <v>37</v>
      </c>
      <c r="H454" t="s">
        <v>54</v>
      </c>
      <c r="I454" t="s">
        <v>39</v>
      </c>
      <c r="J454" s="3">
        <v>180000</v>
      </c>
      <c r="K454">
        <v>1</v>
      </c>
      <c r="L454" t="s">
        <v>33</v>
      </c>
      <c r="M454" s="3">
        <v>144000</v>
      </c>
      <c r="N454" s="3">
        <f>Table1[[#This Row],[Unit Price]]*Table1[[#This Row],[Quantity]]</f>
        <v>180000</v>
      </c>
      <c r="O454" s="3">
        <f>Table1[[#This Row],[Cost Price]]*Table1[[#This Row],[Quantity]]</f>
        <v>144000</v>
      </c>
      <c r="P454" s="3">
        <f>Table1[[#This Row],[Revenue]]-Table1[[#This Row],[COGS]]</f>
        <v>36000</v>
      </c>
      <c r="Q454" s="1">
        <v>453</v>
      </c>
    </row>
    <row r="455" spans="1:17">
      <c r="A455" t="s">
        <v>81</v>
      </c>
      <c r="B455" t="str">
        <f>TEXT(Table1[[#This Row],[Date]],"MMMM")</f>
        <v>March</v>
      </c>
      <c r="C455" t="str">
        <f>TEXT(Table1[[#This Row],[Date]],"DDDD")</f>
        <v>Sunday</v>
      </c>
      <c r="D455" t="s">
        <v>35</v>
      </c>
      <c r="E455" t="s">
        <v>36</v>
      </c>
      <c r="F455" t="s">
        <v>29</v>
      </c>
      <c r="G455" t="s">
        <v>37</v>
      </c>
      <c r="H455" t="s">
        <v>56</v>
      </c>
      <c r="I455" t="s">
        <v>32</v>
      </c>
      <c r="J455" s="3">
        <v>320000</v>
      </c>
      <c r="K455">
        <v>10</v>
      </c>
      <c r="L455" t="s">
        <v>58</v>
      </c>
      <c r="M455" s="3">
        <v>256000</v>
      </c>
      <c r="N455" s="3">
        <f>Table1[[#This Row],[Unit Price]]*Table1[[#This Row],[Quantity]]</f>
        <v>3200000</v>
      </c>
      <c r="O455" s="3">
        <f>Table1[[#This Row],[Cost Price]]*Table1[[#This Row],[Quantity]]</f>
        <v>2560000</v>
      </c>
      <c r="P455" s="3">
        <f>Table1[[#This Row],[Revenue]]-Table1[[#This Row],[COGS]]</f>
        <v>640000</v>
      </c>
      <c r="Q455" s="1">
        <v>454</v>
      </c>
    </row>
    <row r="456" spans="1:17">
      <c r="A456" t="s">
        <v>125</v>
      </c>
      <c r="B456" t="str">
        <f>TEXT(Table1[[#This Row],[Date]],"MMMM")</f>
        <v>February</v>
      </c>
      <c r="C456" t="str">
        <f>TEXT(Table1[[#This Row],[Date]],"DDDD")</f>
        <v>Tuesday</v>
      </c>
      <c r="D456" t="s">
        <v>44</v>
      </c>
      <c r="E456" t="s">
        <v>45</v>
      </c>
      <c r="F456" t="s">
        <v>41</v>
      </c>
      <c r="G456" t="s">
        <v>37</v>
      </c>
      <c r="H456" t="s">
        <v>62</v>
      </c>
      <c r="I456" t="s">
        <v>51</v>
      </c>
      <c r="J456" s="3">
        <v>150000</v>
      </c>
      <c r="K456">
        <v>2</v>
      </c>
      <c r="L456" t="s">
        <v>33</v>
      </c>
      <c r="M456" s="3">
        <v>120000</v>
      </c>
      <c r="N456" s="3">
        <f>Table1[[#This Row],[Unit Price]]*Table1[[#This Row],[Quantity]]</f>
        <v>300000</v>
      </c>
      <c r="O456" s="3">
        <f>Table1[[#This Row],[Cost Price]]*Table1[[#This Row],[Quantity]]</f>
        <v>240000</v>
      </c>
      <c r="P456" s="3">
        <f>Table1[[#This Row],[Revenue]]-Table1[[#This Row],[COGS]]</f>
        <v>60000</v>
      </c>
      <c r="Q456" s="1">
        <v>455</v>
      </c>
    </row>
    <row r="457" spans="1:17">
      <c r="A457" t="s">
        <v>87</v>
      </c>
      <c r="B457" t="str">
        <f>TEXT(Table1[[#This Row],[Date]],"MMMM")</f>
        <v>March</v>
      </c>
      <c r="C457" t="str">
        <f>TEXT(Table1[[#This Row],[Date]],"DDDD")</f>
        <v>Thursday</v>
      </c>
      <c r="D457" t="s">
        <v>35</v>
      </c>
      <c r="E457" t="s">
        <v>36</v>
      </c>
      <c r="F457" t="s">
        <v>29</v>
      </c>
      <c r="G457" t="s">
        <v>37</v>
      </c>
      <c r="H457" t="s">
        <v>54</v>
      </c>
      <c r="I457" t="s">
        <v>39</v>
      </c>
      <c r="J457" s="3">
        <v>180000</v>
      </c>
      <c r="K457">
        <v>10</v>
      </c>
      <c r="L457" t="s">
        <v>47</v>
      </c>
      <c r="M457" s="3">
        <v>144000</v>
      </c>
      <c r="N457" s="3">
        <f>Table1[[#This Row],[Unit Price]]*Table1[[#This Row],[Quantity]]</f>
        <v>1800000</v>
      </c>
      <c r="O457" s="3">
        <f>Table1[[#This Row],[Cost Price]]*Table1[[#This Row],[Quantity]]</f>
        <v>1440000</v>
      </c>
      <c r="P457" s="3">
        <f>Table1[[#This Row],[Revenue]]-Table1[[#This Row],[COGS]]</f>
        <v>360000</v>
      </c>
      <c r="Q457" s="1">
        <v>456</v>
      </c>
    </row>
    <row r="458" spans="1:17">
      <c r="A458" t="s">
        <v>116</v>
      </c>
      <c r="B458" t="str">
        <f>TEXT(Table1[[#This Row],[Date]],"MMMM")</f>
        <v>April</v>
      </c>
      <c r="C458" t="str">
        <f>TEXT(Table1[[#This Row],[Date]],"DDDD")</f>
        <v>Saturday</v>
      </c>
      <c r="D458" t="s">
        <v>27</v>
      </c>
      <c r="E458" t="s">
        <v>36</v>
      </c>
      <c r="F458" t="s">
        <v>29</v>
      </c>
      <c r="G458" t="s">
        <v>30</v>
      </c>
      <c r="H458" t="s">
        <v>62</v>
      </c>
      <c r="I458" t="s">
        <v>51</v>
      </c>
      <c r="J458" s="3">
        <v>150000</v>
      </c>
      <c r="K458">
        <v>2</v>
      </c>
      <c r="L458" t="s">
        <v>47</v>
      </c>
      <c r="M458" s="3">
        <v>120000</v>
      </c>
      <c r="N458" s="3">
        <f>Table1[[#This Row],[Unit Price]]*Table1[[#This Row],[Quantity]]</f>
        <v>300000</v>
      </c>
      <c r="O458" s="3">
        <f>Table1[[#This Row],[Cost Price]]*Table1[[#This Row],[Quantity]]</f>
        <v>240000</v>
      </c>
      <c r="P458" s="3">
        <f>Table1[[#This Row],[Revenue]]-Table1[[#This Row],[COGS]]</f>
        <v>60000</v>
      </c>
      <c r="Q458" s="1">
        <v>457</v>
      </c>
    </row>
    <row r="459" spans="1:17">
      <c r="A459" t="s">
        <v>116</v>
      </c>
      <c r="B459" t="str">
        <f>TEXT(Table1[[#This Row],[Date]],"MMMM")</f>
        <v>April</v>
      </c>
      <c r="C459" t="str">
        <f>TEXT(Table1[[#This Row],[Date]],"DDDD")</f>
        <v>Saturday</v>
      </c>
      <c r="D459" t="s">
        <v>44</v>
      </c>
      <c r="E459" t="s">
        <v>45</v>
      </c>
      <c r="F459" t="s">
        <v>41</v>
      </c>
      <c r="G459" t="s">
        <v>37</v>
      </c>
      <c r="H459" t="s">
        <v>46</v>
      </c>
      <c r="I459" t="s">
        <v>39</v>
      </c>
      <c r="J459" s="3">
        <v>60000</v>
      </c>
      <c r="K459">
        <v>10</v>
      </c>
      <c r="L459" t="s">
        <v>47</v>
      </c>
      <c r="M459" s="3">
        <v>48000</v>
      </c>
      <c r="N459" s="3">
        <f>Table1[[#This Row],[Unit Price]]*Table1[[#This Row],[Quantity]]</f>
        <v>600000</v>
      </c>
      <c r="O459" s="3">
        <f>Table1[[#This Row],[Cost Price]]*Table1[[#This Row],[Quantity]]</f>
        <v>480000</v>
      </c>
      <c r="P459" s="3">
        <f>Table1[[#This Row],[Revenue]]-Table1[[#This Row],[COGS]]</f>
        <v>120000</v>
      </c>
      <c r="Q459" s="1">
        <v>458</v>
      </c>
    </row>
    <row r="460" spans="1:17">
      <c r="A460" t="s">
        <v>129</v>
      </c>
      <c r="B460" t="str">
        <f>TEXT(Table1[[#This Row],[Date]],"MMMM")</f>
        <v>March</v>
      </c>
      <c r="C460" t="str">
        <f>TEXT(Table1[[#This Row],[Date]],"DDDD")</f>
        <v>Tuesday</v>
      </c>
      <c r="D460" t="s">
        <v>27</v>
      </c>
      <c r="E460" t="s">
        <v>53</v>
      </c>
      <c r="F460" t="s">
        <v>41</v>
      </c>
      <c r="G460" t="s">
        <v>30</v>
      </c>
      <c r="H460" t="s">
        <v>73</v>
      </c>
      <c r="I460" t="s">
        <v>39</v>
      </c>
      <c r="J460" s="3">
        <v>220000</v>
      </c>
      <c r="K460">
        <v>4</v>
      </c>
      <c r="L460" t="s">
        <v>58</v>
      </c>
      <c r="M460" s="3">
        <v>176000</v>
      </c>
      <c r="N460" s="3">
        <f>Table1[[#This Row],[Unit Price]]*Table1[[#This Row],[Quantity]]</f>
        <v>880000</v>
      </c>
      <c r="O460" s="3">
        <f>Table1[[#This Row],[Cost Price]]*Table1[[#This Row],[Quantity]]</f>
        <v>704000</v>
      </c>
      <c r="P460" s="3">
        <f>Table1[[#This Row],[Revenue]]-Table1[[#This Row],[COGS]]</f>
        <v>176000</v>
      </c>
      <c r="Q460" s="1">
        <v>459</v>
      </c>
    </row>
    <row r="461" spans="1:17">
      <c r="A461" t="s">
        <v>48</v>
      </c>
      <c r="B461" t="str">
        <f>TEXT(Table1[[#This Row],[Date]],"MMMM")</f>
        <v>April</v>
      </c>
      <c r="C461" t="str">
        <f>TEXT(Table1[[#This Row],[Date]],"DDDD")</f>
        <v>Sunday</v>
      </c>
      <c r="D461" t="s">
        <v>44</v>
      </c>
      <c r="E461" t="s">
        <v>36</v>
      </c>
      <c r="F461" t="s">
        <v>29</v>
      </c>
      <c r="G461" t="s">
        <v>30</v>
      </c>
      <c r="H461" t="s">
        <v>46</v>
      </c>
      <c r="I461" t="s">
        <v>39</v>
      </c>
      <c r="J461" s="3">
        <v>60000</v>
      </c>
      <c r="K461">
        <v>5</v>
      </c>
      <c r="L461" t="s">
        <v>58</v>
      </c>
      <c r="M461" s="3">
        <v>48000</v>
      </c>
      <c r="N461" s="3">
        <f>Table1[[#This Row],[Unit Price]]*Table1[[#This Row],[Quantity]]</f>
        <v>300000</v>
      </c>
      <c r="O461" s="3">
        <f>Table1[[#This Row],[Cost Price]]*Table1[[#This Row],[Quantity]]</f>
        <v>240000</v>
      </c>
      <c r="P461" s="3">
        <f>Table1[[#This Row],[Revenue]]-Table1[[#This Row],[COGS]]</f>
        <v>60000</v>
      </c>
      <c r="Q461" s="1">
        <v>460</v>
      </c>
    </row>
    <row r="462" spans="1:17">
      <c r="A462" t="s">
        <v>125</v>
      </c>
      <c r="B462" t="str">
        <f>TEXT(Table1[[#This Row],[Date]],"MMMM")</f>
        <v>February</v>
      </c>
      <c r="C462" t="str">
        <f>TEXT(Table1[[#This Row],[Date]],"DDDD")</f>
        <v>Tuesday</v>
      </c>
      <c r="D462" t="s">
        <v>44</v>
      </c>
      <c r="E462" t="s">
        <v>53</v>
      </c>
      <c r="F462" t="s">
        <v>41</v>
      </c>
      <c r="G462" t="s">
        <v>30</v>
      </c>
      <c r="H462" t="s">
        <v>71</v>
      </c>
      <c r="I462" t="s">
        <v>51</v>
      </c>
      <c r="J462" s="3">
        <v>250000</v>
      </c>
      <c r="K462">
        <v>3</v>
      </c>
      <c r="L462" t="s">
        <v>42</v>
      </c>
      <c r="M462" s="3">
        <v>200000</v>
      </c>
      <c r="N462" s="3">
        <f>Table1[[#This Row],[Unit Price]]*Table1[[#This Row],[Quantity]]</f>
        <v>750000</v>
      </c>
      <c r="O462" s="3">
        <f>Table1[[#This Row],[Cost Price]]*Table1[[#This Row],[Quantity]]</f>
        <v>600000</v>
      </c>
      <c r="P462" s="3">
        <f>Table1[[#This Row],[Revenue]]-Table1[[#This Row],[COGS]]</f>
        <v>150000</v>
      </c>
      <c r="Q462" s="1">
        <v>461</v>
      </c>
    </row>
    <row r="463" spans="1:17">
      <c r="A463" t="s">
        <v>126</v>
      </c>
      <c r="B463" t="str">
        <f>TEXT(Table1[[#This Row],[Date]],"MMMM")</f>
        <v>January</v>
      </c>
      <c r="C463" t="str">
        <f>TEXT(Table1[[#This Row],[Date]],"DDDD")</f>
        <v>Thursday</v>
      </c>
      <c r="D463" t="s">
        <v>44</v>
      </c>
      <c r="E463" t="s">
        <v>36</v>
      </c>
      <c r="F463" t="s">
        <v>41</v>
      </c>
      <c r="G463" t="s">
        <v>37</v>
      </c>
      <c r="H463" t="s">
        <v>62</v>
      </c>
      <c r="I463" t="s">
        <v>51</v>
      </c>
      <c r="J463" s="3">
        <v>150000</v>
      </c>
      <c r="K463">
        <v>1</v>
      </c>
      <c r="L463" t="s">
        <v>65</v>
      </c>
      <c r="M463" s="3">
        <v>120000</v>
      </c>
      <c r="N463" s="3">
        <f>Table1[[#This Row],[Unit Price]]*Table1[[#This Row],[Quantity]]</f>
        <v>150000</v>
      </c>
      <c r="O463" s="3">
        <f>Table1[[#This Row],[Cost Price]]*Table1[[#This Row],[Quantity]]</f>
        <v>120000</v>
      </c>
      <c r="P463" s="3">
        <f>Table1[[#This Row],[Revenue]]-Table1[[#This Row],[COGS]]</f>
        <v>30000</v>
      </c>
      <c r="Q463" s="1">
        <v>462</v>
      </c>
    </row>
    <row r="464" spans="1:17">
      <c r="A464" t="s">
        <v>124</v>
      </c>
      <c r="B464" t="str">
        <f>TEXT(Table1[[#This Row],[Date]],"MMMM")</f>
        <v>February</v>
      </c>
      <c r="C464" t="str">
        <f>TEXT(Table1[[#This Row],[Date]],"DDDD")</f>
        <v>Monday</v>
      </c>
      <c r="D464" t="s">
        <v>49</v>
      </c>
      <c r="E464" t="s">
        <v>53</v>
      </c>
      <c r="F464" t="s">
        <v>41</v>
      </c>
      <c r="G464" t="s">
        <v>37</v>
      </c>
      <c r="H464" t="s">
        <v>73</v>
      </c>
      <c r="I464" t="s">
        <v>39</v>
      </c>
      <c r="J464" s="3">
        <v>220000</v>
      </c>
      <c r="K464">
        <v>1</v>
      </c>
      <c r="L464" t="s">
        <v>42</v>
      </c>
      <c r="M464" s="3">
        <v>176000</v>
      </c>
      <c r="N464" s="3">
        <f>Table1[[#This Row],[Unit Price]]*Table1[[#This Row],[Quantity]]</f>
        <v>220000</v>
      </c>
      <c r="O464" s="3">
        <f>Table1[[#This Row],[Cost Price]]*Table1[[#This Row],[Quantity]]</f>
        <v>176000</v>
      </c>
      <c r="P464" s="3">
        <f>Table1[[#This Row],[Revenue]]-Table1[[#This Row],[COGS]]</f>
        <v>44000</v>
      </c>
      <c r="Q464" s="1">
        <v>463</v>
      </c>
    </row>
    <row r="465" spans="1:17">
      <c r="A465" t="s">
        <v>160</v>
      </c>
      <c r="B465" t="str">
        <f>TEXT(Table1[[#This Row],[Date]],"MMMM")</f>
        <v>January</v>
      </c>
      <c r="C465" t="str">
        <f>TEXT(Table1[[#This Row],[Date]],"DDDD")</f>
        <v>Saturday</v>
      </c>
      <c r="D465" t="s">
        <v>35</v>
      </c>
      <c r="E465" t="s">
        <v>45</v>
      </c>
      <c r="F465" t="s">
        <v>29</v>
      </c>
      <c r="G465" t="s">
        <v>37</v>
      </c>
      <c r="H465" t="s">
        <v>71</v>
      </c>
      <c r="I465" t="s">
        <v>51</v>
      </c>
      <c r="J465" s="3">
        <v>250000</v>
      </c>
      <c r="K465">
        <v>6</v>
      </c>
      <c r="L465" t="s">
        <v>65</v>
      </c>
      <c r="M465" s="3">
        <v>200000</v>
      </c>
      <c r="N465" s="3">
        <f>Table1[[#This Row],[Unit Price]]*Table1[[#This Row],[Quantity]]</f>
        <v>1500000</v>
      </c>
      <c r="O465" s="3">
        <f>Table1[[#This Row],[Cost Price]]*Table1[[#This Row],[Quantity]]</f>
        <v>1200000</v>
      </c>
      <c r="P465" s="3">
        <f>Table1[[#This Row],[Revenue]]-Table1[[#This Row],[COGS]]</f>
        <v>300000</v>
      </c>
      <c r="Q465" s="1">
        <v>464</v>
      </c>
    </row>
    <row r="466" spans="1:17">
      <c r="A466" t="s">
        <v>102</v>
      </c>
      <c r="B466" t="str">
        <f>TEXT(Table1[[#This Row],[Date]],"MMMM")</f>
        <v>March</v>
      </c>
      <c r="C466" t="str">
        <f>TEXT(Table1[[#This Row],[Date]],"DDDD")</f>
        <v>Wednesday</v>
      </c>
      <c r="D466" t="s">
        <v>27</v>
      </c>
      <c r="E466" t="s">
        <v>53</v>
      </c>
      <c r="F466" t="s">
        <v>29</v>
      </c>
      <c r="G466" t="s">
        <v>37</v>
      </c>
      <c r="H466" t="s">
        <v>73</v>
      </c>
      <c r="I466" t="s">
        <v>39</v>
      </c>
      <c r="J466" s="3">
        <v>220000</v>
      </c>
      <c r="K466">
        <v>10</v>
      </c>
      <c r="L466" t="s">
        <v>58</v>
      </c>
      <c r="M466" s="3">
        <v>176000</v>
      </c>
      <c r="N466" s="3">
        <f>Table1[[#This Row],[Unit Price]]*Table1[[#This Row],[Quantity]]</f>
        <v>2200000</v>
      </c>
      <c r="O466" s="3">
        <f>Table1[[#This Row],[Cost Price]]*Table1[[#This Row],[Quantity]]</f>
        <v>1760000</v>
      </c>
      <c r="P466" s="3">
        <f>Table1[[#This Row],[Revenue]]-Table1[[#This Row],[COGS]]</f>
        <v>440000</v>
      </c>
      <c r="Q466" s="1">
        <v>465</v>
      </c>
    </row>
    <row r="467" spans="1:17">
      <c r="A467" t="s">
        <v>64</v>
      </c>
      <c r="B467" t="str">
        <f>TEXT(Table1[[#This Row],[Date]],"MMMM")</f>
        <v>April</v>
      </c>
      <c r="C467" t="str">
        <f>TEXT(Table1[[#This Row],[Date]],"DDDD")</f>
        <v>Saturday</v>
      </c>
      <c r="D467" t="s">
        <v>35</v>
      </c>
      <c r="E467" t="s">
        <v>28</v>
      </c>
      <c r="F467" t="s">
        <v>29</v>
      </c>
      <c r="G467" t="s">
        <v>37</v>
      </c>
      <c r="H467" t="s">
        <v>54</v>
      </c>
      <c r="I467" t="s">
        <v>39</v>
      </c>
      <c r="J467" s="3">
        <v>180000</v>
      </c>
      <c r="K467">
        <v>10</v>
      </c>
      <c r="L467" t="s">
        <v>42</v>
      </c>
      <c r="M467" s="3">
        <v>144000</v>
      </c>
      <c r="N467" s="3">
        <f>Table1[[#This Row],[Unit Price]]*Table1[[#This Row],[Quantity]]</f>
        <v>1800000</v>
      </c>
      <c r="O467" s="3">
        <f>Table1[[#This Row],[Cost Price]]*Table1[[#This Row],[Quantity]]</f>
        <v>1440000</v>
      </c>
      <c r="P467" s="3">
        <f>Table1[[#This Row],[Revenue]]-Table1[[#This Row],[COGS]]</f>
        <v>360000</v>
      </c>
      <c r="Q467" s="1">
        <v>466</v>
      </c>
    </row>
    <row r="468" spans="1:17">
      <c r="A468" t="s">
        <v>171</v>
      </c>
      <c r="B468" t="str">
        <f>TEXT(Table1[[#This Row],[Date]],"MMMM")</f>
        <v>March</v>
      </c>
      <c r="C468" t="str">
        <f>TEXT(Table1[[#This Row],[Date]],"DDDD")</f>
        <v>Monday</v>
      </c>
      <c r="D468" t="s">
        <v>27</v>
      </c>
      <c r="E468" t="s">
        <v>28</v>
      </c>
      <c r="F468" t="s">
        <v>41</v>
      </c>
      <c r="G468" t="s">
        <v>30</v>
      </c>
      <c r="H468" t="s">
        <v>46</v>
      </c>
      <c r="I468" t="s">
        <v>39</v>
      </c>
      <c r="J468" s="3">
        <v>60000</v>
      </c>
      <c r="K468">
        <v>6</v>
      </c>
      <c r="L468" t="s">
        <v>69</v>
      </c>
      <c r="M468" s="3">
        <v>48000</v>
      </c>
      <c r="N468" s="3">
        <f>Table1[[#This Row],[Unit Price]]*Table1[[#This Row],[Quantity]]</f>
        <v>360000</v>
      </c>
      <c r="O468" s="3">
        <f>Table1[[#This Row],[Cost Price]]*Table1[[#This Row],[Quantity]]</f>
        <v>288000</v>
      </c>
      <c r="P468" s="3">
        <f>Table1[[#This Row],[Revenue]]-Table1[[#This Row],[COGS]]</f>
        <v>72000</v>
      </c>
      <c r="Q468" s="1">
        <v>467</v>
      </c>
    </row>
    <row r="469" spans="1:17">
      <c r="A469" t="s">
        <v>165</v>
      </c>
      <c r="B469" t="str">
        <f>TEXT(Table1[[#This Row],[Date]],"MMMM")</f>
        <v>April</v>
      </c>
      <c r="C469" t="str">
        <f>TEXT(Table1[[#This Row],[Date]],"DDDD")</f>
        <v>Sunday</v>
      </c>
      <c r="D469" t="s">
        <v>49</v>
      </c>
      <c r="E469" t="s">
        <v>45</v>
      </c>
      <c r="F469" t="s">
        <v>29</v>
      </c>
      <c r="G469" t="s">
        <v>37</v>
      </c>
      <c r="H469" t="s">
        <v>73</v>
      </c>
      <c r="I469" t="s">
        <v>39</v>
      </c>
      <c r="J469" s="3">
        <v>220000</v>
      </c>
      <c r="K469">
        <v>4</v>
      </c>
      <c r="L469" t="s">
        <v>42</v>
      </c>
      <c r="M469" s="3">
        <v>176000</v>
      </c>
      <c r="N469" s="3">
        <f>Table1[[#This Row],[Unit Price]]*Table1[[#This Row],[Quantity]]</f>
        <v>880000</v>
      </c>
      <c r="O469" s="3">
        <f>Table1[[#This Row],[Cost Price]]*Table1[[#This Row],[Quantity]]</f>
        <v>704000</v>
      </c>
      <c r="P469" s="3">
        <f>Table1[[#This Row],[Revenue]]-Table1[[#This Row],[COGS]]</f>
        <v>176000</v>
      </c>
      <c r="Q469" s="1">
        <v>468</v>
      </c>
    </row>
    <row r="470" spans="1:17">
      <c r="A470" t="s">
        <v>86</v>
      </c>
      <c r="B470" t="str">
        <f>TEXT(Table1[[#This Row],[Date]],"MMMM")</f>
        <v>February</v>
      </c>
      <c r="C470" t="str">
        <f>TEXT(Table1[[#This Row],[Date]],"DDDD")</f>
        <v>Thursday</v>
      </c>
      <c r="D470" t="s">
        <v>44</v>
      </c>
      <c r="E470" t="s">
        <v>53</v>
      </c>
      <c r="F470" t="s">
        <v>41</v>
      </c>
      <c r="G470" t="s">
        <v>30</v>
      </c>
      <c r="H470" t="s">
        <v>62</v>
      </c>
      <c r="I470" t="s">
        <v>51</v>
      </c>
      <c r="J470" s="3">
        <v>150000</v>
      </c>
      <c r="K470">
        <v>1</v>
      </c>
      <c r="L470" t="s">
        <v>42</v>
      </c>
      <c r="M470" s="3">
        <v>120000</v>
      </c>
      <c r="N470" s="3">
        <f>Table1[[#This Row],[Unit Price]]*Table1[[#This Row],[Quantity]]</f>
        <v>150000</v>
      </c>
      <c r="O470" s="3">
        <f>Table1[[#This Row],[Cost Price]]*Table1[[#This Row],[Quantity]]</f>
        <v>120000</v>
      </c>
      <c r="P470" s="3">
        <f>Table1[[#This Row],[Revenue]]-Table1[[#This Row],[COGS]]</f>
        <v>30000</v>
      </c>
      <c r="Q470" s="1">
        <v>469</v>
      </c>
    </row>
    <row r="471" spans="1:17">
      <c r="A471" t="s">
        <v>88</v>
      </c>
      <c r="B471" t="str">
        <f>TEXT(Table1[[#This Row],[Date]],"MMMM")</f>
        <v>February</v>
      </c>
      <c r="C471" t="str">
        <f>TEXT(Table1[[#This Row],[Date]],"DDDD")</f>
        <v>Monday</v>
      </c>
      <c r="D471" t="s">
        <v>44</v>
      </c>
      <c r="E471" t="s">
        <v>45</v>
      </c>
      <c r="F471" t="s">
        <v>29</v>
      </c>
      <c r="G471" t="s">
        <v>37</v>
      </c>
      <c r="H471" t="s">
        <v>54</v>
      </c>
      <c r="I471" t="s">
        <v>39</v>
      </c>
      <c r="J471" s="3">
        <v>180000</v>
      </c>
      <c r="K471">
        <v>1</v>
      </c>
      <c r="L471" t="s">
        <v>47</v>
      </c>
      <c r="M471" s="3">
        <v>144000</v>
      </c>
      <c r="N471" s="3">
        <f>Table1[[#This Row],[Unit Price]]*Table1[[#This Row],[Quantity]]</f>
        <v>180000</v>
      </c>
      <c r="O471" s="3">
        <f>Table1[[#This Row],[Cost Price]]*Table1[[#This Row],[Quantity]]</f>
        <v>144000</v>
      </c>
      <c r="P471" s="3">
        <f>Table1[[#This Row],[Revenue]]-Table1[[#This Row],[COGS]]</f>
        <v>36000</v>
      </c>
      <c r="Q471" s="1">
        <v>470</v>
      </c>
    </row>
    <row r="472" spans="1:17">
      <c r="A472" t="s">
        <v>70</v>
      </c>
      <c r="B472" t="str">
        <f>TEXT(Table1[[#This Row],[Date]],"MMMM")</f>
        <v>April</v>
      </c>
      <c r="C472" t="str">
        <f>TEXT(Table1[[#This Row],[Date]],"DDDD")</f>
        <v>Friday</v>
      </c>
      <c r="D472" t="s">
        <v>35</v>
      </c>
      <c r="E472" t="s">
        <v>53</v>
      </c>
      <c r="F472" t="s">
        <v>41</v>
      </c>
      <c r="G472" t="s">
        <v>37</v>
      </c>
      <c r="H472" t="s">
        <v>73</v>
      </c>
      <c r="I472" t="s">
        <v>39</v>
      </c>
      <c r="J472" s="3">
        <v>220000</v>
      </c>
      <c r="K472">
        <v>8</v>
      </c>
      <c r="L472" t="s">
        <v>47</v>
      </c>
      <c r="M472" s="3">
        <v>176000</v>
      </c>
      <c r="N472" s="3">
        <f>Table1[[#This Row],[Unit Price]]*Table1[[#This Row],[Quantity]]</f>
        <v>1760000</v>
      </c>
      <c r="O472" s="3">
        <f>Table1[[#This Row],[Cost Price]]*Table1[[#This Row],[Quantity]]</f>
        <v>1408000</v>
      </c>
      <c r="P472" s="3">
        <f>Table1[[#This Row],[Revenue]]-Table1[[#This Row],[COGS]]</f>
        <v>352000</v>
      </c>
      <c r="Q472" s="1">
        <v>471</v>
      </c>
    </row>
    <row r="473" spans="1:17">
      <c r="A473" t="s">
        <v>97</v>
      </c>
      <c r="B473" t="str">
        <f>TEXT(Table1[[#This Row],[Date]],"MMMM")</f>
        <v>January</v>
      </c>
      <c r="C473" t="str">
        <f>TEXT(Table1[[#This Row],[Date]],"DDDD")</f>
        <v>Sunday</v>
      </c>
      <c r="D473" t="s">
        <v>27</v>
      </c>
      <c r="E473" t="s">
        <v>36</v>
      </c>
      <c r="F473" t="s">
        <v>29</v>
      </c>
      <c r="G473" t="s">
        <v>37</v>
      </c>
      <c r="H473" t="s">
        <v>71</v>
      </c>
      <c r="I473" t="s">
        <v>51</v>
      </c>
      <c r="J473" s="3">
        <v>250000</v>
      </c>
      <c r="K473">
        <v>3</v>
      </c>
      <c r="L473" t="s">
        <v>42</v>
      </c>
      <c r="M473" s="3">
        <v>200000</v>
      </c>
      <c r="N473" s="3">
        <f>Table1[[#This Row],[Unit Price]]*Table1[[#This Row],[Quantity]]</f>
        <v>750000</v>
      </c>
      <c r="O473" s="3">
        <f>Table1[[#This Row],[Cost Price]]*Table1[[#This Row],[Quantity]]</f>
        <v>600000</v>
      </c>
      <c r="P473" s="3">
        <f>Table1[[#This Row],[Revenue]]-Table1[[#This Row],[COGS]]</f>
        <v>150000</v>
      </c>
      <c r="Q473" s="1">
        <v>472</v>
      </c>
    </row>
    <row r="474" spans="1:17">
      <c r="A474" t="s">
        <v>103</v>
      </c>
      <c r="B474" t="str">
        <f>TEXT(Table1[[#This Row],[Date]],"MMMM")</f>
        <v>March</v>
      </c>
      <c r="C474" t="str">
        <f>TEXT(Table1[[#This Row],[Date]],"DDDD")</f>
        <v>Wednesday</v>
      </c>
      <c r="D474" t="s">
        <v>49</v>
      </c>
      <c r="E474" t="s">
        <v>36</v>
      </c>
      <c r="F474" t="s">
        <v>41</v>
      </c>
      <c r="G474" t="s">
        <v>37</v>
      </c>
      <c r="H474" t="s">
        <v>46</v>
      </c>
      <c r="I474" t="s">
        <v>39</v>
      </c>
      <c r="J474" s="3">
        <v>60000</v>
      </c>
      <c r="K474">
        <v>1</v>
      </c>
      <c r="L474" t="s">
        <v>58</v>
      </c>
      <c r="M474" s="3">
        <v>48000</v>
      </c>
      <c r="N474" s="3">
        <f>Table1[[#This Row],[Unit Price]]*Table1[[#This Row],[Quantity]]</f>
        <v>60000</v>
      </c>
      <c r="O474" s="3">
        <f>Table1[[#This Row],[Cost Price]]*Table1[[#This Row],[Quantity]]</f>
        <v>48000</v>
      </c>
      <c r="P474" s="3">
        <f>Table1[[#This Row],[Revenue]]-Table1[[#This Row],[COGS]]</f>
        <v>12000</v>
      </c>
      <c r="Q474" s="1">
        <v>473</v>
      </c>
    </row>
    <row r="475" spans="1:17">
      <c r="A475" t="s">
        <v>114</v>
      </c>
      <c r="B475" t="str">
        <f>TEXT(Table1[[#This Row],[Date]],"MMMM")</f>
        <v>April</v>
      </c>
      <c r="C475" t="str">
        <f>TEXT(Table1[[#This Row],[Date]],"DDDD")</f>
        <v>Sunday</v>
      </c>
      <c r="D475" t="s">
        <v>35</v>
      </c>
      <c r="E475" t="s">
        <v>53</v>
      </c>
      <c r="F475" t="s">
        <v>29</v>
      </c>
      <c r="G475" t="s">
        <v>37</v>
      </c>
      <c r="H475" t="s">
        <v>56</v>
      </c>
      <c r="I475" t="s">
        <v>32</v>
      </c>
      <c r="J475" s="3">
        <v>320000</v>
      </c>
      <c r="K475">
        <v>4</v>
      </c>
      <c r="L475" t="s">
        <v>33</v>
      </c>
      <c r="M475" s="3">
        <v>256000</v>
      </c>
      <c r="N475" s="3">
        <f>Table1[[#This Row],[Unit Price]]*Table1[[#This Row],[Quantity]]</f>
        <v>1280000</v>
      </c>
      <c r="O475" s="3">
        <f>Table1[[#This Row],[Cost Price]]*Table1[[#This Row],[Quantity]]</f>
        <v>1024000</v>
      </c>
      <c r="P475" s="3">
        <f>Table1[[#This Row],[Revenue]]-Table1[[#This Row],[COGS]]</f>
        <v>256000</v>
      </c>
      <c r="Q475" s="1">
        <v>474</v>
      </c>
    </row>
    <row r="476" spans="1:17">
      <c r="A476" t="s">
        <v>66</v>
      </c>
      <c r="B476" t="str">
        <f>TEXT(Table1[[#This Row],[Date]],"MMMM")</f>
        <v>March</v>
      </c>
      <c r="C476" t="str">
        <f>TEXT(Table1[[#This Row],[Date]],"DDDD")</f>
        <v>Saturday</v>
      </c>
      <c r="D476" t="s">
        <v>44</v>
      </c>
      <c r="E476" t="s">
        <v>45</v>
      </c>
      <c r="F476" t="s">
        <v>41</v>
      </c>
      <c r="G476" t="s">
        <v>37</v>
      </c>
      <c r="H476" t="s">
        <v>67</v>
      </c>
      <c r="I476" t="s">
        <v>51</v>
      </c>
      <c r="J476" s="3">
        <v>420000</v>
      </c>
      <c r="K476">
        <v>8</v>
      </c>
      <c r="L476" t="s">
        <v>42</v>
      </c>
      <c r="M476" s="3">
        <v>336000</v>
      </c>
      <c r="N476" s="3">
        <f>Table1[[#This Row],[Unit Price]]*Table1[[#This Row],[Quantity]]</f>
        <v>3360000</v>
      </c>
      <c r="O476" s="3">
        <f>Table1[[#This Row],[Cost Price]]*Table1[[#This Row],[Quantity]]</f>
        <v>2688000</v>
      </c>
      <c r="P476" s="3">
        <f>Table1[[#This Row],[Revenue]]-Table1[[#This Row],[COGS]]</f>
        <v>672000</v>
      </c>
      <c r="Q476" s="1">
        <v>475</v>
      </c>
    </row>
    <row r="477" spans="1:17">
      <c r="A477" t="s">
        <v>91</v>
      </c>
      <c r="B477" t="str">
        <f>TEXT(Table1[[#This Row],[Date]],"MMMM")</f>
        <v>February</v>
      </c>
      <c r="C477" t="str">
        <f>TEXT(Table1[[#This Row],[Date]],"DDDD")</f>
        <v>Friday</v>
      </c>
      <c r="D477" t="s">
        <v>44</v>
      </c>
      <c r="E477" t="s">
        <v>36</v>
      </c>
      <c r="F477" t="s">
        <v>41</v>
      </c>
      <c r="G477" t="s">
        <v>37</v>
      </c>
      <c r="H477" t="s">
        <v>67</v>
      </c>
      <c r="I477" t="s">
        <v>51</v>
      </c>
      <c r="J477" s="3">
        <v>420000</v>
      </c>
      <c r="K477">
        <v>8</v>
      </c>
      <c r="L477" t="s">
        <v>58</v>
      </c>
      <c r="M477" s="3">
        <v>336000</v>
      </c>
      <c r="N477" s="3">
        <f>Table1[[#This Row],[Unit Price]]*Table1[[#This Row],[Quantity]]</f>
        <v>3360000</v>
      </c>
      <c r="O477" s="3">
        <f>Table1[[#This Row],[Cost Price]]*Table1[[#This Row],[Quantity]]</f>
        <v>2688000</v>
      </c>
      <c r="P477" s="3">
        <f>Table1[[#This Row],[Revenue]]-Table1[[#This Row],[COGS]]</f>
        <v>672000</v>
      </c>
      <c r="Q477" s="1">
        <v>476</v>
      </c>
    </row>
    <row r="478" spans="1:17">
      <c r="A478" t="s">
        <v>166</v>
      </c>
      <c r="B478" t="str">
        <f>TEXT(Table1[[#This Row],[Date]],"MMMM")</f>
        <v>January</v>
      </c>
      <c r="C478" t="str">
        <f>TEXT(Table1[[#This Row],[Date]],"DDDD")</f>
        <v>Thursday</v>
      </c>
      <c r="D478" t="s">
        <v>49</v>
      </c>
      <c r="E478" t="s">
        <v>36</v>
      </c>
      <c r="F478" t="s">
        <v>29</v>
      </c>
      <c r="G478" t="s">
        <v>37</v>
      </c>
      <c r="H478" t="s">
        <v>46</v>
      </c>
      <c r="I478" t="s">
        <v>39</v>
      </c>
      <c r="J478" s="3">
        <v>60000</v>
      </c>
      <c r="K478">
        <v>1</v>
      </c>
      <c r="L478" t="s">
        <v>69</v>
      </c>
      <c r="M478" s="3">
        <v>48000</v>
      </c>
      <c r="N478" s="3">
        <f>Table1[[#This Row],[Unit Price]]*Table1[[#This Row],[Quantity]]</f>
        <v>60000</v>
      </c>
      <c r="O478" s="3">
        <f>Table1[[#This Row],[Cost Price]]*Table1[[#This Row],[Quantity]]</f>
        <v>48000</v>
      </c>
      <c r="P478" s="3">
        <f>Table1[[#This Row],[Revenue]]-Table1[[#This Row],[COGS]]</f>
        <v>12000</v>
      </c>
      <c r="Q478" s="1">
        <v>477</v>
      </c>
    </row>
    <row r="479" spans="1:17">
      <c r="A479" t="s">
        <v>118</v>
      </c>
      <c r="B479" t="str">
        <f>TEXT(Table1[[#This Row],[Date]],"MMMM")</f>
        <v>March</v>
      </c>
      <c r="C479" t="str">
        <f>TEXT(Table1[[#This Row],[Date]],"DDDD")</f>
        <v>Tuesday</v>
      </c>
      <c r="D479" t="s">
        <v>35</v>
      </c>
      <c r="E479" t="s">
        <v>28</v>
      </c>
      <c r="F479" t="s">
        <v>41</v>
      </c>
      <c r="G479" t="s">
        <v>37</v>
      </c>
      <c r="H479" t="s">
        <v>54</v>
      </c>
      <c r="I479" t="s">
        <v>39</v>
      </c>
      <c r="J479" s="3">
        <v>180000</v>
      </c>
      <c r="K479">
        <v>8</v>
      </c>
      <c r="L479" t="s">
        <v>42</v>
      </c>
      <c r="M479" s="3">
        <v>144000</v>
      </c>
      <c r="N479" s="3">
        <f>Table1[[#This Row],[Unit Price]]*Table1[[#This Row],[Quantity]]</f>
        <v>1440000</v>
      </c>
      <c r="O479" s="3">
        <f>Table1[[#This Row],[Cost Price]]*Table1[[#This Row],[Quantity]]</f>
        <v>1152000</v>
      </c>
      <c r="P479" s="3">
        <f>Table1[[#This Row],[Revenue]]-Table1[[#This Row],[COGS]]</f>
        <v>288000</v>
      </c>
      <c r="Q479" s="1">
        <v>478</v>
      </c>
    </row>
    <row r="480" spans="1:17">
      <c r="A480" t="s">
        <v>101</v>
      </c>
      <c r="B480" t="str">
        <f>TEXT(Table1[[#This Row],[Date]],"MMMM")</f>
        <v>January</v>
      </c>
      <c r="C480" t="str">
        <f>TEXT(Table1[[#This Row],[Date]],"DDDD")</f>
        <v>Thursday</v>
      </c>
      <c r="D480" t="s">
        <v>27</v>
      </c>
      <c r="E480" t="s">
        <v>36</v>
      </c>
      <c r="F480" t="s">
        <v>41</v>
      </c>
      <c r="G480" t="s">
        <v>37</v>
      </c>
      <c r="H480" t="s">
        <v>54</v>
      </c>
      <c r="I480" t="s">
        <v>39</v>
      </c>
      <c r="J480" s="3">
        <v>180000</v>
      </c>
      <c r="K480">
        <v>2</v>
      </c>
      <c r="L480" t="s">
        <v>42</v>
      </c>
      <c r="M480" s="3">
        <v>144000</v>
      </c>
      <c r="N480" s="3">
        <f>Table1[[#This Row],[Unit Price]]*Table1[[#This Row],[Quantity]]</f>
        <v>360000</v>
      </c>
      <c r="O480" s="3">
        <f>Table1[[#This Row],[Cost Price]]*Table1[[#This Row],[Quantity]]</f>
        <v>288000</v>
      </c>
      <c r="P480" s="3">
        <f>Table1[[#This Row],[Revenue]]-Table1[[#This Row],[COGS]]</f>
        <v>72000</v>
      </c>
      <c r="Q480" s="1">
        <v>479</v>
      </c>
    </row>
    <row r="481" spans="1:17">
      <c r="A481" t="s">
        <v>165</v>
      </c>
      <c r="B481" t="str">
        <f>TEXT(Table1[[#This Row],[Date]],"MMMM")</f>
        <v>April</v>
      </c>
      <c r="C481" t="str">
        <f>TEXT(Table1[[#This Row],[Date]],"DDDD")</f>
        <v>Sunday</v>
      </c>
      <c r="D481" t="s">
        <v>44</v>
      </c>
      <c r="E481" t="s">
        <v>36</v>
      </c>
      <c r="F481" t="s">
        <v>41</v>
      </c>
      <c r="G481" t="s">
        <v>30</v>
      </c>
      <c r="H481" t="s">
        <v>50</v>
      </c>
      <c r="I481" t="s">
        <v>51</v>
      </c>
      <c r="J481" s="3">
        <v>300000</v>
      </c>
      <c r="K481">
        <v>7</v>
      </c>
      <c r="L481" t="s">
        <v>58</v>
      </c>
      <c r="M481" s="3">
        <v>240000</v>
      </c>
      <c r="N481" s="3">
        <f>Table1[[#This Row],[Unit Price]]*Table1[[#This Row],[Quantity]]</f>
        <v>2100000</v>
      </c>
      <c r="O481" s="3">
        <f>Table1[[#This Row],[Cost Price]]*Table1[[#This Row],[Quantity]]</f>
        <v>1680000</v>
      </c>
      <c r="P481" s="3">
        <f>Table1[[#This Row],[Revenue]]-Table1[[#This Row],[COGS]]</f>
        <v>420000</v>
      </c>
      <c r="Q481" s="1">
        <v>480</v>
      </c>
    </row>
    <row r="482" spans="1:17">
      <c r="A482" t="s">
        <v>145</v>
      </c>
      <c r="B482" t="str">
        <f>TEXT(Table1[[#This Row],[Date]],"MMMM")</f>
        <v>January</v>
      </c>
      <c r="C482" t="str">
        <f>TEXT(Table1[[#This Row],[Date]],"DDDD")</f>
        <v>Friday</v>
      </c>
      <c r="D482" t="s">
        <v>27</v>
      </c>
      <c r="E482" t="s">
        <v>45</v>
      </c>
      <c r="F482" t="s">
        <v>29</v>
      </c>
      <c r="G482" t="s">
        <v>30</v>
      </c>
      <c r="H482" t="s">
        <v>71</v>
      </c>
      <c r="I482" t="s">
        <v>51</v>
      </c>
      <c r="J482" s="3">
        <v>250000</v>
      </c>
      <c r="K482">
        <v>6</v>
      </c>
      <c r="L482" t="s">
        <v>58</v>
      </c>
      <c r="M482" s="3">
        <v>200000</v>
      </c>
      <c r="N482" s="3">
        <f>Table1[[#This Row],[Unit Price]]*Table1[[#This Row],[Quantity]]</f>
        <v>1500000</v>
      </c>
      <c r="O482" s="3">
        <f>Table1[[#This Row],[Cost Price]]*Table1[[#This Row],[Quantity]]</f>
        <v>1200000</v>
      </c>
      <c r="P482" s="3">
        <f>Table1[[#This Row],[Revenue]]-Table1[[#This Row],[COGS]]</f>
        <v>300000</v>
      </c>
      <c r="Q482" s="1">
        <v>481</v>
      </c>
    </row>
    <row r="483" spans="1:17">
      <c r="A483" t="s">
        <v>108</v>
      </c>
      <c r="B483" t="str">
        <f>TEXT(Table1[[#This Row],[Date]],"MMMM")</f>
        <v>April</v>
      </c>
      <c r="C483" t="str">
        <f>TEXT(Table1[[#This Row],[Date]],"DDDD")</f>
        <v>Thursday</v>
      </c>
      <c r="D483" t="s">
        <v>49</v>
      </c>
      <c r="E483" t="s">
        <v>45</v>
      </c>
      <c r="F483" t="s">
        <v>29</v>
      </c>
      <c r="G483" t="s">
        <v>37</v>
      </c>
      <c r="H483" t="s">
        <v>62</v>
      </c>
      <c r="I483" t="s">
        <v>51</v>
      </c>
      <c r="J483" s="3">
        <v>150000</v>
      </c>
      <c r="K483">
        <v>5</v>
      </c>
      <c r="L483" t="s">
        <v>42</v>
      </c>
      <c r="M483" s="3">
        <v>120000</v>
      </c>
      <c r="N483" s="3">
        <f>Table1[[#This Row],[Unit Price]]*Table1[[#This Row],[Quantity]]</f>
        <v>750000</v>
      </c>
      <c r="O483" s="3">
        <f>Table1[[#This Row],[Cost Price]]*Table1[[#This Row],[Quantity]]</f>
        <v>600000</v>
      </c>
      <c r="P483" s="3">
        <f>Table1[[#This Row],[Revenue]]-Table1[[#This Row],[COGS]]</f>
        <v>150000</v>
      </c>
      <c r="Q483" s="1">
        <v>482</v>
      </c>
    </row>
    <row r="484" spans="1:17">
      <c r="A484" t="s">
        <v>55</v>
      </c>
      <c r="B484" t="str">
        <f>TEXT(Table1[[#This Row],[Date]],"MMMM")</f>
        <v>March</v>
      </c>
      <c r="C484" t="str">
        <f>TEXT(Table1[[#This Row],[Date]],"DDDD")</f>
        <v>Sunday</v>
      </c>
      <c r="D484" t="s">
        <v>27</v>
      </c>
      <c r="E484" t="s">
        <v>53</v>
      </c>
      <c r="F484" t="s">
        <v>29</v>
      </c>
      <c r="G484" t="s">
        <v>30</v>
      </c>
      <c r="H484" t="s">
        <v>31</v>
      </c>
      <c r="I484" t="s">
        <v>32</v>
      </c>
      <c r="J484" s="3">
        <v>85000</v>
      </c>
      <c r="K484">
        <v>10</v>
      </c>
      <c r="L484" t="s">
        <v>42</v>
      </c>
      <c r="M484" s="3">
        <v>68000</v>
      </c>
      <c r="N484" s="3">
        <f>Table1[[#This Row],[Unit Price]]*Table1[[#This Row],[Quantity]]</f>
        <v>850000</v>
      </c>
      <c r="O484" s="3">
        <f>Table1[[#This Row],[Cost Price]]*Table1[[#This Row],[Quantity]]</f>
        <v>680000</v>
      </c>
      <c r="P484" s="3">
        <f>Table1[[#This Row],[Revenue]]-Table1[[#This Row],[COGS]]</f>
        <v>170000</v>
      </c>
      <c r="Q484" s="1">
        <v>483</v>
      </c>
    </row>
    <row r="485" spans="1:17">
      <c r="A485" t="s">
        <v>117</v>
      </c>
      <c r="B485" t="str">
        <f>TEXT(Table1[[#This Row],[Date]],"MMMM")</f>
        <v>January</v>
      </c>
      <c r="C485" t="str">
        <f>TEXT(Table1[[#This Row],[Date]],"DDDD")</f>
        <v>Wednesday</v>
      </c>
      <c r="D485" t="s">
        <v>49</v>
      </c>
      <c r="E485" t="s">
        <v>53</v>
      </c>
      <c r="F485" t="s">
        <v>29</v>
      </c>
      <c r="G485" t="s">
        <v>30</v>
      </c>
      <c r="H485" t="s">
        <v>31</v>
      </c>
      <c r="I485" t="s">
        <v>32</v>
      </c>
      <c r="J485" s="3">
        <v>85000</v>
      </c>
      <c r="K485">
        <v>8</v>
      </c>
      <c r="L485" t="s">
        <v>58</v>
      </c>
      <c r="M485" s="3">
        <v>68000</v>
      </c>
      <c r="N485" s="3">
        <f>Table1[[#This Row],[Unit Price]]*Table1[[#This Row],[Quantity]]</f>
        <v>680000</v>
      </c>
      <c r="O485" s="3">
        <f>Table1[[#This Row],[Cost Price]]*Table1[[#This Row],[Quantity]]</f>
        <v>544000</v>
      </c>
      <c r="P485" s="3">
        <f>Table1[[#This Row],[Revenue]]-Table1[[#This Row],[COGS]]</f>
        <v>136000</v>
      </c>
      <c r="Q485" s="1">
        <v>484</v>
      </c>
    </row>
    <row r="486" spans="1:17">
      <c r="A486" t="s">
        <v>76</v>
      </c>
      <c r="B486" t="str">
        <f>TEXT(Table1[[#This Row],[Date]],"MMMM")</f>
        <v>May</v>
      </c>
      <c r="C486" t="str">
        <f>TEXT(Table1[[#This Row],[Date]],"DDDD")</f>
        <v>Thursday</v>
      </c>
      <c r="D486" t="s">
        <v>44</v>
      </c>
      <c r="E486" t="s">
        <v>28</v>
      </c>
      <c r="F486" t="s">
        <v>29</v>
      </c>
      <c r="G486" t="s">
        <v>30</v>
      </c>
      <c r="H486" t="s">
        <v>31</v>
      </c>
      <c r="I486" t="s">
        <v>32</v>
      </c>
      <c r="J486" s="3">
        <v>85000</v>
      </c>
      <c r="K486">
        <v>2</v>
      </c>
      <c r="L486" t="s">
        <v>47</v>
      </c>
      <c r="M486" s="3">
        <v>68000</v>
      </c>
      <c r="N486" s="3">
        <f>Table1[[#This Row],[Unit Price]]*Table1[[#This Row],[Quantity]]</f>
        <v>170000</v>
      </c>
      <c r="O486" s="3">
        <f>Table1[[#This Row],[Cost Price]]*Table1[[#This Row],[Quantity]]</f>
        <v>136000</v>
      </c>
      <c r="P486" s="3">
        <f>Table1[[#This Row],[Revenue]]-Table1[[#This Row],[COGS]]</f>
        <v>34000</v>
      </c>
      <c r="Q486" s="1">
        <v>485</v>
      </c>
    </row>
    <row r="487" spans="1:17">
      <c r="A487" t="s">
        <v>103</v>
      </c>
      <c r="B487" t="str">
        <f>TEXT(Table1[[#This Row],[Date]],"MMMM")</f>
        <v>March</v>
      </c>
      <c r="C487" t="str">
        <f>TEXT(Table1[[#This Row],[Date]],"DDDD")</f>
        <v>Wednesday</v>
      </c>
      <c r="D487" t="s">
        <v>27</v>
      </c>
      <c r="E487" t="s">
        <v>53</v>
      </c>
      <c r="F487" t="s">
        <v>29</v>
      </c>
      <c r="G487" t="s">
        <v>30</v>
      </c>
      <c r="H487" t="s">
        <v>71</v>
      </c>
      <c r="I487" t="s">
        <v>51</v>
      </c>
      <c r="J487" s="3">
        <v>250000</v>
      </c>
      <c r="K487">
        <v>4</v>
      </c>
      <c r="L487" t="s">
        <v>33</v>
      </c>
      <c r="M487" s="3">
        <v>200000</v>
      </c>
      <c r="N487" s="3">
        <f>Table1[[#This Row],[Unit Price]]*Table1[[#This Row],[Quantity]]</f>
        <v>1000000</v>
      </c>
      <c r="O487" s="3">
        <f>Table1[[#This Row],[Cost Price]]*Table1[[#This Row],[Quantity]]</f>
        <v>800000</v>
      </c>
      <c r="P487" s="3">
        <f>Table1[[#This Row],[Revenue]]-Table1[[#This Row],[COGS]]</f>
        <v>200000</v>
      </c>
      <c r="Q487" s="1">
        <v>486</v>
      </c>
    </row>
    <row r="488" spans="1:17">
      <c r="A488" t="s">
        <v>64</v>
      </c>
      <c r="B488" t="str">
        <f>TEXT(Table1[[#This Row],[Date]],"MMMM")</f>
        <v>April</v>
      </c>
      <c r="C488" t="str">
        <f>TEXT(Table1[[#This Row],[Date]],"DDDD")</f>
        <v>Saturday</v>
      </c>
      <c r="D488" t="s">
        <v>44</v>
      </c>
      <c r="E488" t="s">
        <v>28</v>
      </c>
      <c r="F488" t="s">
        <v>29</v>
      </c>
      <c r="G488" t="s">
        <v>30</v>
      </c>
      <c r="H488" t="s">
        <v>62</v>
      </c>
      <c r="I488" t="s">
        <v>51</v>
      </c>
      <c r="J488" s="3">
        <v>150000</v>
      </c>
      <c r="K488">
        <v>6</v>
      </c>
      <c r="L488" t="s">
        <v>69</v>
      </c>
      <c r="M488" s="3">
        <v>120000</v>
      </c>
      <c r="N488" s="3">
        <f>Table1[[#This Row],[Unit Price]]*Table1[[#This Row],[Quantity]]</f>
        <v>900000</v>
      </c>
      <c r="O488" s="3">
        <f>Table1[[#This Row],[Cost Price]]*Table1[[#This Row],[Quantity]]</f>
        <v>720000</v>
      </c>
      <c r="P488" s="3">
        <f>Table1[[#This Row],[Revenue]]-Table1[[#This Row],[COGS]]</f>
        <v>180000</v>
      </c>
      <c r="Q488" s="1">
        <v>487</v>
      </c>
    </row>
    <row r="489" spans="1:17">
      <c r="A489" t="s">
        <v>40</v>
      </c>
      <c r="B489" t="str">
        <f>TEXT(Table1[[#This Row],[Date]],"MMMM")</f>
        <v>February</v>
      </c>
      <c r="C489" t="str">
        <f>TEXT(Table1[[#This Row],[Date]],"DDDD")</f>
        <v>Thursday</v>
      </c>
      <c r="D489" t="s">
        <v>44</v>
      </c>
      <c r="E489" t="s">
        <v>53</v>
      </c>
      <c r="F489" t="s">
        <v>41</v>
      </c>
      <c r="G489" t="s">
        <v>37</v>
      </c>
      <c r="H489" t="s">
        <v>54</v>
      </c>
      <c r="I489" t="s">
        <v>39</v>
      </c>
      <c r="J489" s="3">
        <v>180000</v>
      </c>
      <c r="K489">
        <v>10</v>
      </c>
      <c r="L489" t="s">
        <v>65</v>
      </c>
      <c r="M489" s="3">
        <v>144000</v>
      </c>
      <c r="N489" s="3">
        <f>Table1[[#This Row],[Unit Price]]*Table1[[#This Row],[Quantity]]</f>
        <v>1800000</v>
      </c>
      <c r="O489" s="3">
        <f>Table1[[#This Row],[Cost Price]]*Table1[[#This Row],[Quantity]]</f>
        <v>1440000</v>
      </c>
      <c r="P489" s="3">
        <f>Table1[[#This Row],[Revenue]]-Table1[[#This Row],[COGS]]</f>
        <v>360000</v>
      </c>
      <c r="Q489" s="1">
        <v>488</v>
      </c>
    </row>
    <row r="490" spans="1:17">
      <c r="A490" t="s">
        <v>164</v>
      </c>
      <c r="B490" t="str">
        <f>TEXT(Table1[[#This Row],[Date]],"MMMM")</f>
        <v>March</v>
      </c>
      <c r="C490" t="str">
        <f>TEXT(Table1[[#This Row],[Date]],"DDDD")</f>
        <v>Tuesday</v>
      </c>
      <c r="D490" t="s">
        <v>44</v>
      </c>
      <c r="E490" t="s">
        <v>53</v>
      </c>
      <c r="F490" t="s">
        <v>29</v>
      </c>
      <c r="G490" t="s">
        <v>30</v>
      </c>
      <c r="H490" t="s">
        <v>62</v>
      </c>
      <c r="I490" t="s">
        <v>51</v>
      </c>
      <c r="J490" s="3">
        <v>150000</v>
      </c>
      <c r="K490">
        <v>8</v>
      </c>
      <c r="L490" t="s">
        <v>33</v>
      </c>
      <c r="M490" s="3">
        <v>120000</v>
      </c>
      <c r="N490" s="3">
        <f>Table1[[#This Row],[Unit Price]]*Table1[[#This Row],[Quantity]]</f>
        <v>1200000</v>
      </c>
      <c r="O490" s="3">
        <f>Table1[[#This Row],[Cost Price]]*Table1[[#This Row],[Quantity]]</f>
        <v>960000</v>
      </c>
      <c r="P490" s="3">
        <f>Table1[[#This Row],[Revenue]]-Table1[[#This Row],[COGS]]</f>
        <v>240000</v>
      </c>
      <c r="Q490" s="1">
        <v>489</v>
      </c>
    </row>
    <row r="491" spans="1:17">
      <c r="A491" t="s">
        <v>134</v>
      </c>
      <c r="B491" t="str">
        <f>TEXT(Table1[[#This Row],[Date]],"MMMM")</f>
        <v>January</v>
      </c>
      <c r="C491" t="str">
        <f>TEXT(Table1[[#This Row],[Date]],"DDDD")</f>
        <v>Wednesday</v>
      </c>
      <c r="D491" t="s">
        <v>44</v>
      </c>
      <c r="E491" t="s">
        <v>36</v>
      </c>
      <c r="F491" t="s">
        <v>29</v>
      </c>
      <c r="G491" t="s">
        <v>30</v>
      </c>
      <c r="H491" t="s">
        <v>54</v>
      </c>
      <c r="I491" t="s">
        <v>39</v>
      </c>
      <c r="J491" s="3">
        <v>180000</v>
      </c>
      <c r="K491">
        <v>8</v>
      </c>
      <c r="L491" t="s">
        <v>42</v>
      </c>
      <c r="M491" s="3">
        <v>144000</v>
      </c>
      <c r="N491" s="3">
        <f>Table1[[#This Row],[Unit Price]]*Table1[[#This Row],[Quantity]]</f>
        <v>1440000</v>
      </c>
      <c r="O491" s="3">
        <f>Table1[[#This Row],[Cost Price]]*Table1[[#This Row],[Quantity]]</f>
        <v>1152000</v>
      </c>
      <c r="P491" s="3">
        <f>Table1[[#This Row],[Revenue]]-Table1[[#This Row],[COGS]]</f>
        <v>288000</v>
      </c>
      <c r="Q491" s="1">
        <v>490</v>
      </c>
    </row>
    <row r="492" spans="1:17">
      <c r="A492" t="s">
        <v>85</v>
      </c>
      <c r="B492" t="str">
        <f>TEXT(Table1[[#This Row],[Date]],"MMMM")</f>
        <v>February</v>
      </c>
      <c r="C492" t="str">
        <f>TEXT(Table1[[#This Row],[Date]],"DDDD")</f>
        <v>Thursday</v>
      </c>
      <c r="D492" t="s">
        <v>35</v>
      </c>
      <c r="E492" t="s">
        <v>45</v>
      </c>
      <c r="F492" t="s">
        <v>41</v>
      </c>
      <c r="G492" t="s">
        <v>30</v>
      </c>
      <c r="H492" t="s">
        <v>62</v>
      </c>
      <c r="I492" t="s">
        <v>51</v>
      </c>
      <c r="J492" s="3">
        <v>150000</v>
      </c>
      <c r="K492">
        <v>6</v>
      </c>
      <c r="L492" t="s">
        <v>58</v>
      </c>
      <c r="M492" s="3">
        <v>120000</v>
      </c>
      <c r="N492" s="3">
        <f>Table1[[#This Row],[Unit Price]]*Table1[[#This Row],[Quantity]]</f>
        <v>900000</v>
      </c>
      <c r="O492" s="3">
        <f>Table1[[#This Row],[Cost Price]]*Table1[[#This Row],[Quantity]]</f>
        <v>720000</v>
      </c>
      <c r="P492" s="3">
        <f>Table1[[#This Row],[Revenue]]-Table1[[#This Row],[COGS]]</f>
        <v>180000</v>
      </c>
      <c r="Q492" s="1">
        <v>491</v>
      </c>
    </row>
    <row r="493" spans="1:17">
      <c r="A493" t="s">
        <v>114</v>
      </c>
      <c r="B493" t="str">
        <f>TEXT(Table1[[#This Row],[Date]],"MMMM")</f>
        <v>April</v>
      </c>
      <c r="C493" t="str">
        <f>TEXT(Table1[[#This Row],[Date]],"DDDD")</f>
        <v>Sunday</v>
      </c>
      <c r="D493" t="s">
        <v>44</v>
      </c>
      <c r="E493" t="s">
        <v>53</v>
      </c>
      <c r="F493" t="s">
        <v>41</v>
      </c>
      <c r="G493" t="s">
        <v>37</v>
      </c>
      <c r="H493" t="s">
        <v>62</v>
      </c>
      <c r="I493" t="s">
        <v>51</v>
      </c>
      <c r="J493" s="3">
        <v>150000</v>
      </c>
      <c r="K493">
        <v>4</v>
      </c>
      <c r="L493" t="s">
        <v>69</v>
      </c>
      <c r="M493" s="3">
        <v>120000</v>
      </c>
      <c r="N493" s="3">
        <f>Table1[[#This Row],[Unit Price]]*Table1[[#This Row],[Quantity]]</f>
        <v>600000</v>
      </c>
      <c r="O493" s="3">
        <f>Table1[[#This Row],[Cost Price]]*Table1[[#This Row],[Quantity]]</f>
        <v>480000</v>
      </c>
      <c r="P493" s="3">
        <f>Table1[[#This Row],[Revenue]]-Table1[[#This Row],[COGS]]</f>
        <v>120000</v>
      </c>
      <c r="Q493" s="1">
        <v>492</v>
      </c>
    </row>
    <row r="494" spans="1:17">
      <c r="A494" t="s">
        <v>94</v>
      </c>
      <c r="B494" t="str">
        <f>TEXT(Table1[[#This Row],[Date]],"MMMM")</f>
        <v>January</v>
      </c>
      <c r="C494" t="str">
        <f>TEXT(Table1[[#This Row],[Date]],"DDDD")</f>
        <v>Friday</v>
      </c>
      <c r="D494" t="s">
        <v>27</v>
      </c>
      <c r="E494" t="s">
        <v>36</v>
      </c>
      <c r="F494" t="s">
        <v>29</v>
      </c>
      <c r="G494" t="s">
        <v>30</v>
      </c>
      <c r="H494" t="s">
        <v>54</v>
      </c>
      <c r="I494" t="s">
        <v>39</v>
      </c>
      <c r="J494" s="3">
        <v>180000</v>
      </c>
      <c r="K494">
        <v>1</v>
      </c>
      <c r="L494" t="s">
        <v>58</v>
      </c>
      <c r="M494" s="3">
        <v>144000</v>
      </c>
      <c r="N494" s="3">
        <f>Table1[[#This Row],[Unit Price]]*Table1[[#This Row],[Quantity]]</f>
        <v>180000</v>
      </c>
      <c r="O494" s="3">
        <f>Table1[[#This Row],[Cost Price]]*Table1[[#This Row],[Quantity]]</f>
        <v>144000</v>
      </c>
      <c r="P494" s="3">
        <f>Table1[[#This Row],[Revenue]]-Table1[[#This Row],[COGS]]</f>
        <v>36000</v>
      </c>
      <c r="Q494" s="1">
        <v>493</v>
      </c>
    </row>
    <row r="495" spans="1:17">
      <c r="A495" t="s">
        <v>114</v>
      </c>
      <c r="B495" t="str">
        <f>TEXT(Table1[[#This Row],[Date]],"MMMM")</f>
        <v>April</v>
      </c>
      <c r="C495" t="str">
        <f>TEXT(Table1[[#This Row],[Date]],"DDDD")</f>
        <v>Sunday</v>
      </c>
      <c r="D495" t="s">
        <v>49</v>
      </c>
      <c r="E495" t="s">
        <v>36</v>
      </c>
      <c r="F495" t="s">
        <v>29</v>
      </c>
      <c r="G495" t="s">
        <v>30</v>
      </c>
      <c r="H495" t="s">
        <v>71</v>
      </c>
      <c r="I495" t="s">
        <v>51</v>
      </c>
      <c r="J495" s="3">
        <v>250000</v>
      </c>
      <c r="K495">
        <v>6</v>
      </c>
      <c r="L495" t="s">
        <v>69</v>
      </c>
      <c r="M495" s="3">
        <v>200000</v>
      </c>
      <c r="N495" s="3">
        <f>Table1[[#This Row],[Unit Price]]*Table1[[#This Row],[Quantity]]</f>
        <v>1500000</v>
      </c>
      <c r="O495" s="3">
        <f>Table1[[#This Row],[Cost Price]]*Table1[[#This Row],[Quantity]]</f>
        <v>1200000</v>
      </c>
      <c r="P495" s="3">
        <f>Table1[[#This Row],[Revenue]]-Table1[[#This Row],[COGS]]</f>
        <v>300000</v>
      </c>
      <c r="Q495" s="1">
        <v>494</v>
      </c>
    </row>
    <row r="496" spans="1:17">
      <c r="A496" t="s">
        <v>103</v>
      </c>
      <c r="B496" t="str">
        <f>TEXT(Table1[[#This Row],[Date]],"MMMM")</f>
        <v>March</v>
      </c>
      <c r="C496" t="str">
        <f>TEXT(Table1[[#This Row],[Date]],"DDDD")</f>
        <v>Wednesday</v>
      </c>
      <c r="D496" t="s">
        <v>44</v>
      </c>
      <c r="E496" t="s">
        <v>28</v>
      </c>
      <c r="F496" t="s">
        <v>29</v>
      </c>
      <c r="G496" t="s">
        <v>30</v>
      </c>
      <c r="H496" t="s">
        <v>46</v>
      </c>
      <c r="I496" t="s">
        <v>39</v>
      </c>
      <c r="J496" s="3">
        <v>60000</v>
      </c>
      <c r="K496">
        <v>6</v>
      </c>
      <c r="L496" t="s">
        <v>42</v>
      </c>
      <c r="M496" s="3">
        <v>48000</v>
      </c>
      <c r="N496" s="3">
        <f>Table1[[#This Row],[Unit Price]]*Table1[[#This Row],[Quantity]]</f>
        <v>360000</v>
      </c>
      <c r="O496" s="3">
        <f>Table1[[#This Row],[Cost Price]]*Table1[[#This Row],[Quantity]]</f>
        <v>288000</v>
      </c>
      <c r="P496" s="3">
        <f>Table1[[#This Row],[Revenue]]-Table1[[#This Row],[COGS]]</f>
        <v>72000</v>
      </c>
      <c r="Q496" s="1">
        <v>495</v>
      </c>
    </row>
    <row r="497" spans="1:17">
      <c r="A497" t="s">
        <v>97</v>
      </c>
      <c r="B497" t="str">
        <f>TEXT(Table1[[#This Row],[Date]],"MMMM")</f>
        <v>January</v>
      </c>
      <c r="C497" t="str">
        <f>TEXT(Table1[[#This Row],[Date]],"DDDD")</f>
        <v>Sunday</v>
      </c>
      <c r="D497" t="s">
        <v>49</v>
      </c>
      <c r="E497" t="s">
        <v>53</v>
      </c>
      <c r="F497" t="s">
        <v>41</v>
      </c>
      <c r="G497" t="s">
        <v>37</v>
      </c>
      <c r="H497" t="s">
        <v>62</v>
      </c>
      <c r="I497" t="s">
        <v>51</v>
      </c>
      <c r="J497" s="3">
        <v>150000</v>
      </c>
      <c r="K497">
        <v>2</v>
      </c>
      <c r="L497" t="s">
        <v>42</v>
      </c>
      <c r="M497" s="3">
        <v>120000</v>
      </c>
      <c r="N497" s="3">
        <f>Table1[[#This Row],[Unit Price]]*Table1[[#This Row],[Quantity]]</f>
        <v>300000</v>
      </c>
      <c r="O497" s="3">
        <f>Table1[[#This Row],[Cost Price]]*Table1[[#This Row],[Quantity]]</f>
        <v>240000</v>
      </c>
      <c r="P497" s="3">
        <f>Table1[[#This Row],[Revenue]]-Table1[[#This Row],[COGS]]</f>
        <v>60000</v>
      </c>
      <c r="Q497" s="1">
        <v>496</v>
      </c>
    </row>
    <row r="498" spans="1:17">
      <c r="A498" t="s">
        <v>89</v>
      </c>
      <c r="B498" t="str">
        <f>TEXT(Table1[[#This Row],[Date]],"MMMM")</f>
        <v>February</v>
      </c>
      <c r="C498" t="str">
        <f>TEXT(Table1[[#This Row],[Date]],"DDDD")</f>
        <v>Tuesday</v>
      </c>
      <c r="D498" t="s">
        <v>35</v>
      </c>
      <c r="E498" t="s">
        <v>45</v>
      </c>
      <c r="F498" t="s">
        <v>41</v>
      </c>
      <c r="G498" t="s">
        <v>30</v>
      </c>
      <c r="H498" t="s">
        <v>31</v>
      </c>
      <c r="I498" t="s">
        <v>32</v>
      </c>
      <c r="J498" s="3">
        <v>85000</v>
      </c>
      <c r="K498">
        <v>2</v>
      </c>
      <c r="L498" t="s">
        <v>33</v>
      </c>
      <c r="M498" s="3">
        <v>68000</v>
      </c>
      <c r="N498" s="3">
        <f>Table1[[#This Row],[Unit Price]]*Table1[[#This Row],[Quantity]]</f>
        <v>170000</v>
      </c>
      <c r="O498" s="3">
        <f>Table1[[#This Row],[Cost Price]]*Table1[[#This Row],[Quantity]]</f>
        <v>136000</v>
      </c>
      <c r="P498" s="3">
        <f>Table1[[#This Row],[Revenue]]-Table1[[#This Row],[COGS]]</f>
        <v>34000</v>
      </c>
      <c r="Q498" s="1">
        <v>497</v>
      </c>
    </row>
    <row r="499" spans="1:17">
      <c r="A499" t="s">
        <v>124</v>
      </c>
      <c r="B499" t="str">
        <f>TEXT(Table1[[#This Row],[Date]],"MMMM")</f>
        <v>February</v>
      </c>
      <c r="C499" t="str">
        <f>TEXT(Table1[[#This Row],[Date]],"DDDD")</f>
        <v>Monday</v>
      </c>
      <c r="D499" t="s">
        <v>44</v>
      </c>
      <c r="E499" t="s">
        <v>36</v>
      </c>
      <c r="F499" t="s">
        <v>29</v>
      </c>
      <c r="G499" t="s">
        <v>37</v>
      </c>
      <c r="H499" t="s">
        <v>50</v>
      </c>
      <c r="I499" t="s">
        <v>51</v>
      </c>
      <c r="J499" s="3">
        <v>300000</v>
      </c>
      <c r="K499">
        <v>5</v>
      </c>
      <c r="L499" t="s">
        <v>58</v>
      </c>
      <c r="M499" s="3">
        <v>240000</v>
      </c>
      <c r="N499" s="3">
        <f>Table1[[#This Row],[Unit Price]]*Table1[[#This Row],[Quantity]]</f>
        <v>1500000</v>
      </c>
      <c r="O499" s="3">
        <f>Table1[[#This Row],[Cost Price]]*Table1[[#This Row],[Quantity]]</f>
        <v>1200000</v>
      </c>
      <c r="P499" s="3">
        <f>Table1[[#This Row],[Revenue]]-Table1[[#This Row],[COGS]]</f>
        <v>300000</v>
      </c>
      <c r="Q499" s="1">
        <v>498</v>
      </c>
    </row>
    <row r="500" spans="1:17">
      <c r="A500" t="s">
        <v>106</v>
      </c>
      <c r="B500" t="str">
        <f>TEXT(Table1[[#This Row],[Date]],"MMMM")</f>
        <v>April</v>
      </c>
      <c r="C500" t="str">
        <f>TEXT(Table1[[#This Row],[Date]],"DDDD")</f>
        <v>Wednesday</v>
      </c>
      <c r="D500" t="s">
        <v>35</v>
      </c>
      <c r="E500" t="s">
        <v>45</v>
      </c>
      <c r="F500" t="s">
        <v>41</v>
      </c>
      <c r="G500" t="s">
        <v>30</v>
      </c>
      <c r="H500" t="s">
        <v>67</v>
      </c>
      <c r="I500" t="s">
        <v>51</v>
      </c>
      <c r="J500" s="3">
        <v>420000</v>
      </c>
      <c r="K500">
        <v>10</v>
      </c>
      <c r="L500" t="s">
        <v>58</v>
      </c>
      <c r="M500" s="3">
        <v>336000</v>
      </c>
      <c r="N500" s="3">
        <f>Table1[[#This Row],[Unit Price]]*Table1[[#This Row],[Quantity]]</f>
        <v>4200000</v>
      </c>
      <c r="O500" s="3">
        <f>Table1[[#This Row],[Cost Price]]*Table1[[#This Row],[Quantity]]</f>
        <v>3360000</v>
      </c>
      <c r="P500" s="3">
        <f>Table1[[#This Row],[Revenue]]-Table1[[#This Row],[COGS]]</f>
        <v>840000</v>
      </c>
      <c r="Q500" s="1">
        <v>499</v>
      </c>
    </row>
    <row r="501" spans="1:17">
      <c r="A501" t="s">
        <v>83</v>
      </c>
      <c r="B501" t="str">
        <f>TEXT(Table1[[#This Row],[Date]],"MMMM")</f>
        <v>January</v>
      </c>
      <c r="C501" t="str">
        <f>TEXT(Table1[[#This Row],[Date]],"DDDD")</f>
        <v>Tuesday</v>
      </c>
      <c r="D501" t="s">
        <v>27</v>
      </c>
      <c r="E501" t="s">
        <v>53</v>
      </c>
      <c r="F501" t="s">
        <v>41</v>
      </c>
      <c r="G501" t="s">
        <v>30</v>
      </c>
      <c r="H501" t="s">
        <v>54</v>
      </c>
      <c r="I501" t="s">
        <v>39</v>
      </c>
      <c r="J501" s="3">
        <v>180000</v>
      </c>
      <c r="K501">
        <v>6</v>
      </c>
      <c r="L501" t="s">
        <v>42</v>
      </c>
      <c r="M501" s="3">
        <v>144000</v>
      </c>
      <c r="N501" s="3">
        <f>Table1[[#This Row],[Unit Price]]*Table1[[#This Row],[Quantity]]</f>
        <v>1080000</v>
      </c>
      <c r="O501" s="3">
        <f>Table1[[#This Row],[Cost Price]]*Table1[[#This Row],[Quantity]]</f>
        <v>864000</v>
      </c>
      <c r="P501" s="3">
        <f>Table1[[#This Row],[Revenue]]-Table1[[#This Row],[COGS]]</f>
        <v>216000</v>
      </c>
      <c r="Q501" s="1">
        <v>500</v>
      </c>
    </row>
    <row r="502" spans="1:17">
      <c r="A502" t="s">
        <v>52</v>
      </c>
      <c r="B502" t="str">
        <f>TEXT(Table1[[#This Row],[Date]],"MMMM")</f>
        <v>March</v>
      </c>
      <c r="C502" t="str">
        <f>TEXT(Table1[[#This Row],[Date]],"DDDD")</f>
        <v>Saturday</v>
      </c>
      <c r="D502" t="s">
        <v>35</v>
      </c>
      <c r="E502" t="s">
        <v>53</v>
      </c>
      <c r="F502" t="s">
        <v>29</v>
      </c>
      <c r="G502" t="s">
        <v>37</v>
      </c>
      <c r="H502" t="s">
        <v>31</v>
      </c>
      <c r="I502" t="s">
        <v>32</v>
      </c>
      <c r="J502" s="3">
        <v>85000</v>
      </c>
      <c r="K502">
        <v>4</v>
      </c>
      <c r="L502" t="s">
        <v>58</v>
      </c>
      <c r="M502" s="3">
        <v>68000</v>
      </c>
      <c r="N502" s="3">
        <f>Table1[[#This Row],[Unit Price]]*Table1[[#This Row],[Quantity]]</f>
        <v>340000</v>
      </c>
      <c r="O502" s="3">
        <f>Table1[[#This Row],[Cost Price]]*Table1[[#This Row],[Quantity]]</f>
        <v>272000</v>
      </c>
      <c r="P502" s="3">
        <f>Table1[[#This Row],[Revenue]]-Table1[[#This Row],[COGS]]</f>
        <v>68000</v>
      </c>
      <c r="Q502" s="1">
        <v>501</v>
      </c>
    </row>
    <row r="503" spans="1:17">
      <c r="A503" t="s">
        <v>85</v>
      </c>
      <c r="B503" t="str">
        <f>TEXT(Table1[[#This Row],[Date]],"MMMM")</f>
        <v>February</v>
      </c>
      <c r="C503" t="str">
        <f>TEXT(Table1[[#This Row],[Date]],"DDDD")</f>
        <v>Thursday</v>
      </c>
      <c r="D503" t="s">
        <v>49</v>
      </c>
      <c r="E503" t="s">
        <v>45</v>
      </c>
      <c r="F503" t="s">
        <v>41</v>
      </c>
      <c r="G503" t="s">
        <v>30</v>
      </c>
      <c r="H503" t="s">
        <v>50</v>
      </c>
      <c r="I503" t="s">
        <v>51</v>
      </c>
      <c r="J503" s="3">
        <v>300000</v>
      </c>
      <c r="K503">
        <v>4</v>
      </c>
      <c r="L503" t="s">
        <v>65</v>
      </c>
      <c r="M503" s="3">
        <v>240000</v>
      </c>
      <c r="N503" s="3">
        <f>Table1[[#This Row],[Unit Price]]*Table1[[#This Row],[Quantity]]</f>
        <v>1200000</v>
      </c>
      <c r="O503" s="3">
        <f>Table1[[#This Row],[Cost Price]]*Table1[[#This Row],[Quantity]]</f>
        <v>960000</v>
      </c>
      <c r="P503" s="3">
        <f>Table1[[#This Row],[Revenue]]-Table1[[#This Row],[COGS]]</f>
        <v>240000</v>
      </c>
      <c r="Q503" s="1">
        <v>502</v>
      </c>
    </row>
    <row r="504" spans="1:17">
      <c r="A504" t="s">
        <v>92</v>
      </c>
      <c r="B504" t="str">
        <f>TEXT(Table1[[#This Row],[Date]],"MMMM")</f>
        <v>January</v>
      </c>
      <c r="C504" t="str">
        <f>TEXT(Table1[[#This Row],[Date]],"DDDD")</f>
        <v>Tuesday</v>
      </c>
      <c r="D504" t="s">
        <v>44</v>
      </c>
      <c r="E504" t="s">
        <v>53</v>
      </c>
      <c r="F504" t="s">
        <v>29</v>
      </c>
      <c r="G504" t="s">
        <v>30</v>
      </c>
      <c r="H504" t="s">
        <v>31</v>
      </c>
      <c r="I504" t="s">
        <v>32</v>
      </c>
      <c r="J504" s="3">
        <v>85000</v>
      </c>
      <c r="K504">
        <v>3</v>
      </c>
      <c r="L504" t="s">
        <v>58</v>
      </c>
      <c r="M504" s="3">
        <v>68000</v>
      </c>
      <c r="N504" s="3">
        <f>Table1[[#This Row],[Unit Price]]*Table1[[#This Row],[Quantity]]</f>
        <v>255000</v>
      </c>
      <c r="O504" s="3">
        <f>Table1[[#This Row],[Cost Price]]*Table1[[#This Row],[Quantity]]</f>
        <v>204000</v>
      </c>
      <c r="P504" s="3">
        <f>Table1[[#This Row],[Revenue]]-Table1[[#This Row],[COGS]]</f>
        <v>51000</v>
      </c>
      <c r="Q504" s="1">
        <v>503</v>
      </c>
    </row>
    <row r="505" spans="1:17">
      <c r="A505" t="s">
        <v>95</v>
      </c>
      <c r="B505" t="str">
        <f>TEXT(Table1[[#This Row],[Date]],"MMMM")</f>
        <v>February</v>
      </c>
      <c r="C505" t="str">
        <f>TEXT(Table1[[#This Row],[Date]],"DDDD")</f>
        <v>Saturday</v>
      </c>
      <c r="D505" t="s">
        <v>49</v>
      </c>
      <c r="E505" t="s">
        <v>28</v>
      </c>
      <c r="F505" t="s">
        <v>29</v>
      </c>
      <c r="G505" t="s">
        <v>37</v>
      </c>
      <c r="H505" t="s">
        <v>73</v>
      </c>
      <c r="I505" t="s">
        <v>39</v>
      </c>
      <c r="J505" s="3">
        <v>220000</v>
      </c>
      <c r="K505">
        <v>9</v>
      </c>
      <c r="L505" t="s">
        <v>65</v>
      </c>
      <c r="M505" s="3">
        <v>176000</v>
      </c>
      <c r="N505" s="3">
        <f>Table1[[#This Row],[Unit Price]]*Table1[[#This Row],[Quantity]]</f>
        <v>1980000</v>
      </c>
      <c r="O505" s="3">
        <f>Table1[[#This Row],[Cost Price]]*Table1[[#This Row],[Quantity]]</f>
        <v>1584000</v>
      </c>
      <c r="P505" s="3">
        <f>Table1[[#This Row],[Revenue]]-Table1[[#This Row],[COGS]]</f>
        <v>396000</v>
      </c>
      <c r="Q505" s="1">
        <v>504</v>
      </c>
    </row>
    <row r="506" spans="1:17">
      <c r="A506" t="s">
        <v>157</v>
      </c>
      <c r="B506" t="str">
        <f>TEXT(Table1[[#This Row],[Date]],"MMMM")</f>
        <v>April</v>
      </c>
      <c r="C506" t="str">
        <f>TEXT(Table1[[#This Row],[Date]],"DDDD")</f>
        <v>Tuesday</v>
      </c>
      <c r="D506" t="s">
        <v>27</v>
      </c>
      <c r="E506" t="s">
        <v>45</v>
      </c>
      <c r="F506" t="s">
        <v>41</v>
      </c>
      <c r="G506" t="s">
        <v>30</v>
      </c>
      <c r="H506" t="s">
        <v>54</v>
      </c>
      <c r="I506" t="s">
        <v>39</v>
      </c>
      <c r="J506" s="3">
        <v>180000</v>
      </c>
      <c r="K506">
        <v>3</v>
      </c>
      <c r="L506" t="s">
        <v>58</v>
      </c>
      <c r="M506" s="3">
        <v>144000</v>
      </c>
      <c r="N506" s="3">
        <f>Table1[[#This Row],[Unit Price]]*Table1[[#This Row],[Quantity]]</f>
        <v>540000</v>
      </c>
      <c r="O506" s="3">
        <f>Table1[[#This Row],[Cost Price]]*Table1[[#This Row],[Quantity]]</f>
        <v>432000</v>
      </c>
      <c r="P506" s="3">
        <f>Table1[[#This Row],[Revenue]]-Table1[[#This Row],[COGS]]</f>
        <v>108000</v>
      </c>
      <c r="Q506" s="1">
        <v>505</v>
      </c>
    </row>
    <row r="507" spans="1:17">
      <c r="A507" t="s">
        <v>172</v>
      </c>
      <c r="B507" t="str">
        <f>TEXT(Table1[[#This Row],[Date]],"MMMM")</f>
        <v>March</v>
      </c>
      <c r="C507" t="str">
        <f>TEXT(Table1[[#This Row],[Date]],"DDDD")</f>
        <v>Saturday</v>
      </c>
      <c r="D507" t="s">
        <v>35</v>
      </c>
      <c r="E507" t="s">
        <v>36</v>
      </c>
      <c r="F507" t="s">
        <v>41</v>
      </c>
      <c r="G507" t="s">
        <v>37</v>
      </c>
      <c r="H507" t="s">
        <v>50</v>
      </c>
      <c r="I507" t="s">
        <v>51</v>
      </c>
      <c r="J507" s="3">
        <v>300000</v>
      </c>
      <c r="K507">
        <v>9</v>
      </c>
      <c r="L507" t="s">
        <v>42</v>
      </c>
      <c r="M507" s="3">
        <v>240000</v>
      </c>
      <c r="N507" s="3">
        <f>Table1[[#This Row],[Unit Price]]*Table1[[#This Row],[Quantity]]</f>
        <v>2700000</v>
      </c>
      <c r="O507" s="3">
        <f>Table1[[#This Row],[Cost Price]]*Table1[[#This Row],[Quantity]]</f>
        <v>2160000</v>
      </c>
      <c r="P507" s="3">
        <f>Table1[[#This Row],[Revenue]]-Table1[[#This Row],[COGS]]</f>
        <v>540000</v>
      </c>
      <c r="Q507" s="1">
        <v>506</v>
      </c>
    </row>
    <row r="508" spans="1:17">
      <c r="A508" t="s">
        <v>161</v>
      </c>
      <c r="B508" t="str">
        <f>TEXT(Table1[[#This Row],[Date]],"MMMM")</f>
        <v>March</v>
      </c>
      <c r="C508" t="str">
        <f>TEXT(Table1[[#This Row],[Date]],"DDDD")</f>
        <v>Thursday</v>
      </c>
      <c r="D508" t="s">
        <v>49</v>
      </c>
      <c r="E508" t="s">
        <v>28</v>
      </c>
      <c r="F508" t="s">
        <v>41</v>
      </c>
      <c r="G508" t="s">
        <v>37</v>
      </c>
      <c r="H508" t="s">
        <v>62</v>
      </c>
      <c r="I508" t="s">
        <v>51</v>
      </c>
      <c r="J508" s="3">
        <v>150000</v>
      </c>
      <c r="K508">
        <v>4</v>
      </c>
      <c r="L508" t="s">
        <v>47</v>
      </c>
      <c r="M508" s="3">
        <v>120000</v>
      </c>
      <c r="N508" s="3">
        <f>Table1[[#This Row],[Unit Price]]*Table1[[#This Row],[Quantity]]</f>
        <v>600000</v>
      </c>
      <c r="O508" s="3">
        <f>Table1[[#This Row],[Cost Price]]*Table1[[#This Row],[Quantity]]</f>
        <v>480000</v>
      </c>
      <c r="P508" s="3">
        <f>Table1[[#This Row],[Revenue]]-Table1[[#This Row],[COGS]]</f>
        <v>120000</v>
      </c>
      <c r="Q508" s="1">
        <v>507</v>
      </c>
    </row>
    <row r="509" spans="1:17">
      <c r="A509" t="s">
        <v>92</v>
      </c>
      <c r="B509" t="str">
        <f>TEXT(Table1[[#This Row],[Date]],"MMMM")</f>
        <v>January</v>
      </c>
      <c r="C509" t="str">
        <f>TEXT(Table1[[#This Row],[Date]],"DDDD")</f>
        <v>Tuesday</v>
      </c>
      <c r="D509" t="s">
        <v>35</v>
      </c>
      <c r="E509" t="s">
        <v>53</v>
      </c>
      <c r="F509" t="s">
        <v>41</v>
      </c>
      <c r="G509" t="s">
        <v>37</v>
      </c>
      <c r="H509" t="s">
        <v>56</v>
      </c>
      <c r="I509" t="s">
        <v>32</v>
      </c>
      <c r="J509" s="3">
        <v>320000</v>
      </c>
      <c r="K509">
        <v>8</v>
      </c>
      <c r="L509" t="s">
        <v>65</v>
      </c>
      <c r="M509" s="3">
        <v>256000</v>
      </c>
      <c r="N509" s="3">
        <f>Table1[[#This Row],[Unit Price]]*Table1[[#This Row],[Quantity]]</f>
        <v>2560000</v>
      </c>
      <c r="O509" s="3">
        <f>Table1[[#This Row],[Cost Price]]*Table1[[#This Row],[Quantity]]</f>
        <v>2048000</v>
      </c>
      <c r="P509" s="3">
        <f>Table1[[#This Row],[Revenue]]-Table1[[#This Row],[COGS]]</f>
        <v>512000</v>
      </c>
      <c r="Q509" s="1">
        <v>508</v>
      </c>
    </row>
    <row r="510" spans="1:17">
      <c r="A510" t="s">
        <v>145</v>
      </c>
      <c r="B510" t="str">
        <f>TEXT(Table1[[#This Row],[Date]],"MMMM")</f>
        <v>January</v>
      </c>
      <c r="C510" t="str">
        <f>TEXT(Table1[[#This Row],[Date]],"DDDD")</f>
        <v>Friday</v>
      </c>
      <c r="D510" t="s">
        <v>49</v>
      </c>
      <c r="E510" t="s">
        <v>53</v>
      </c>
      <c r="F510" t="s">
        <v>29</v>
      </c>
      <c r="G510" t="s">
        <v>30</v>
      </c>
      <c r="H510" t="s">
        <v>56</v>
      </c>
      <c r="I510" t="s">
        <v>32</v>
      </c>
      <c r="J510" s="3">
        <v>320000</v>
      </c>
      <c r="K510">
        <v>7</v>
      </c>
      <c r="L510" t="s">
        <v>69</v>
      </c>
      <c r="M510" s="3">
        <v>256000</v>
      </c>
      <c r="N510" s="3">
        <f>Table1[[#This Row],[Unit Price]]*Table1[[#This Row],[Quantity]]</f>
        <v>2240000</v>
      </c>
      <c r="O510" s="3">
        <f>Table1[[#This Row],[Cost Price]]*Table1[[#This Row],[Quantity]]</f>
        <v>1792000</v>
      </c>
      <c r="P510" s="3">
        <f>Table1[[#This Row],[Revenue]]-Table1[[#This Row],[COGS]]</f>
        <v>448000</v>
      </c>
      <c r="Q510" s="1">
        <v>509</v>
      </c>
    </row>
    <row r="511" spans="1:17">
      <c r="A511" t="s">
        <v>68</v>
      </c>
      <c r="B511" t="str">
        <f>TEXT(Table1[[#This Row],[Date]],"MMMM")</f>
        <v>March</v>
      </c>
      <c r="C511" t="str">
        <f>TEXT(Table1[[#This Row],[Date]],"DDDD")</f>
        <v>Monday</v>
      </c>
      <c r="D511" t="s">
        <v>35</v>
      </c>
      <c r="E511" t="s">
        <v>53</v>
      </c>
      <c r="F511" t="s">
        <v>29</v>
      </c>
      <c r="G511" t="s">
        <v>37</v>
      </c>
      <c r="H511" t="s">
        <v>73</v>
      </c>
      <c r="I511" t="s">
        <v>39</v>
      </c>
      <c r="J511" s="3">
        <v>220000</v>
      </c>
      <c r="K511">
        <v>10</v>
      </c>
      <c r="L511" t="s">
        <v>47</v>
      </c>
      <c r="M511" s="3">
        <v>176000</v>
      </c>
      <c r="N511" s="3">
        <f>Table1[[#This Row],[Unit Price]]*Table1[[#This Row],[Quantity]]</f>
        <v>2200000</v>
      </c>
      <c r="O511" s="3">
        <f>Table1[[#This Row],[Cost Price]]*Table1[[#This Row],[Quantity]]</f>
        <v>1760000</v>
      </c>
      <c r="P511" s="3">
        <f>Table1[[#This Row],[Revenue]]-Table1[[#This Row],[COGS]]</f>
        <v>440000</v>
      </c>
      <c r="Q511" s="1">
        <v>510</v>
      </c>
    </row>
    <row r="512" spans="1:17">
      <c r="A512" t="s">
        <v>75</v>
      </c>
      <c r="B512" t="str">
        <f>TEXT(Table1[[#This Row],[Date]],"MMMM")</f>
        <v>March</v>
      </c>
      <c r="C512" t="str">
        <f>TEXT(Table1[[#This Row],[Date]],"DDDD")</f>
        <v>Monday</v>
      </c>
      <c r="D512" t="s">
        <v>44</v>
      </c>
      <c r="E512" t="s">
        <v>36</v>
      </c>
      <c r="F512" t="s">
        <v>29</v>
      </c>
      <c r="G512" t="s">
        <v>37</v>
      </c>
      <c r="H512" t="s">
        <v>38</v>
      </c>
      <c r="I512" t="s">
        <v>39</v>
      </c>
      <c r="J512" s="3">
        <v>30000</v>
      </c>
      <c r="K512">
        <v>7</v>
      </c>
      <c r="L512" t="s">
        <v>47</v>
      </c>
      <c r="M512" s="3">
        <v>24000</v>
      </c>
      <c r="N512" s="3">
        <f>Table1[[#This Row],[Unit Price]]*Table1[[#This Row],[Quantity]]</f>
        <v>210000</v>
      </c>
      <c r="O512" s="3">
        <f>Table1[[#This Row],[Cost Price]]*Table1[[#This Row],[Quantity]]</f>
        <v>168000</v>
      </c>
      <c r="P512" s="3">
        <f>Table1[[#This Row],[Revenue]]-Table1[[#This Row],[COGS]]</f>
        <v>42000</v>
      </c>
      <c r="Q512" s="1">
        <v>511</v>
      </c>
    </row>
    <row r="513" spans="1:17">
      <c r="A513" t="s">
        <v>138</v>
      </c>
      <c r="B513" t="str">
        <f>TEXT(Table1[[#This Row],[Date]],"MMMM")</f>
        <v>April</v>
      </c>
      <c r="C513" t="str">
        <f>TEXT(Table1[[#This Row],[Date]],"DDDD")</f>
        <v>Monday</v>
      </c>
      <c r="D513" t="s">
        <v>35</v>
      </c>
      <c r="E513" t="s">
        <v>45</v>
      </c>
      <c r="F513" t="s">
        <v>29</v>
      </c>
      <c r="G513" t="s">
        <v>30</v>
      </c>
      <c r="H513" t="s">
        <v>56</v>
      </c>
      <c r="I513" t="s">
        <v>32</v>
      </c>
      <c r="J513" s="3">
        <v>320000</v>
      </c>
      <c r="K513">
        <v>2</v>
      </c>
      <c r="L513" t="s">
        <v>47</v>
      </c>
      <c r="M513" s="3">
        <v>256000</v>
      </c>
      <c r="N513" s="3">
        <f>Table1[[#This Row],[Unit Price]]*Table1[[#This Row],[Quantity]]</f>
        <v>640000</v>
      </c>
      <c r="O513" s="3">
        <f>Table1[[#This Row],[Cost Price]]*Table1[[#This Row],[Quantity]]</f>
        <v>512000</v>
      </c>
      <c r="P513" s="3">
        <f>Table1[[#This Row],[Revenue]]-Table1[[#This Row],[COGS]]</f>
        <v>128000</v>
      </c>
      <c r="Q513" s="1">
        <v>512</v>
      </c>
    </row>
    <row r="514" spans="1:17">
      <c r="A514" t="s">
        <v>130</v>
      </c>
      <c r="B514" t="str">
        <f>TEXT(Table1[[#This Row],[Date]],"MMMM")</f>
        <v>January</v>
      </c>
      <c r="C514" t="str">
        <f>TEXT(Table1[[#This Row],[Date]],"DDDD")</f>
        <v>Monday</v>
      </c>
      <c r="D514" t="s">
        <v>49</v>
      </c>
      <c r="E514" t="s">
        <v>45</v>
      </c>
      <c r="F514" t="s">
        <v>41</v>
      </c>
      <c r="G514" t="s">
        <v>37</v>
      </c>
      <c r="H514" t="s">
        <v>50</v>
      </c>
      <c r="I514" t="s">
        <v>51</v>
      </c>
      <c r="J514" s="3">
        <v>300000</v>
      </c>
      <c r="K514">
        <v>3</v>
      </c>
      <c r="L514" t="s">
        <v>65</v>
      </c>
      <c r="M514" s="3">
        <v>240000</v>
      </c>
      <c r="N514" s="3">
        <f>Table1[[#This Row],[Unit Price]]*Table1[[#This Row],[Quantity]]</f>
        <v>900000</v>
      </c>
      <c r="O514" s="3">
        <f>Table1[[#This Row],[Cost Price]]*Table1[[#This Row],[Quantity]]</f>
        <v>720000</v>
      </c>
      <c r="P514" s="3">
        <f>Table1[[#This Row],[Revenue]]-Table1[[#This Row],[COGS]]</f>
        <v>180000</v>
      </c>
      <c r="Q514" s="1">
        <v>513</v>
      </c>
    </row>
    <row r="515" spans="1:17">
      <c r="A515" t="s">
        <v>34</v>
      </c>
      <c r="B515" t="str">
        <f>TEXT(Table1[[#This Row],[Date]],"MMMM")</f>
        <v>April</v>
      </c>
      <c r="C515" t="str">
        <f>TEXT(Table1[[#This Row],[Date]],"DDDD")</f>
        <v>Tuesday</v>
      </c>
      <c r="D515" t="s">
        <v>44</v>
      </c>
      <c r="E515" t="s">
        <v>28</v>
      </c>
      <c r="F515" t="s">
        <v>29</v>
      </c>
      <c r="G515" t="s">
        <v>30</v>
      </c>
      <c r="H515" t="s">
        <v>50</v>
      </c>
      <c r="I515" t="s">
        <v>51</v>
      </c>
      <c r="J515" s="3">
        <v>300000</v>
      </c>
      <c r="K515">
        <v>3</v>
      </c>
      <c r="L515" t="s">
        <v>47</v>
      </c>
      <c r="M515" s="3">
        <v>240000</v>
      </c>
      <c r="N515" s="3">
        <f>Table1[[#This Row],[Unit Price]]*Table1[[#This Row],[Quantity]]</f>
        <v>900000</v>
      </c>
      <c r="O515" s="3">
        <f>Table1[[#This Row],[Cost Price]]*Table1[[#This Row],[Quantity]]</f>
        <v>720000</v>
      </c>
      <c r="P515" s="3">
        <f>Table1[[#This Row],[Revenue]]-Table1[[#This Row],[COGS]]</f>
        <v>180000</v>
      </c>
      <c r="Q515" s="1">
        <v>514</v>
      </c>
    </row>
    <row r="516" spans="1:17">
      <c r="A516" t="s">
        <v>72</v>
      </c>
      <c r="B516" t="str">
        <f>TEXT(Table1[[#This Row],[Date]],"MMMM")</f>
        <v>February</v>
      </c>
      <c r="C516" t="str">
        <f>TEXT(Table1[[#This Row],[Date]],"DDDD")</f>
        <v>Wednesday</v>
      </c>
      <c r="D516" t="s">
        <v>44</v>
      </c>
      <c r="E516" t="s">
        <v>53</v>
      </c>
      <c r="F516" t="s">
        <v>29</v>
      </c>
      <c r="G516" t="s">
        <v>37</v>
      </c>
      <c r="H516" t="s">
        <v>62</v>
      </c>
      <c r="I516" t="s">
        <v>51</v>
      </c>
      <c r="J516" s="3">
        <v>150000</v>
      </c>
      <c r="K516">
        <v>10</v>
      </c>
      <c r="L516" t="s">
        <v>47</v>
      </c>
      <c r="M516" s="3">
        <v>120000</v>
      </c>
      <c r="N516" s="3">
        <f>Table1[[#This Row],[Unit Price]]*Table1[[#This Row],[Quantity]]</f>
        <v>1500000</v>
      </c>
      <c r="O516" s="3">
        <f>Table1[[#This Row],[Cost Price]]*Table1[[#This Row],[Quantity]]</f>
        <v>1200000</v>
      </c>
      <c r="P516" s="3">
        <f>Table1[[#This Row],[Revenue]]-Table1[[#This Row],[COGS]]</f>
        <v>300000</v>
      </c>
      <c r="Q516" s="1">
        <v>515</v>
      </c>
    </row>
    <row r="517" spans="1:17">
      <c r="A517" t="s">
        <v>132</v>
      </c>
      <c r="B517" t="str">
        <f>TEXT(Table1[[#This Row],[Date]],"MMMM")</f>
        <v>April</v>
      </c>
      <c r="C517" t="str">
        <f>TEXT(Table1[[#This Row],[Date]],"DDDD")</f>
        <v>Saturday</v>
      </c>
      <c r="D517" t="s">
        <v>44</v>
      </c>
      <c r="E517" t="s">
        <v>36</v>
      </c>
      <c r="F517" t="s">
        <v>41</v>
      </c>
      <c r="G517" t="s">
        <v>37</v>
      </c>
      <c r="H517" t="s">
        <v>38</v>
      </c>
      <c r="I517" t="s">
        <v>39</v>
      </c>
      <c r="J517" s="3">
        <v>30000</v>
      </c>
      <c r="K517">
        <v>7</v>
      </c>
      <c r="L517" t="s">
        <v>58</v>
      </c>
      <c r="M517" s="3">
        <v>24000</v>
      </c>
      <c r="N517" s="3">
        <f>Table1[[#This Row],[Unit Price]]*Table1[[#This Row],[Quantity]]</f>
        <v>210000</v>
      </c>
      <c r="O517" s="3">
        <f>Table1[[#This Row],[Cost Price]]*Table1[[#This Row],[Quantity]]</f>
        <v>168000</v>
      </c>
      <c r="P517" s="3">
        <f>Table1[[#This Row],[Revenue]]-Table1[[#This Row],[COGS]]</f>
        <v>42000</v>
      </c>
      <c r="Q517" s="1">
        <v>516</v>
      </c>
    </row>
    <row r="518" spans="1:17">
      <c r="A518" t="s">
        <v>93</v>
      </c>
      <c r="B518" t="str">
        <f>TEXT(Table1[[#This Row],[Date]],"MMMM")</f>
        <v>April</v>
      </c>
      <c r="C518" t="str">
        <f>TEXT(Table1[[#This Row],[Date]],"DDDD")</f>
        <v>Friday</v>
      </c>
      <c r="D518" t="s">
        <v>27</v>
      </c>
      <c r="E518" t="s">
        <v>28</v>
      </c>
      <c r="F518" t="s">
        <v>29</v>
      </c>
      <c r="G518" t="s">
        <v>30</v>
      </c>
      <c r="H518" t="s">
        <v>46</v>
      </c>
      <c r="I518" t="s">
        <v>39</v>
      </c>
      <c r="J518" s="3">
        <v>60000</v>
      </c>
      <c r="K518">
        <v>2</v>
      </c>
      <c r="L518" t="s">
        <v>65</v>
      </c>
      <c r="M518" s="3">
        <v>48000</v>
      </c>
      <c r="N518" s="3">
        <f>Table1[[#This Row],[Unit Price]]*Table1[[#This Row],[Quantity]]</f>
        <v>120000</v>
      </c>
      <c r="O518" s="3">
        <f>Table1[[#This Row],[Cost Price]]*Table1[[#This Row],[Quantity]]</f>
        <v>96000</v>
      </c>
      <c r="P518" s="3">
        <f>Table1[[#This Row],[Revenue]]-Table1[[#This Row],[COGS]]</f>
        <v>24000</v>
      </c>
      <c r="Q518" s="1">
        <v>517</v>
      </c>
    </row>
    <row r="519" spans="1:17">
      <c r="A519" t="s">
        <v>158</v>
      </c>
      <c r="B519" t="str">
        <f>TEXT(Table1[[#This Row],[Date]],"MMMM")</f>
        <v>January</v>
      </c>
      <c r="C519" t="str">
        <f>TEXT(Table1[[#This Row],[Date]],"DDDD")</f>
        <v>Saturday</v>
      </c>
      <c r="D519" t="s">
        <v>35</v>
      </c>
      <c r="E519" t="s">
        <v>36</v>
      </c>
      <c r="F519" t="s">
        <v>29</v>
      </c>
      <c r="G519" t="s">
        <v>30</v>
      </c>
      <c r="H519" t="s">
        <v>50</v>
      </c>
      <c r="I519" t="s">
        <v>51</v>
      </c>
      <c r="J519" s="3">
        <v>300000</v>
      </c>
      <c r="K519">
        <v>8</v>
      </c>
      <c r="L519" t="s">
        <v>33</v>
      </c>
      <c r="M519" s="3">
        <v>240000</v>
      </c>
      <c r="N519" s="3">
        <f>Table1[[#This Row],[Unit Price]]*Table1[[#This Row],[Quantity]]</f>
        <v>2400000</v>
      </c>
      <c r="O519" s="3">
        <f>Table1[[#This Row],[Cost Price]]*Table1[[#This Row],[Quantity]]</f>
        <v>1920000</v>
      </c>
      <c r="P519" s="3">
        <f>Table1[[#This Row],[Revenue]]-Table1[[#This Row],[COGS]]</f>
        <v>480000</v>
      </c>
      <c r="Q519" s="1">
        <v>518</v>
      </c>
    </row>
    <row r="520" spans="1:17">
      <c r="A520" t="s">
        <v>109</v>
      </c>
      <c r="B520" t="str">
        <f>TEXT(Table1[[#This Row],[Date]],"MMMM")</f>
        <v>March</v>
      </c>
      <c r="C520" t="str">
        <f>TEXT(Table1[[#This Row],[Date]],"DDDD")</f>
        <v>Monday</v>
      </c>
      <c r="D520" t="s">
        <v>49</v>
      </c>
      <c r="E520" t="s">
        <v>36</v>
      </c>
      <c r="F520" t="s">
        <v>41</v>
      </c>
      <c r="G520" t="s">
        <v>37</v>
      </c>
      <c r="H520" t="s">
        <v>38</v>
      </c>
      <c r="I520" t="s">
        <v>39</v>
      </c>
      <c r="J520" s="3">
        <v>30000</v>
      </c>
      <c r="K520">
        <v>6</v>
      </c>
      <c r="L520" t="s">
        <v>47</v>
      </c>
      <c r="M520" s="3">
        <v>24000</v>
      </c>
      <c r="N520" s="3">
        <f>Table1[[#This Row],[Unit Price]]*Table1[[#This Row],[Quantity]]</f>
        <v>180000</v>
      </c>
      <c r="O520" s="3">
        <f>Table1[[#This Row],[Cost Price]]*Table1[[#This Row],[Quantity]]</f>
        <v>144000</v>
      </c>
      <c r="P520" s="3">
        <f>Table1[[#This Row],[Revenue]]-Table1[[#This Row],[COGS]]</f>
        <v>36000</v>
      </c>
      <c r="Q520" s="1">
        <v>519</v>
      </c>
    </row>
    <row r="521" spans="1:17">
      <c r="A521" t="s">
        <v>72</v>
      </c>
      <c r="B521" t="str">
        <f>TEXT(Table1[[#This Row],[Date]],"MMMM")</f>
        <v>February</v>
      </c>
      <c r="C521" t="str">
        <f>TEXT(Table1[[#This Row],[Date]],"DDDD")</f>
        <v>Wednesday</v>
      </c>
      <c r="D521" t="s">
        <v>27</v>
      </c>
      <c r="E521" t="s">
        <v>36</v>
      </c>
      <c r="F521" t="s">
        <v>41</v>
      </c>
      <c r="G521" t="s">
        <v>30</v>
      </c>
      <c r="H521" t="s">
        <v>71</v>
      </c>
      <c r="I521" t="s">
        <v>51</v>
      </c>
      <c r="J521" s="3">
        <v>250000</v>
      </c>
      <c r="K521">
        <v>6</v>
      </c>
      <c r="L521" t="s">
        <v>42</v>
      </c>
      <c r="M521" s="3">
        <v>200000</v>
      </c>
      <c r="N521" s="3">
        <f>Table1[[#This Row],[Unit Price]]*Table1[[#This Row],[Quantity]]</f>
        <v>1500000</v>
      </c>
      <c r="O521" s="3">
        <f>Table1[[#This Row],[Cost Price]]*Table1[[#This Row],[Quantity]]</f>
        <v>1200000</v>
      </c>
      <c r="P521" s="3">
        <f>Table1[[#This Row],[Revenue]]-Table1[[#This Row],[COGS]]</f>
        <v>300000</v>
      </c>
      <c r="Q521" s="1">
        <v>520</v>
      </c>
    </row>
    <row r="522" spans="1:17">
      <c r="A522" t="s">
        <v>141</v>
      </c>
      <c r="B522" t="str">
        <f>TEXT(Table1[[#This Row],[Date]],"MMMM")</f>
        <v>March</v>
      </c>
      <c r="C522" t="str">
        <f>TEXT(Table1[[#This Row],[Date]],"DDDD")</f>
        <v>Sunday</v>
      </c>
      <c r="D522" t="s">
        <v>35</v>
      </c>
      <c r="E522" t="s">
        <v>53</v>
      </c>
      <c r="F522" t="s">
        <v>29</v>
      </c>
      <c r="G522" t="s">
        <v>30</v>
      </c>
      <c r="H522" t="s">
        <v>67</v>
      </c>
      <c r="I522" t="s">
        <v>51</v>
      </c>
      <c r="J522" s="3">
        <v>420000</v>
      </c>
      <c r="K522">
        <v>10</v>
      </c>
      <c r="L522" t="s">
        <v>58</v>
      </c>
      <c r="M522" s="3">
        <v>336000</v>
      </c>
      <c r="N522" s="3">
        <f>Table1[[#This Row],[Unit Price]]*Table1[[#This Row],[Quantity]]</f>
        <v>4200000</v>
      </c>
      <c r="O522" s="3">
        <f>Table1[[#This Row],[Cost Price]]*Table1[[#This Row],[Quantity]]</f>
        <v>3360000</v>
      </c>
      <c r="P522" s="3">
        <f>Table1[[#This Row],[Revenue]]-Table1[[#This Row],[COGS]]</f>
        <v>840000</v>
      </c>
      <c r="Q522" s="1">
        <v>521</v>
      </c>
    </row>
    <row r="523" spans="1:17">
      <c r="A523" t="s">
        <v>171</v>
      </c>
      <c r="B523" t="str">
        <f>TEXT(Table1[[#This Row],[Date]],"MMMM")</f>
        <v>March</v>
      </c>
      <c r="C523" t="str">
        <f>TEXT(Table1[[#This Row],[Date]],"DDDD")</f>
        <v>Monday</v>
      </c>
      <c r="D523" t="s">
        <v>44</v>
      </c>
      <c r="E523" t="s">
        <v>53</v>
      </c>
      <c r="F523" t="s">
        <v>29</v>
      </c>
      <c r="G523" t="s">
        <v>30</v>
      </c>
      <c r="H523" t="s">
        <v>46</v>
      </c>
      <c r="I523" t="s">
        <v>39</v>
      </c>
      <c r="J523" s="3">
        <v>60000</v>
      </c>
      <c r="K523">
        <v>9</v>
      </c>
      <c r="L523" t="s">
        <v>69</v>
      </c>
      <c r="M523" s="3">
        <v>48000</v>
      </c>
      <c r="N523" s="3">
        <f>Table1[[#This Row],[Unit Price]]*Table1[[#This Row],[Quantity]]</f>
        <v>540000</v>
      </c>
      <c r="O523" s="3">
        <f>Table1[[#This Row],[Cost Price]]*Table1[[#This Row],[Quantity]]</f>
        <v>432000</v>
      </c>
      <c r="P523" s="3">
        <f>Table1[[#This Row],[Revenue]]-Table1[[#This Row],[COGS]]</f>
        <v>108000</v>
      </c>
      <c r="Q523" s="1">
        <v>522</v>
      </c>
    </row>
    <row r="524" spans="1:17">
      <c r="A524" t="s">
        <v>83</v>
      </c>
      <c r="B524" t="str">
        <f>TEXT(Table1[[#This Row],[Date]],"MMMM")</f>
        <v>January</v>
      </c>
      <c r="C524" t="str">
        <f>TEXT(Table1[[#This Row],[Date]],"DDDD")</f>
        <v>Tuesday</v>
      </c>
      <c r="D524" t="s">
        <v>35</v>
      </c>
      <c r="E524" t="s">
        <v>45</v>
      </c>
      <c r="F524" t="s">
        <v>41</v>
      </c>
      <c r="G524" t="s">
        <v>37</v>
      </c>
      <c r="H524" t="s">
        <v>54</v>
      </c>
      <c r="I524" t="s">
        <v>39</v>
      </c>
      <c r="J524" s="3">
        <v>180000</v>
      </c>
      <c r="K524">
        <v>4</v>
      </c>
      <c r="L524" t="s">
        <v>33</v>
      </c>
      <c r="M524" s="3">
        <v>144000</v>
      </c>
      <c r="N524" s="3">
        <f>Table1[[#This Row],[Unit Price]]*Table1[[#This Row],[Quantity]]</f>
        <v>720000</v>
      </c>
      <c r="O524" s="3">
        <f>Table1[[#This Row],[Cost Price]]*Table1[[#This Row],[Quantity]]</f>
        <v>576000</v>
      </c>
      <c r="P524" s="3">
        <f>Table1[[#This Row],[Revenue]]-Table1[[#This Row],[COGS]]</f>
        <v>144000</v>
      </c>
      <c r="Q524" s="1">
        <v>523</v>
      </c>
    </row>
    <row r="525" spans="1:17">
      <c r="A525" t="s">
        <v>112</v>
      </c>
      <c r="B525" t="str">
        <f>TEXT(Table1[[#This Row],[Date]],"MMMM")</f>
        <v>February</v>
      </c>
      <c r="C525" t="str">
        <f>TEXT(Table1[[#This Row],[Date]],"DDDD")</f>
        <v>Monday</v>
      </c>
      <c r="D525" t="s">
        <v>49</v>
      </c>
      <c r="E525" t="s">
        <v>45</v>
      </c>
      <c r="F525" t="s">
        <v>29</v>
      </c>
      <c r="G525" t="s">
        <v>37</v>
      </c>
      <c r="H525" t="s">
        <v>54</v>
      </c>
      <c r="I525" t="s">
        <v>39</v>
      </c>
      <c r="J525" s="3">
        <v>180000</v>
      </c>
      <c r="K525">
        <v>10</v>
      </c>
      <c r="L525" t="s">
        <v>33</v>
      </c>
      <c r="M525" s="3">
        <v>144000</v>
      </c>
      <c r="N525" s="3">
        <f>Table1[[#This Row],[Unit Price]]*Table1[[#This Row],[Quantity]]</f>
        <v>1800000</v>
      </c>
      <c r="O525" s="3">
        <f>Table1[[#This Row],[Cost Price]]*Table1[[#This Row],[Quantity]]</f>
        <v>1440000</v>
      </c>
      <c r="P525" s="3">
        <f>Table1[[#This Row],[Revenue]]-Table1[[#This Row],[COGS]]</f>
        <v>360000</v>
      </c>
      <c r="Q525" s="1">
        <v>524</v>
      </c>
    </row>
    <row r="526" spans="1:17">
      <c r="A526" t="s">
        <v>143</v>
      </c>
      <c r="B526" t="str">
        <f>TEXT(Table1[[#This Row],[Date]],"MMMM")</f>
        <v>April</v>
      </c>
      <c r="C526" t="str">
        <f>TEXT(Table1[[#This Row],[Date]],"DDDD")</f>
        <v>Thursday</v>
      </c>
      <c r="D526" t="s">
        <v>49</v>
      </c>
      <c r="E526" t="s">
        <v>36</v>
      </c>
      <c r="F526" t="s">
        <v>41</v>
      </c>
      <c r="G526" t="s">
        <v>30</v>
      </c>
      <c r="H526" t="s">
        <v>38</v>
      </c>
      <c r="I526" t="s">
        <v>39</v>
      </c>
      <c r="J526" s="3">
        <v>30000</v>
      </c>
      <c r="K526">
        <v>1</v>
      </c>
      <c r="L526" t="s">
        <v>65</v>
      </c>
      <c r="M526" s="3">
        <v>24000</v>
      </c>
      <c r="N526" s="3">
        <f>Table1[[#This Row],[Unit Price]]*Table1[[#This Row],[Quantity]]</f>
        <v>30000</v>
      </c>
      <c r="O526" s="3">
        <f>Table1[[#This Row],[Cost Price]]*Table1[[#This Row],[Quantity]]</f>
        <v>24000</v>
      </c>
      <c r="P526" s="3">
        <f>Table1[[#This Row],[Revenue]]-Table1[[#This Row],[COGS]]</f>
        <v>6000</v>
      </c>
      <c r="Q526" s="1">
        <v>525</v>
      </c>
    </row>
    <row r="527" spans="1:17">
      <c r="A527" t="s">
        <v>116</v>
      </c>
      <c r="B527" t="str">
        <f>TEXT(Table1[[#This Row],[Date]],"MMMM")</f>
        <v>April</v>
      </c>
      <c r="C527" t="str">
        <f>TEXT(Table1[[#This Row],[Date]],"DDDD")</f>
        <v>Saturday</v>
      </c>
      <c r="D527" t="s">
        <v>35</v>
      </c>
      <c r="E527" t="s">
        <v>45</v>
      </c>
      <c r="F527" t="s">
        <v>29</v>
      </c>
      <c r="G527" t="s">
        <v>37</v>
      </c>
      <c r="H527" t="s">
        <v>67</v>
      </c>
      <c r="I527" t="s">
        <v>51</v>
      </c>
      <c r="J527" s="3">
        <v>420000</v>
      </c>
      <c r="K527">
        <v>3</v>
      </c>
      <c r="L527" t="s">
        <v>58</v>
      </c>
      <c r="M527" s="3">
        <v>336000</v>
      </c>
      <c r="N527" s="3">
        <f>Table1[[#This Row],[Unit Price]]*Table1[[#This Row],[Quantity]]</f>
        <v>1260000</v>
      </c>
      <c r="O527" s="3">
        <f>Table1[[#This Row],[Cost Price]]*Table1[[#This Row],[Quantity]]</f>
        <v>1008000</v>
      </c>
      <c r="P527" s="3">
        <f>Table1[[#This Row],[Revenue]]-Table1[[#This Row],[COGS]]</f>
        <v>252000</v>
      </c>
      <c r="Q527" s="1">
        <v>526</v>
      </c>
    </row>
    <row r="528" spans="1:17">
      <c r="A528" t="s">
        <v>142</v>
      </c>
      <c r="B528" t="str">
        <f>TEXT(Table1[[#This Row],[Date]],"MMMM")</f>
        <v>April</v>
      </c>
      <c r="C528" t="str">
        <f>TEXT(Table1[[#This Row],[Date]],"DDDD")</f>
        <v>Monday</v>
      </c>
      <c r="D528" t="s">
        <v>35</v>
      </c>
      <c r="E528" t="s">
        <v>28</v>
      </c>
      <c r="F528" t="s">
        <v>29</v>
      </c>
      <c r="G528" t="s">
        <v>37</v>
      </c>
      <c r="H528" t="s">
        <v>38</v>
      </c>
      <c r="I528" t="s">
        <v>39</v>
      </c>
      <c r="J528" s="3">
        <v>30000</v>
      </c>
      <c r="K528">
        <v>8</v>
      </c>
      <c r="L528" t="s">
        <v>58</v>
      </c>
      <c r="M528" s="3">
        <v>24000</v>
      </c>
      <c r="N528" s="3">
        <f>Table1[[#This Row],[Unit Price]]*Table1[[#This Row],[Quantity]]</f>
        <v>240000</v>
      </c>
      <c r="O528" s="3">
        <f>Table1[[#This Row],[Cost Price]]*Table1[[#This Row],[Quantity]]</f>
        <v>192000</v>
      </c>
      <c r="P528" s="3">
        <f>Table1[[#This Row],[Revenue]]-Table1[[#This Row],[COGS]]</f>
        <v>48000</v>
      </c>
      <c r="Q528" s="1">
        <v>527</v>
      </c>
    </row>
    <row r="529" spans="1:17">
      <c r="A529" t="s">
        <v>135</v>
      </c>
      <c r="B529" t="str">
        <f>TEXT(Table1[[#This Row],[Date]],"MMMM")</f>
        <v>March</v>
      </c>
      <c r="C529" t="str">
        <f>TEXT(Table1[[#This Row],[Date]],"DDDD")</f>
        <v>Sunday</v>
      </c>
      <c r="D529" t="s">
        <v>44</v>
      </c>
      <c r="E529" t="s">
        <v>53</v>
      </c>
      <c r="F529" t="s">
        <v>41</v>
      </c>
      <c r="G529" t="s">
        <v>30</v>
      </c>
      <c r="H529" t="s">
        <v>56</v>
      </c>
      <c r="I529" t="s">
        <v>32</v>
      </c>
      <c r="J529" s="3">
        <v>320000</v>
      </c>
      <c r="K529">
        <v>2</v>
      </c>
      <c r="L529" t="s">
        <v>47</v>
      </c>
      <c r="M529" s="3">
        <v>256000</v>
      </c>
      <c r="N529" s="3">
        <f>Table1[[#This Row],[Unit Price]]*Table1[[#This Row],[Quantity]]</f>
        <v>640000</v>
      </c>
      <c r="O529" s="3">
        <f>Table1[[#This Row],[Cost Price]]*Table1[[#This Row],[Quantity]]</f>
        <v>512000</v>
      </c>
      <c r="P529" s="3">
        <f>Table1[[#This Row],[Revenue]]-Table1[[#This Row],[COGS]]</f>
        <v>128000</v>
      </c>
      <c r="Q529" s="1">
        <v>528</v>
      </c>
    </row>
    <row r="530" spans="1:17">
      <c r="A530" t="s">
        <v>123</v>
      </c>
      <c r="B530" t="str">
        <f>TEXT(Table1[[#This Row],[Date]],"MMMM")</f>
        <v>April</v>
      </c>
      <c r="C530" t="str">
        <f>TEXT(Table1[[#This Row],[Date]],"DDDD")</f>
        <v>Monday</v>
      </c>
      <c r="D530" t="s">
        <v>27</v>
      </c>
      <c r="E530" t="s">
        <v>36</v>
      </c>
      <c r="F530" t="s">
        <v>41</v>
      </c>
      <c r="G530" t="s">
        <v>37</v>
      </c>
      <c r="H530" t="s">
        <v>62</v>
      </c>
      <c r="I530" t="s">
        <v>51</v>
      </c>
      <c r="J530" s="3">
        <v>150000</v>
      </c>
      <c r="K530">
        <v>10</v>
      </c>
      <c r="L530" t="s">
        <v>47</v>
      </c>
      <c r="M530" s="3">
        <v>120000</v>
      </c>
      <c r="N530" s="3">
        <f>Table1[[#This Row],[Unit Price]]*Table1[[#This Row],[Quantity]]</f>
        <v>1500000</v>
      </c>
      <c r="O530" s="3">
        <f>Table1[[#This Row],[Cost Price]]*Table1[[#This Row],[Quantity]]</f>
        <v>1200000</v>
      </c>
      <c r="P530" s="3">
        <f>Table1[[#This Row],[Revenue]]-Table1[[#This Row],[COGS]]</f>
        <v>300000</v>
      </c>
      <c r="Q530" s="1">
        <v>529</v>
      </c>
    </row>
    <row r="531" spans="1:17">
      <c r="A531" t="s">
        <v>132</v>
      </c>
      <c r="B531" t="str">
        <f>TEXT(Table1[[#This Row],[Date]],"MMMM")</f>
        <v>April</v>
      </c>
      <c r="C531" t="str">
        <f>TEXT(Table1[[#This Row],[Date]],"DDDD")</f>
        <v>Saturday</v>
      </c>
      <c r="D531" t="s">
        <v>49</v>
      </c>
      <c r="E531" t="s">
        <v>45</v>
      </c>
      <c r="F531" t="s">
        <v>41</v>
      </c>
      <c r="G531" t="s">
        <v>30</v>
      </c>
      <c r="H531" t="s">
        <v>71</v>
      </c>
      <c r="I531" t="s">
        <v>51</v>
      </c>
      <c r="J531" s="3">
        <v>250000</v>
      </c>
      <c r="K531">
        <v>9</v>
      </c>
      <c r="L531" t="s">
        <v>42</v>
      </c>
      <c r="M531" s="3">
        <v>200000</v>
      </c>
      <c r="N531" s="3">
        <f>Table1[[#This Row],[Unit Price]]*Table1[[#This Row],[Quantity]]</f>
        <v>2250000</v>
      </c>
      <c r="O531" s="3">
        <f>Table1[[#This Row],[Cost Price]]*Table1[[#This Row],[Quantity]]</f>
        <v>1800000</v>
      </c>
      <c r="P531" s="3">
        <f>Table1[[#This Row],[Revenue]]-Table1[[#This Row],[COGS]]</f>
        <v>450000</v>
      </c>
      <c r="Q531" s="1">
        <v>530</v>
      </c>
    </row>
    <row r="532" spans="1:17">
      <c r="A532" t="s">
        <v>149</v>
      </c>
      <c r="B532" t="str">
        <f>TEXT(Table1[[#This Row],[Date]],"MMMM")</f>
        <v>April</v>
      </c>
      <c r="C532" t="str">
        <f>TEXT(Table1[[#This Row],[Date]],"DDDD")</f>
        <v>Saturday</v>
      </c>
      <c r="D532" t="s">
        <v>44</v>
      </c>
      <c r="E532" t="s">
        <v>45</v>
      </c>
      <c r="F532" t="s">
        <v>41</v>
      </c>
      <c r="G532" t="s">
        <v>37</v>
      </c>
      <c r="H532" t="s">
        <v>73</v>
      </c>
      <c r="I532" t="s">
        <v>39</v>
      </c>
      <c r="J532" s="3">
        <v>220000</v>
      </c>
      <c r="K532">
        <v>5</v>
      </c>
      <c r="L532" t="s">
        <v>42</v>
      </c>
      <c r="M532" s="3">
        <v>176000</v>
      </c>
      <c r="N532" s="3">
        <f>Table1[[#This Row],[Unit Price]]*Table1[[#This Row],[Quantity]]</f>
        <v>1100000</v>
      </c>
      <c r="O532" s="3">
        <f>Table1[[#This Row],[Cost Price]]*Table1[[#This Row],[Quantity]]</f>
        <v>880000</v>
      </c>
      <c r="P532" s="3">
        <f>Table1[[#This Row],[Revenue]]-Table1[[#This Row],[COGS]]</f>
        <v>220000</v>
      </c>
      <c r="Q532" s="1">
        <v>531</v>
      </c>
    </row>
    <row r="533" spans="1:17">
      <c r="A533" t="s">
        <v>173</v>
      </c>
      <c r="B533" t="str">
        <f>TEXT(Table1[[#This Row],[Date]],"MMMM")</f>
        <v>March</v>
      </c>
      <c r="C533" t="str">
        <f>TEXT(Table1[[#This Row],[Date]],"DDDD")</f>
        <v>Saturday</v>
      </c>
      <c r="D533" t="s">
        <v>27</v>
      </c>
      <c r="E533" t="s">
        <v>45</v>
      </c>
      <c r="F533" t="s">
        <v>29</v>
      </c>
      <c r="G533" t="s">
        <v>37</v>
      </c>
      <c r="H533" t="s">
        <v>62</v>
      </c>
      <c r="I533" t="s">
        <v>51</v>
      </c>
      <c r="J533" s="3">
        <v>150000</v>
      </c>
      <c r="K533">
        <v>5</v>
      </c>
      <c r="L533" t="s">
        <v>33</v>
      </c>
      <c r="M533" s="3">
        <v>120000</v>
      </c>
      <c r="N533" s="3">
        <f>Table1[[#This Row],[Unit Price]]*Table1[[#This Row],[Quantity]]</f>
        <v>750000</v>
      </c>
      <c r="O533" s="3">
        <f>Table1[[#This Row],[Cost Price]]*Table1[[#This Row],[Quantity]]</f>
        <v>600000</v>
      </c>
      <c r="P533" s="3">
        <f>Table1[[#This Row],[Revenue]]-Table1[[#This Row],[COGS]]</f>
        <v>150000</v>
      </c>
      <c r="Q533" s="1">
        <v>532</v>
      </c>
    </row>
    <row r="534" spans="1:17">
      <c r="A534" t="s">
        <v>159</v>
      </c>
      <c r="B534" t="str">
        <f>TEXT(Table1[[#This Row],[Date]],"MMMM")</f>
        <v>February</v>
      </c>
      <c r="C534" t="str">
        <f>TEXT(Table1[[#This Row],[Date]],"DDDD")</f>
        <v>Sunday</v>
      </c>
      <c r="D534" t="s">
        <v>35</v>
      </c>
      <c r="E534" t="s">
        <v>53</v>
      </c>
      <c r="F534" t="s">
        <v>41</v>
      </c>
      <c r="G534" t="s">
        <v>37</v>
      </c>
      <c r="H534" t="s">
        <v>73</v>
      </c>
      <c r="I534" t="s">
        <v>39</v>
      </c>
      <c r="J534" s="3">
        <v>220000</v>
      </c>
      <c r="K534">
        <v>8</v>
      </c>
      <c r="L534" t="s">
        <v>65</v>
      </c>
      <c r="M534" s="3">
        <v>176000</v>
      </c>
      <c r="N534" s="3">
        <f>Table1[[#This Row],[Unit Price]]*Table1[[#This Row],[Quantity]]</f>
        <v>1760000</v>
      </c>
      <c r="O534" s="3">
        <f>Table1[[#This Row],[Cost Price]]*Table1[[#This Row],[Quantity]]</f>
        <v>1408000</v>
      </c>
      <c r="P534" s="3">
        <f>Table1[[#This Row],[Revenue]]-Table1[[#This Row],[COGS]]</f>
        <v>352000</v>
      </c>
      <c r="Q534" s="1">
        <v>533</v>
      </c>
    </row>
    <row r="535" spans="1:17">
      <c r="A535" t="s">
        <v>66</v>
      </c>
      <c r="B535" t="str">
        <f>TEXT(Table1[[#This Row],[Date]],"MMMM")</f>
        <v>March</v>
      </c>
      <c r="C535" t="str">
        <f>TEXT(Table1[[#This Row],[Date]],"DDDD")</f>
        <v>Saturday</v>
      </c>
      <c r="D535" t="s">
        <v>35</v>
      </c>
      <c r="E535" t="s">
        <v>36</v>
      </c>
      <c r="F535" t="s">
        <v>29</v>
      </c>
      <c r="G535" t="s">
        <v>30</v>
      </c>
      <c r="H535" t="s">
        <v>31</v>
      </c>
      <c r="I535" t="s">
        <v>32</v>
      </c>
      <c r="J535" s="3">
        <v>85000</v>
      </c>
      <c r="K535">
        <v>4</v>
      </c>
      <c r="L535" t="s">
        <v>58</v>
      </c>
      <c r="M535" s="3">
        <v>68000</v>
      </c>
      <c r="N535" s="3">
        <f>Table1[[#This Row],[Unit Price]]*Table1[[#This Row],[Quantity]]</f>
        <v>340000</v>
      </c>
      <c r="O535" s="3">
        <f>Table1[[#This Row],[Cost Price]]*Table1[[#This Row],[Quantity]]</f>
        <v>272000</v>
      </c>
      <c r="P535" s="3">
        <f>Table1[[#This Row],[Revenue]]-Table1[[#This Row],[COGS]]</f>
        <v>68000</v>
      </c>
      <c r="Q535" s="1">
        <v>534</v>
      </c>
    </row>
    <row r="536" spans="1:17">
      <c r="A536" t="s">
        <v>77</v>
      </c>
      <c r="B536" t="str">
        <f>TEXT(Table1[[#This Row],[Date]],"MMMM")</f>
        <v>April</v>
      </c>
      <c r="C536" t="str">
        <f>TEXT(Table1[[#This Row],[Date]],"DDDD")</f>
        <v>Friday</v>
      </c>
      <c r="D536" t="s">
        <v>44</v>
      </c>
      <c r="E536" t="s">
        <v>45</v>
      </c>
      <c r="F536" t="s">
        <v>29</v>
      </c>
      <c r="G536" t="s">
        <v>30</v>
      </c>
      <c r="H536" t="s">
        <v>56</v>
      </c>
      <c r="I536" t="s">
        <v>32</v>
      </c>
      <c r="J536" s="3">
        <v>320000</v>
      </c>
      <c r="K536">
        <v>4</v>
      </c>
      <c r="L536" t="s">
        <v>58</v>
      </c>
      <c r="M536" s="3">
        <v>256000</v>
      </c>
      <c r="N536" s="3">
        <f>Table1[[#This Row],[Unit Price]]*Table1[[#This Row],[Quantity]]</f>
        <v>1280000</v>
      </c>
      <c r="O536" s="3">
        <f>Table1[[#This Row],[Cost Price]]*Table1[[#This Row],[Quantity]]</f>
        <v>1024000</v>
      </c>
      <c r="P536" s="3">
        <f>Table1[[#This Row],[Revenue]]-Table1[[#This Row],[COGS]]</f>
        <v>256000</v>
      </c>
      <c r="Q536" s="1">
        <v>535</v>
      </c>
    </row>
    <row r="537" spans="1:17">
      <c r="A537" t="s">
        <v>94</v>
      </c>
      <c r="B537" t="str">
        <f>TEXT(Table1[[#This Row],[Date]],"MMMM")</f>
        <v>January</v>
      </c>
      <c r="C537" t="str">
        <f>TEXT(Table1[[#This Row],[Date]],"DDDD")</f>
        <v>Friday</v>
      </c>
      <c r="D537" t="s">
        <v>35</v>
      </c>
      <c r="E537" t="s">
        <v>45</v>
      </c>
      <c r="F537" t="s">
        <v>41</v>
      </c>
      <c r="G537" t="s">
        <v>30</v>
      </c>
      <c r="H537" t="s">
        <v>71</v>
      </c>
      <c r="I537" t="s">
        <v>51</v>
      </c>
      <c r="J537" s="3">
        <v>250000</v>
      </c>
      <c r="K537">
        <v>2</v>
      </c>
      <c r="L537" t="s">
        <v>42</v>
      </c>
      <c r="M537" s="3">
        <v>200000</v>
      </c>
      <c r="N537" s="3">
        <f>Table1[[#This Row],[Unit Price]]*Table1[[#This Row],[Quantity]]</f>
        <v>500000</v>
      </c>
      <c r="O537" s="3">
        <f>Table1[[#This Row],[Cost Price]]*Table1[[#This Row],[Quantity]]</f>
        <v>400000</v>
      </c>
      <c r="P537" s="3">
        <f>Table1[[#This Row],[Revenue]]-Table1[[#This Row],[COGS]]</f>
        <v>100000</v>
      </c>
      <c r="Q537" s="1">
        <v>536</v>
      </c>
    </row>
    <row r="538" spans="1:17">
      <c r="A538" t="s">
        <v>146</v>
      </c>
      <c r="B538" t="str">
        <f>TEXT(Table1[[#This Row],[Date]],"MMMM")</f>
        <v>January</v>
      </c>
      <c r="C538" t="str">
        <f>TEXT(Table1[[#This Row],[Date]],"DDDD")</f>
        <v>Tuesday</v>
      </c>
      <c r="D538" t="s">
        <v>35</v>
      </c>
      <c r="E538" t="s">
        <v>28</v>
      </c>
      <c r="F538" t="s">
        <v>29</v>
      </c>
      <c r="G538" t="s">
        <v>30</v>
      </c>
      <c r="H538" t="s">
        <v>50</v>
      </c>
      <c r="I538" t="s">
        <v>51</v>
      </c>
      <c r="J538" s="3">
        <v>300000</v>
      </c>
      <c r="K538">
        <v>5</v>
      </c>
      <c r="L538" t="s">
        <v>42</v>
      </c>
      <c r="M538" s="3">
        <v>240000</v>
      </c>
      <c r="N538" s="3">
        <f>Table1[[#This Row],[Unit Price]]*Table1[[#This Row],[Quantity]]</f>
        <v>1500000</v>
      </c>
      <c r="O538" s="3">
        <f>Table1[[#This Row],[Cost Price]]*Table1[[#This Row],[Quantity]]</f>
        <v>1200000</v>
      </c>
      <c r="P538" s="3">
        <f>Table1[[#This Row],[Revenue]]-Table1[[#This Row],[COGS]]</f>
        <v>300000</v>
      </c>
      <c r="Q538" s="1">
        <v>537</v>
      </c>
    </row>
    <row r="539" spans="1:17">
      <c r="A539" t="s">
        <v>154</v>
      </c>
      <c r="B539" t="str">
        <f>TEXT(Table1[[#This Row],[Date]],"MMMM")</f>
        <v>February</v>
      </c>
      <c r="C539" t="str">
        <f>TEXT(Table1[[#This Row],[Date]],"DDDD")</f>
        <v>Saturday</v>
      </c>
      <c r="D539" t="s">
        <v>35</v>
      </c>
      <c r="E539" t="s">
        <v>45</v>
      </c>
      <c r="F539" t="s">
        <v>29</v>
      </c>
      <c r="G539" t="s">
        <v>30</v>
      </c>
      <c r="H539" t="s">
        <v>46</v>
      </c>
      <c r="I539" t="s">
        <v>39</v>
      </c>
      <c r="J539" s="3">
        <v>60000</v>
      </c>
      <c r="K539">
        <v>9</v>
      </c>
      <c r="L539" t="s">
        <v>47</v>
      </c>
      <c r="M539" s="3">
        <v>48000</v>
      </c>
      <c r="N539" s="3">
        <f>Table1[[#This Row],[Unit Price]]*Table1[[#This Row],[Quantity]]</f>
        <v>540000</v>
      </c>
      <c r="O539" s="3">
        <f>Table1[[#This Row],[Cost Price]]*Table1[[#This Row],[Quantity]]</f>
        <v>432000</v>
      </c>
      <c r="P539" s="3">
        <f>Table1[[#This Row],[Revenue]]-Table1[[#This Row],[COGS]]</f>
        <v>108000</v>
      </c>
      <c r="Q539" s="1">
        <v>538</v>
      </c>
    </row>
    <row r="540" spans="1:17">
      <c r="A540" t="s">
        <v>134</v>
      </c>
      <c r="B540" t="str">
        <f>TEXT(Table1[[#This Row],[Date]],"MMMM")</f>
        <v>January</v>
      </c>
      <c r="C540" t="str">
        <f>TEXT(Table1[[#This Row],[Date]],"DDDD")</f>
        <v>Wednesday</v>
      </c>
      <c r="D540" t="s">
        <v>35</v>
      </c>
      <c r="E540" t="s">
        <v>45</v>
      </c>
      <c r="F540" t="s">
        <v>41</v>
      </c>
      <c r="G540" t="s">
        <v>30</v>
      </c>
      <c r="H540" t="s">
        <v>62</v>
      </c>
      <c r="I540" t="s">
        <v>51</v>
      </c>
      <c r="J540" s="3">
        <v>150000</v>
      </c>
      <c r="K540">
        <v>6</v>
      </c>
      <c r="L540" t="s">
        <v>47</v>
      </c>
      <c r="M540" s="3">
        <v>120000</v>
      </c>
      <c r="N540" s="3">
        <f>Table1[[#This Row],[Unit Price]]*Table1[[#This Row],[Quantity]]</f>
        <v>900000</v>
      </c>
      <c r="O540" s="3">
        <f>Table1[[#This Row],[Cost Price]]*Table1[[#This Row],[Quantity]]</f>
        <v>720000</v>
      </c>
      <c r="P540" s="3">
        <f>Table1[[#This Row],[Revenue]]-Table1[[#This Row],[COGS]]</f>
        <v>180000</v>
      </c>
      <c r="Q540" s="1">
        <v>539</v>
      </c>
    </row>
    <row r="541" spans="1:17">
      <c r="A541" t="s">
        <v>126</v>
      </c>
      <c r="B541" t="str">
        <f>TEXT(Table1[[#This Row],[Date]],"MMMM")</f>
        <v>January</v>
      </c>
      <c r="C541" t="str">
        <f>TEXT(Table1[[#This Row],[Date]],"DDDD")</f>
        <v>Thursday</v>
      </c>
      <c r="D541" t="s">
        <v>44</v>
      </c>
      <c r="E541" t="s">
        <v>45</v>
      </c>
      <c r="F541" t="s">
        <v>41</v>
      </c>
      <c r="G541" t="s">
        <v>37</v>
      </c>
      <c r="H541" t="s">
        <v>31</v>
      </c>
      <c r="I541" t="s">
        <v>32</v>
      </c>
      <c r="J541" s="3">
        <v>85000</v>
      </c>
      <c r="K541">
        <v>3</v>
      </c>
      <c r="L541" t="s">
        <v>58</v>
      </c>
      <c r="M541" s="3">
        <v>68000</v>
      </c>
      <c r="N541" s="3">
        <f>Table1[[#This Row],[Unit Price]]*Table1[[#This Row],[Quantity]]</f>
        <v>255000</v>
      </c>
      <c r="O541" s="3">
        <f>Table1[[#This Row],[Cost Price]]*Table1[[#This Row],[Quantity]]</f>
        <v>204000</v>
      </c>
      <c r="P541" s="3">
        <f>Table1[[#This Row],[Revenue]]-Table1[[#This Row],[COGS]]</f>
        <v>51000</v>
      </c>
      <c r="Q541" s="1">
        <v>540</v>
      </c>
    </row>
    <row r="542" spans="1:17">
      <c r="A542" t="s">
        <v>171</v>
      </c>
      <c r="B542" t="str">
        <f>TEXT(Table1[[#This Row],[Date]],"MMMM")</f>
        <v>March</v>
      </c>
      <c r="C542" t="str">
        <f>TEXT(Table1[[#This Row],[Date]],"DDDD")</f>
        <v>Monday</v>
      </c>
      <c r="D542" t="s">
        <v>44</v>
      </c>
      <c r="E542" t="s">
        <v>36</v>
      </c>
      <c r="F542" t="s">
        <v>41</v>
      </c>
      <c r="G542" t="s">
        <v>37</v>
      </c>
      <c r="H542" t="s">
        <v>56</v>
      </c>
      <c r="I542" t="s">
        <v>32</v>
      </c>
      <c r="J542" s="3">
        <v>320000</v>
      </c>
      <c r="K542">
        <v>8</v>
      </c>
      <c r="L542" t="s">
        <v>47</v>
      </c>
      <c r="M542" s="3">
        <v>256000</v>
      </c>
      <c r="N542" s="3">
        <f>Table1[[#This Row],[Unit Price]]*Table1[[#This Row],[Quantity]]</f>
        <v>2560000</v>
      </c>
      <c r="O542" s="3">
        <f>Table1[[#This Row],[Cost Price]]*Table1[[#This Row],[Quantity]]</f>
        <v>2048000</v>
      </c>
      <c r="P542" s="3">
        <f>Table1[[#This Row],[Revenue]]-Table1[[#This Row],[COGS]]</f>
        <v>512000</v>
      </c>
      <c r="Q542" s="1">
        <v>541</v>
      </c>
    </row>
    <row r="543" spans="1:17">
      <c r="A543" t="s">
        <v>81</v>
      </c>
      <c r="B543" t="str">
        <f>TEXT(Table1[[#This Row],[Date]],"MMMM")</f>
        <v>March</v>
      </c>
      <c r="C543" t="str">
        <f>TEXT(Table1[[#This Row],[Date]],"DDDD")</f>
        <v>Sunday</v>
      </c>
      <c r="D543" t="s">
        <v>35</v>
      </c>
      <c r="E543" t="s">
        <v>28</v>
      </c>
      <c r="F543" t="s">
        <v>41</v>
      </c>
      <c r="G543" t="s">
        <v>30</v>
      </c>
      <c r="H543" t="s">
        <v>71</v>
      </c>
      <c r="I543" t="s">
        <v>51</v>
      </c>
      <c r="J543" s="3">
        <v>250000</v>
      </c>
      <c r="K543">
        <v>1</v>
      </c>
      <c r="L543" t="s">
        <v>58</v>
      </c>
      <c r="M543" s="3">
        <v>200000</v>
      </c>
      <c r="N543" s="3">
        <f>Table1[[#This Row],[Unit Price]]*Table1[[#This Row],[Quantity]]</f>
        <v>250000</v>
      </c>
      <c r="O543" s="3">
        <f>Table1[[#This Row],[Cost Price]]*Table1[[#This Row],[Quantity]]</f>
        <v>200000</v>
      </c>
      <c r="P543" s="3">
        <f>Table1[[#This Row],[Revenue]]-Table1[[#This Row],[COGS]]</f>
        <v>50000</v>
      </c>
      <c r="Q543" s="1">
        <v>542</v>
      </c>
    </row>
    <row r="544" spans="1:17">
      <c r="A544" t="s">
        <v>164</v>
      </c>
      <c r="B544" t="str">
        <f>TEXT(Table1[[#This Row],[Date]],"MMMM")</f>
        <v>March</v>
      </c>
      <c r="C544" t="str">
        <f>TEXT(Table1[[#This Row],[Date]],"DDDD")</f>
        <v>Tuesday</v>
      </c>
      <c r="D544" t="s">
        <v>27</v>
      </c>
      <c r="E544" t="s">
        <v>36</v>
      </c>
      <c r="F544" t="s">
        <v>41</v>
      </c>
      <c r="G544" t="s">
        <v>37</v>
      </c>
      <c r="H544" t="s">
        <v>54</v>
      </c>
      <c r="I544" t="s">
        <v>39</v>
      </c>
      <c r="J544" s="3">
        <v>180000</v>
      </c>
      <c r="K544">
        <v>4</v>
      </c>
      <c r="L544" t="s">
        <v>33</v>
      </c>
      <c r="M544" s="3">
        <v>144000</v>
      </c>
      <c r="N544" s="3">
        <f>Table1[[#This Row],[Unit Price]]*Table1[[#This Row],[Quantity]]</f>
        <v>720000</v>
      </c>
      <c r="O544" s="3">
        <f>Table1[[#This Row],[Cost Price]]*Table1[[#This Row],[Quantity]]</f>
        <v>576000</v>
      </c>
      <c r="P544" s="3">
        <f>Table1[[#This Row],[Revenue]]-Table1[[#This Row],[COGS]]</f>
        <v>144000</v>
      </c>
      <c r="Q544" s="1">
        <v>543</v>
      </c>
    </row>
    <row r="545" spans="1:17">
      <c r="A545" t="s">
        <v>110</v>
      </c>
      <c r="B545" t="str">
        <f>TEXT(Table1[[#This Row],[Date]],"MMMM")</f>
        <v>January</v>
      </c>
      <c r="C545" t="str">
        <f>TEXT(Table1[[#This Row],[Date]],"DDDD")</f>
        <v>Thursday</v>
      </c>
      <c r="D545" t="s">
        <v>35</v>
      </c>
      <c r="E545" t="s">
        <v>45</v>
      </c>
      <c r="F545" t="s">
        <v>29</v>
      </c>
      <c r="G545" t="s">
        <v>30</v>
      </c>
      <c r="H545" t="s">
        <v>46</v>
      </c>
      <c r="I545" t="s">
        <v>39</v>
      </c>
      <c r="J545" s="3">
        <v>60000</v>
      </c>
      <c r="K545">
        <v>6</v>
      </c>
      <c r="L545" t="s">
        <v>69</v>
      </c>
      <c r="M545" s="3">
        <v>48000</v>
      </c>
      <c r="N545" s="3">
        <f>Table1[[#This Row],[Unit Price]]*Table1[[#This Row],[Quantity]]</f>
        <v>360000</v>
      </c>
      <c r="O545" s="3">
        <f>Table1[[#This Row],[Cost Price]]*Table1[[#This Row],[Quantity]]</f>
        <v>288000</v>
      </c>
      <c r="P545" s="3">
        <f>Table1[[#This Row],[Revenue]]-Table1[[#This Row],[COGS]]</f>
        <v>72000</v>
      </c>
      <c r="Q545" s="1">
        <v>544</v>
      </c>
    </row>
    <row r="546" spans="1:17">
      <c r="A546" t="s">
        <v>139</v>
      </c>
      <c r="B546" t="str">
        <f>TEXT(Table1[[#This Row],[Date]],"MMMM")</f>
        <v>January</v>
      </c>
      <c r="C546" t="str">
        <f>TEXT(Table1[[#This Row],[Date]],"DDDD")</f>
        <v>Monday</v>
      </c>
      <c r="D546" t="s">
        <v>49</v>
      </c>
      <c r="E546" t="s">
        <v>53</v>
      </c>
      <c r="F546" t="s">
        <v>29</v>
      </c>
      <c r="G546" t="s">
        <v>37</v>
      </c>
      <c r="H546" t="s">
        <v>54</v>
      </c>
      <c r="I546" t="s">
        <v>39</v>
      </c>
      <c r="J546" s="3">
        <v>180000</v>
      </c>
      <c r="K546">
        <v>7</v>
      </c>
      <c r="L546" t="s">
        <v>33</v>
      </c>
      <c r="M546" s="3">
        <v>144000</v>
      </c>
      <c r="N546" s="3">
        <f>Table1[[#This Row],[Unit Price]]*Table1[[#This Row],[Quantity]]</f>
        <v>1260000</v>
      </c>
      <c r="O546" s="3">
        <f>Table1[[#This Row],[Cost Price]]*Table1[[#This Row],[Quantity]]</f>
        <v>1008000</v>
      </c>
      <c r="P546" s="3">
        <f>Table1[[#This Row],[Revenue]]-Table1[[#This Row],[COGS]]</f>
        <v>252000</v>
      </c>
      <c r="Q546" s="1">
        <v>545</v>
      </c>
    </row>
    <row r="547" spans="1:17">
      <c r="A547" t="s">
        <v>133</v>
      </c>
      <c r="B547" t="str">
        <f>TEXT(Table1[[#This Row],[Date]],"MMMM")</f>
        <v>January</v>
      </c>
      <c r="C547" t="str">
        <f>TEXT(Table1[[#This Row],[Date]],"DDDD")</f>
        <v>Wednesday</v>
      </c>
      <c r="D547" t="s">
        <v>49</v>
      </c>
      <c r="E547" t="s">
        <v>36</v>
      </c>
      <c r="F547" t="s">
        <v>29</v>
      </c>
      <c r="G547" t="s">
        <v>30</v>
      </c>
      <c r="H547" t="s">
        <v>62</v>
      </c>
      <c r="I547" t="s">
        <v>51</v>
      </c>
      <c r="J547" s="3">
        <v>150000</v>
      </c>
      <c r="K547">
        <v>10</v>
      </c>
      <c r="L547" t="s">
        <v>65</v>
      </c>
      <c r="M547" s="3">
        <v>120000</v>
      </c>
      <c r="N547" s="3">
        <f>Table1[[#This Row],[Unit Price]]*Table1[[#This Row],[Quantity]]</f>
        <v>1500000</v>
      </c>
      <c r="O547" s="3">
        <f>Table1[[#This Row],[Cost Price]]*Table1[[#This Row],[Quantity]]</f>
        <v>1200000</v>
      </c>
      <c r="P547" s="3">
        <f>Table1[[#This Row],[Revenue]]-Table1[[#This Row],[COGS]]</f>
        <v>300000</v>
      </c>
      <c r="Q547" s="1">
        <v>546</v>
      </c>
    </row>
    <row r="548" spans="1:17">
      <c r="A548" t="s">
        <v>109</v>
      </c>
      <c r="B548" t="str">
        <f>TEXT(Table1[[#This Row],[Date]],"MMMM")</f>
        <v>March</v>
      </c>
      <c r="C548" t="str">
        <f>TEXT(Table1[[#This Row],[Date]],"DDDD")</f>
        <v>Monday</v>
      </c>
      <c r="D548" t="s">
        <v>35</v>
      </c>
      <c r="E548" t="s">
        <v>45</v>
      </c>
      <c r="F548" t="s">
        <v>29</v>
      </c>
      <c r="G548" t="s">
        <v>37</v>
      </c>
      <c r="H548" t="s">
        <v>56</v>
      </c>
      <c r="I548" t="s">
        <v>32</v>
      </c>
      <c r="J548" s="3">
        <v>320000</v>
      </c>
      <c r="K548">
        <v>5</v>
      </c>
      <c r="L548" t="s">
        <v>65</v>
      </c>
      <c r="M548" s="3">
        <v>256000</v>
      </c>
      <c r="N548" s="3">
        <f>Table1[[#This Row],[Unit Price]]*Table1[[#This Row],[Quantity]]</f>
        <v>1600000</v>
      </c>
      <c r="O548" s="3">
        <f>Table1[[#This Row],[Cost Price]]*Table1[[#This Row],[Quantity]]</f>
        <v>1280000</v>
      </c>
      <c r="P548" s="3">
        <f>Table1[[#This Row],[Revenue]]-Table1[[#This Row],[COGS]]</f>
        <v>320000</v>
      </c>
      <c r="Q548" s="1">
        <v>547</v>
      </c>
    </row>
    <row r="549" spans="1:17">
      <c r="A549" t="s">
        <v>60</v>
      </c>
      <c r="B549" t="str">
        <f>TEXT(Table1[[#This Row],[Date]],"MMMM")</f>
        <v>March</v>
      </c>
      <c r="C549" t="str">
        <f>TEXT(Table1[[#This Row],[Date]],"DDDD")</f>
        <v>Wednesday</v>
      </c>
      <c r="D549" t="s">
        <v>27</v>
      </c>
      <c r="E549" t="s">
        <v>28</v>
      </c>
      <c r="F549" t="s">
        <v>41</v>
      </c>
      <c r="G549" t="s">
        <v>37</v>
      </c>
      <c r="H549" t="s">
        <v>62</v>
      </c>
      <c r="I549" t="s">
        <v>51</v>
      </c>
      <c r="J549" s="3">
        <v>150000</v>
      </c>
      <c r="K549">
        <v>7</v>
      </c>
      <c r="L549" t="s">
        <v>42</v>
      </c>
      <c r="M549" s="3">
        <v>120000</v>
      </c>
      <c r="N549" s="3">
        <f>Table1[[#This Row],[Unit Price]]*Table1[[#This Row],[Quantity]]</f>
        <v>1050000</v>
      </c>
      <c r="O549" s="3">
        <f>Table1[[#This Row],[Cost Price]]*Table1[[#This Row],[Quantity]]</f>
        <v>840000</v>
      </c>
      <c r="P549" s="3">
        <f>Table1[[#This Row],[Revenue]]-Table1[[#This Row],[COGS]]</f>
        <v>210000</v>
      </c>
      <c r="Q549" s="1">
        <v>548</v>
      </c>
    </row>
    <row r="550" spans="1:17">
      <c r="A550" t="s">
        <v>43</v>
      </c>
      <c r="B550" t="str">
        <f>TEXT(Table1[[#This Row],[Date]],"MMMM")</f>
        <v>April</v>
      </c>
      <c r="C550" t="str">
        <f>TEXT(Table1[[#This Row],[Date]],"DDDD")</f>
        <v>Friday</v>
      </c>
      <c r="D550" t="s">
        <v>35</v>
      </c>
      <c r="E550" t="s">
        <v>28</v>
      </c>
      <c r="F550" t="s">
        <v>41</v>
      </c>
      <c r="G550" t="s">
        <v>30</v>
      </c>
      <c r="H550" t="s">
        <v>62</v>
      </c>
      <c r="I550" t="s">
        <v>51</v>
      </c>
      <c r="J550" s="3">
        <v>150000</v>
      </c>
      <c r="K550">
        <v>4</v>
      </c>
      <c r="L550" t="s">
        <v>65</v>
      </c>
      <c r="M550" s="3">
        <v>120000</v>
      </c>
      <c r="N550" s="3">
        <f>Table1[[#This Row],[Unit Price]]*Table1[[#This Row],[Quantity]]</f>
        <v>600000</v>
      </c>
      <c r="O550" s="3">
        <f>Table1[[#This Row],[Cost Price]]*Table1[[#This Row],[Quantity]]</f>
        <v>480000</v>
      </c>
      <c r="P550" s="3">
        <f>Table1[[#This Row],[Revenue]]-Table1[[#This Row],[COGS]]</f>
        <v>120000</v>
      </c>
      <c r="Q550" s="1">
        <v>549</v>
      </c>
    </row>
    <row r="551" spans="1:17">
      <c r="A551" t="s">
        <v>112</v>
      </c>
      <c r="B551" t="str">
        <f>TEXT(Table1[[#This Row],[Date]],"MMMM")</f>
        <v>February</v>
      </c>
      <c r="C551" t="str">
        <f>TEXT(Table1[[#This Row],[Date]],"DDDD")</f>
        <v>Monday</v>
      </c>
      <c r="D551" t="s">
        <v>49</v>
      </c>
      <c r="E551" t="s">
        <v>45</v>
      </c>
      <c r="F551" t="s">
        <v>41</v>
      </c>
      <c r="G551" t="s">
        <v>30</v>
      </c>
      <c r="H551" t="s">
        <v>50</v>
      </c>
      <c r="I551" t="s">
        <v>51</v>
      </c>
      <c r="J551" s="3">
        <v>300000</v>
      </c>
      <c r="K551">
        <v>6</v>
      </c>
      <c r="L551" t="s">
        <v>47</v>
      </c>
      <c r="M551" s="3">
        <v>240000</v>
      </c>
      <c r="N551" s="3">
        <f>Table1[[#This Row],[Unit Price]]*Table1[[#This Row],[Quantity]]</f>
        <v>1800000</v>
      </c>
      <c r="O551" s="3">
        <f>Table1[[#This Row],[Cost Price]]*Table1[[#This Row],[Quantity]]</f>
        <v>1440000</v>
      </c>
      <c r="P551" s="3">
        <f>Table1[[#This Row],[Revenue]]-Table1[[#This Row],[COGS]]</f>
        <v>360000</v>
      </c>
      <c r="Q551" s="1">
        <v>550</v>
      </c>
    </row>
    <row r="552" spans="1:17">
      <c r="A552" t="s">
        <v>86</v>
      </c>
      <c r="B552" t="str">
        <f>TEXT(Table1[[#This Row],[Date]],"MMMM")</f>
        <v>February</v>
      </c>
      <c r="C552" t="str">
        <f>TEXT(Table1[[#This Row],[Date]],"DDDD")</f>
        <v>Thursday</v>
      </c>
      <c r="D552" t="s">
        <v>49</v>
      </c>
      <c r="E552" t="s">
        <v>28</v>
      </c>
      <c r="F552" t="s">
        <v>29</v>
      </c>
      <c r="G552" t="s">
        <v>37</v>
      </c>
      <c r="H552" t="s">
        <v>56</v>
      </c>
      <c r="I552" t="s">
        <v>32</v>
      </c>
      <c r="J552" s="3">
        <v>320000</v>
      </c>
      <c r="K552">
        <v>4</v>
      </c>
      <c r="L552" t="s">
        <v>47</v>
      </c>
      <c r="M552" s="3">
        <v>256000</v>
      </c>
      <c r="N552" s="3">
        <f>Table1[[#This Row],[Unit Price]]*Table1[[#This Row],[Quantity]]</f>
        <v>1280000</v>
      </c>
      <c r="O552" s="3">
        <f>Table1[[#This Row],[Cost Price]]*Table1[[#This Row],[Quantity]]</f>
        <v>1024000</v>
      </c>
      <c r="P552" s="3">
        <f>Table1[[#This Row],[Revenue]]-Table1[[#This Row],[COGS]]</f>
        <v>256000</v>
      </c>
      <c r="Q552" s="1">
        <v>551</v>
      </c>
    </row>
    <row r="553" spans="1:17">
      <c r="A553" t="s">
        <v>90</v>
      </c>
      <c r="B553" t="str">
        <f>TEXT(Table1[[#This Row],[Date]],"MMMM")</f>
        <v>February</v>
      </c>
      <c r="C553" t="str">
        <f>TEXT(Table1[[#This Row],[Date]],"DDDD")</f>
        <v>Tuesday</v>
      </c>
      <c r="D553" t="s">
        <v>44</v>
      </c>
      <c r="E553" t="s">
        <v>36</v>
      </c>
      <c r="F553" t="s">
        <v>41</v>
      </c>
      <c r="G553" t="s">
        <v>30</v>
      </c>
      <c r="H553" t="s">
        <v>38</v>
      </c>
      <c r="I553" t="s">
        <v>39</v>
      </c>
      <c r="J553" s="3">
        <v>30000</v>
      </c>
      <c r="K553">
        <v>4</v>
      </c>
      <c r="L553" t="s">
        <v>42</v>
      </c>
      <c r="M553" s="3">
        <v>24000</v>
      </c>
      <c r="N553" s="3">
        <f>Table1[[#This Row],[Unit Price]]*Table1[[#This Row],[Quantity]]</f>
        <v>120000</v>
      </c>
      <c r="O553" s="3">
        <f>Table1[[#This Row],[Cost Price]]*Table1[[#This Row],[Quantity]]</f>
        <v>96000</v>
      </c>
      <c r="P553" s="3">
        <f>Table1[[#This Row],[Revenue]]-Table1[[#This Row],[COGS]]</f>
        <v>24000</v>
      </c>
      <c r="Q553" s="1">
        <v>552</v>
      </c>
    </row>
    <row r="554" spans="1:17">
      <c r="A554" t="s">
        <v>133</v>
      </c>
      <c r="B554" t="str">
        <f>TEXT(Table1[[#This Row],[Date]],"MMMM")</f>
        <v>January</v>
      </c>
      <c r="C554" t="str">
        <f>TEXT(Table1[[#This Row],[Date]],"DDDD")</f>
        <v>Wednesday</v>
      </c>
      <c r="D554" t="s">
        <v>35</v>
      </c>
      <c r="E554" t="s">
        <v>45</v>
      </c>
      <c r="F554" t="s">
        <v>41</v>
      </c>
      <c r="G554" t="s">
        <v>30</v>
      </c>
      <c r="H554" t="s">
        <v>62</v>
      </c>
      <c r="I554" t="s">
        <v>51</v>
      </c>
      <c r="J554" s="3">
        <v>150000</v>
      </c>
      <c r="K554">
        <v>8</v>
      </c>
      <c r="L554" t="s">
        <v>69</v>
      </c>
      <c r="M554" s="3">
        <v>120000</v>
      </c>
      <c r="N554" s="3">
        <f>Table1[[#This Row],[Unit Price]]*Table1[[#This Row],[Quantity]]</f>
        <v>1200000</v>
      </c>
      <c r="O554" s="3">
        <f>Table1[[#This Row],[Cost Price]]*Table1[[#This Row],[Quantity]]</f>
        <v>960000</v>
      </c>
      <c r="P554" s="3">
        <f>Table1[[#This Row],[Revenue]]-Table1[[#This Row],[COGS]]</f>
        <v>240000</v>
      </c>
      <c r="Q554" s="1">
        <v>553</v>
      </c>
    </row>
    <row r="555" spans="1:17">
      <c r="A555" t="s">
        <v>101</v>
      </c>
      <c r="B555" t="str">
        <f>TEXT(Table1[[#This Row],[Date]],"MMMM")</f>
        <v>January</v>
      </c>
      <c r="C555" t="str">
        <f>TEXT(Table1[[#This Row],[Date]],"DDDD")</f>
        <v>Thursday</v>
      </c>
      <c r="D555" t="s">
        <v>44</v>
      </c>
      <c r="E555" t="s">
        <v>36</v>
      </c>
      <c r="F555" t="s">
        <v>29</v>
      </c>
      <c r="G555" t="s">
        <v>37</v>
      </c>
      <c r="H555" t="s">
        <v>71</v>
      </c>
      <c r="I555" t="s">
        <v>51</v>
      </c>
      <c r="J555" s="3">
        <v>250000</v>
      </c>
      <c r="K555">
        <v>8</v>
      </c>
      <c r="L555" t="s">
        <v>65</v>
      </c>
      <c r="M555" s="3">
        <v>200000</v>
      </c>
      <c r="N555" s="3">
        <f>Table1[[#This Row],[Unit Price]]*Table1[[#This Row],[Quantity]]</f>
        <v>2000000</v>
      </c>
      <c r="O555" s="3">
        <f>Table1[[#This Row],[Cost Price]]*Table1[[#This Row],[Quantity]]</f>
        <v>1600000</v>
      </c>
      <c r="P555" s="3">
        <f>Table1[[#This Row],[Revenue]]-Table1[[#This Row],[COGS]]</f>
        <v>400000</v>
      </c>
      <c r="Q555" s="1">
        <v>554</v>
      </c>
    </row>
    <row r="556" spans="1:17">
      <c r="A556" t="s">
        <v>68</v>
      </c>
      <c r="B556" t="str">
        <f>TEXT(Table1[[#This Row],[Date]],"MMMM")</f>
        <v>March</v>
      </c>
      <c r="C556" t="str">
        <f>TEXT(Table1[[#This Row],[Date]],"DDDD")</f>
        <v>Monday</v>
      </c>
      <c r="D556" t="s">
        <v>49</v>
      </c>
      <c r="E556" t="s">
        <v>36</v>
      </c>
      <c r="F556" t="s">
        <v>41</v>
      </c>
      <c r="G556" t="s">
        <v>30</v>
      </c>
      <c r="H556" t="s">
        <v>38</v>
      </c>
      <c r="I556" t="s">
        <v>39</v>
      </c>
      <c r="J556" s="3">
        <v>30000</v>
      </c>
      <c r="K556">
        <v>4</v>
      </c>
      <c r="L556" t="s">
        <v>69</v>
      </c>
      <c r="M556" s="3">
        <v>24000</v>
      </c>
      <c r="N556" s="3">
        <f>Table1[[#This Row],[Unit Price]]*Table1[[#This Row],[Quantity]]</f>
        <v>120000</v>
      </c>
      <c r="O556" s="3">
        <f>Table1[[#This Row],[Cost Price]]*Table1[[#This Row],[Quantity]]</f>
        <v>96000</v>
      </c>
      <c r="P556" s="3">
        <f>Table1[[#This Row],[Revenue]]-Table1[[#This Row],[COGS]]</f>
        <v>24000</v>
      </c>
      <c r="Q556" s="1">
        <v>555</v>
      </c>
    </row>
    <row r="557" spans="1:17">
      <c r="A557" t="s">
        <v>133</v>
      </c>
      <c r="B557" t="str">
        <f>TEXT(Table1[[#This Row],[Date]],"MMMM")</f>
        <v>January</v>
      </c>
      <c r="C557" t="str">
        <f>TEXT(Table1[[#This Row],[Date]],"DDDD")</f>
        <v>Wednesday</v>
      </c>
      <c r="D557" t="s">
        <v>44</v>
      </c>
      <c r="E557" t="s">
        <v>28</v>
      </c>
      <c r="F557" t="s">
        <v>41</v>
      </c>
      <c r="G557" t="s">
        <v>30</v>
      </c>
      <c r="H557" t="s">
        <v>67</v>
      </c>
      <c r="I557" t="s">
        <v>51</v>
      </c>
      <c r="J557" s="3">
        <v>420000</v>
      </c>
      <c r="K557">
        <v>2</v>
      </c>
      <c r="L557" t="s">
        <v>65</v>
      </c>
      <c r="M557" s="3">
        <v>336000</v>
      </c>
      <c r="N557" s="3">
        <f>Table1[[#This Row],[Unit Price]]*Table1[[#This Row],[Quantity]]</f>
        <v>840000</v>
      </c>
      <c r="O557" s="3">
        <f>Table1[[#This Row],[Cost Price]]*Table1[[#This Row],[Quantity]]</f>
        <v>672000</v>
      </c>
      <c r="P557" s="3">
        <f>Table1[[#This Row],[Revenue]]-Table1[[#This Row],[COGS]]</f>
        <v>168000</v>
      </c>
      <c r="Q557" s="1">
        <v>556</v>
      </c>
    </row>
    <row r="558" spans="1:17">
      <c r="A558" t="s">
        <v>109</v>
      </c>
      <c r="B558" t="str">
        <f>TEXT(Table1[[#This Row],[Date]],"MMMM")</f>
        <v>March</v>
      </c>
      <c r="C558" t="str">
        <f>TEXT(Table1[[#This Row],[Date]],"DDDD")</f>
        <v>Monday</v>
      </c>
      <c r="D558" t="s">
        <v>44</v>
      </c>
      <c r="E558" t="s">
        <v>28</v>
      </c>
      <c r="F558" t="s">
        <v>41</v>
      </c>
      <c r="G558" t="s">
        <v>37</v>
      </c>
      <c r="H558" t="s">
        <v>38</v>
      </c>
      <c r="I558" t="s">
        <v>39</v>
      </c>
      <c r="J558" s="3">
        <v>30000</v>
      </c>
      <c r="K558">
        <v>6</v>
      </c>
      <c r="L558" t="s">
        <v>65</v>
      </c>
      <c r="M558" s="3">
        <v>24000</v>
      </c>
      <c r="N558" s="3">
        <f>Table1[[#This Row],[Unit Price]]*Table1[[#This Row],[Quantity]]</f>
        <v>180000</v>
      </c>
      <c r="O558" s="3">
        <f>Table1[[#This Row],[Cost Price]]*Table1[[#This Row],[Quantity]]</f>
        <v>144000</v>
      </c>
      <c r="P558" s="3">
        <f>Table1[[#This Row],[Revenue]]-Table1[[#This Row],[COGS]]</f>
        <v>36000</v>
      </c>
      <c r="Q558" s="1">
        <v>557</v>
      </c>
    </row>
    <row r="559" spans="1:17">
      <c r="A559" t="s">
        <v>164</v>
      </c>
      <c r="B559" t="str">
        <f>TEXT(Table1[[#This Row],[Date]],"MMMM")</f>
        <v>March</v>
      </c>
      <c r="C559" t="str">
        <f>TEXT(Table1[[#This Row],[Date]],"DDDD")</f>
        <v>Tuesday</v>
      </c>
      <c r="D559" t="s">
        <v>49</v>
      </c>
      <c r="E559" t="s">
        <v>53</v>
      </c>
      <c r="F559" t="s">
        <v>41</v>
      </c>
      <c r="G559" t="s">
        <v>30</v>
      </c>
      <c r="H559" t="s">
        <v>73</v>
      </c>
      <c r="I559" t="s">
        <v>39</v>
      </c>
      <c r="J559" s="3">
        <v>220000</v>
      </c>
      <c r="K559">
        <v>2</v>
      </c>
      <c r="L559" t="s">
        <v>58</v>
      </c>
      <c r="M559" s="3">
        <v>176000</v>
      </c>
      <c r="N559" s="3">
        <f>Table1[[#This Row],[Unit Price]]*Table1[[#This Row],[Quantity]]</f>
        <v>440000</v>
      </c>
      <c r="O559" s="3">
        <f>Table1[[#This Row],[Cost Price]]*Table1[[#This Row],[Quantity]]</f>
        <v>352000</v>
      </c>
      <c r="P559" s="3">
        <f>Table1[[#This Row],[Revenue]]-Table1[[#This Row],[COGS]]</f>
        <v>88000</v>
      </c>
      <c r="Q559" s="1">
        <v>558</v>
      </c>
    </row>
    <row r="560" spans="1:17">
      <c r="A560" t="s">
        <v>159</v>
      </c>
      <c r="B560" t="str">
        <f>TEXT(Table1[[#This Row],[Date]],"MMMM")</f>
        <v>February</v>
      </c>
      <c r="C560" t="str">
        <f>TEXT(Table1[[#This Row],[Date]],"DDDD")</f>
        <v>Sunday</v>
      </c>
      <c r="D560" t="s">
        <v>44</v>
      </c>
      <c r="E560" t="s">
        <v>28</v>
      </c>
      <c r="F560" t="s">
        <v>29</v>
      </c>
      <c r="G560" t="s">
        <v>30</v>
      </c>
      <c r="H560" t="s">
        <v>50</v>
      </c>
      <c r="I560" t="s">
        <v>51</v>
      </c>
      <c r="J560" s="3">
        <v>300000</v>
      </c>
      <c r="K560">
        <v>4</v>
      </c>
      <c r="L560" t="s">
        <v>58</v>
      </c>
      <c r="M560" s="3">
        <v>240000</v>
      </c>
      <c r="N560" s="3">
        <f>Table1[[#This Row],[Unit Price]]*Table1[[#This Row],[Quantity]]</f>
        <v>1200000</v>
      </c>
      <c r="O560" s="3">
        <f>Table1[[#This Row],[Cost Price]]*Table1[[#This Row],[Quantity]]</f>
        <v>960000</v>
      </c>
      <c r="P560" s="3">
        <f>Table1[[#This Row],[Revenue]]-Table1[[#This Row],[COGS]]</f>
        <v>240000</v>
      </c>
      <c r="Q560" s="1">
        <v>559</v>
      </c>
    </row>
    <row r="561" spans="1:17">
      <c r="A561" t="s">
        <v>140</v>
      </c>
      <c r="B561" t="str">
        <f>TEXT(Table1[[#This Row],[Date]],"MMMM")</f>
        <v>April</v>
      </c>
      <c r="C561" t="str">
        <f>TEXT(Table1[[#This Row],[Date]],"DDDD")</f>
        <v>Thursday</v>
      </c>
      <c r="D561" t="s">
        <v>44</v>
      </c>
      <c r="E561" t="s">
        <v>28</v>
      </c>
      <c r="F561" t="s">
        <v>41</v>
      </c>
      <c r="G561" t="s">
        <v>30</v>
      </c>
      <c r="H561" t="s">
        <v>67</v>
      </c>
      <c r="I561" t="s">
        <v>51</v>
      </c>
      <c r="J561" s="3">
        <v>420000</v>
      </c>
      <c r="K561">
        <v>8</v>
      </c>
      <c r="L561" t="s">
        <v>33</v>
      </c>
      <c r="M561" s="3">
        <v>336000</v>
      </c>
      <c r="N561" s="3">
        <f>Table1[[#This Row],[Unit Price]]*Table1[[#This Row],[Quantity]]</f>
        <v>3360000</v>
      </c>
      <c r="O561" s="3">
        <f>Table1[[#This Row],[Cost Price]]*Table1[[#This Row],[Quantity]]</f>
        <v>2688000</v>
      </c>
      <c r="P561" s="3">
        <f>Table1[[#This Row],[Revenue]]-Table1[[#This Row],[COGS]]</f>
        <v>672000</v>
      </c>
      <c r="Q561" s="1">
        <v>560</v>
      </c>
    </row>
    <row r="562" spans="1:17">
      <c r="A562" t="s">
        <v>75</v>
      </c>
      <c r="B562" t="str">
        <f>TEXT(Table1[[#This Row],[Date]],"MMMM")</f>
        <v>March</v>
      </c>
      <c r="C562" t="str">
        <f>TEXT(Table1[[#This Row],[Date]],"DDDD")</f>
        <v>Monday</v>
      </c>
      <c r="D562" t="s">
        <v>35</v>
      </c>
      <c r="E562" t="s">
        <v>28</v>
      </c>
      <c r="F562" t="s">
        <v>29</v>
      </c>
      <c r="G562" t="s">
        <v>30</v>
      </c>
      <c r="H562" t="s">
        <v>56</v>
      </c>
      <c r="I562" t="s">
        <v>32</v>
      </c>
      <c r="J562" s="3">
        <v>320000</v>
      </c>
      <c r="K562">
        <v>4</v>
      </c>
      <c r="L562" t="s">
        <v>58</v>
      </c>
      <c r="M562" s="3">
        <v>256000</v>
      </c>
      <c r="N562" s="3">
        <f>Table1[[#This Row],[Unit Price]]*Table1[[#This Row],[Quantity]]</f>
        <v>1280000</v>
      </c>
      <c r="O562" s="3">
        <f>Table1[[#This Row],[Cost Price]]*Table1[[#This Row],[Quantity]]</f>
        <v>1024000</v>
      </c>
      <c r="P562" s="3">
        <f>Table1[[#This Row],[Revenue]]-Table1[[#This Row],[COGS]]</f>
        <v>256000</v>
      </c>
      <c r="Q562" s="1">
        <v>561</v>
      </c>
    </row>
    <row r="563" spans="1:17">
      <c r="A563" t="s">
        <v>74</v>
      </c>
      <c r="B563" t="str">
        <f>TEXT(Table1[[#This Row],[Date]],"MMMM")</f>
        <v>February</v>
      </c>
      <c r="C563" t="str">
        <f>TEXT(Table1[[#This Row],[Date]],"DDDD")</f>
        <v>Monday</v>
      </c>
      <c r="D563" t="s">
        <v>27</v>
      </c>
      <c r="E563" t="s">
        <v>28</v>
      </c>
      <c r="F563" t="s">
        <v>41</v>
      </c>
      <c r="G563" t="s">
        <v>37</v>
      </c>
      <c r="H563" t="s">
        <v>71</v>
      </c>
      <c r="I563" t="s">
        <v>51</v>
      </c>
      <c r="J563" s="3">
        <v>250000</v>
      </c>
      <c r="K563">
        <v>8</v>
      </c>
      <c r="L563" t="s">
        <v>42</v>
      </c>
      <c r="M563" s="3">
        <v>200000</v>
      </c>
      <c r="N563" s="3">
        <f>Table1[[#This Row],[Unit Price]]*Table1[[#This Row],[Quantity]]</f>
        <v>2000000</v>
      </c>
      <c r="O563" s="3">
        <f>Table1[[#This Row],[Cost Price]]*Table1[[#This Row],[Quantity]]</f>
        <v>1600000</v>
      </c>
      <c r="P563" s="3">
        <f>Table1[[#This Row],[Revenue]]-Table1[[#This Row],[COGS]]</f>
        <v>400000</v>
      </c>
      <c r="Q563" s="1">
        <v>562</v>
      </c>
    </row>
    <row r="564" spans="1:17">
      <c r="A564" t="s">
        <v>91</v>
      </c>
      <c r="B564" t="str">
        <f>TEXT(Table1[[#This Row],[Date]],"MMMM")</f>
        <v>February</v>
      </c>
      <c r="C564" t="str">
        <f>TEXT(Table1[[#This Row],[Date]],"DDDD")</f>
        <v>Friday</v>
      </c>
      <c r="D564" t="s">
        <v>35</v>
      </c>
      <c r="E564" t="s">
        <v>36</v>
      </c>
      <c r="F564" t="s">
        <v>29</v>
      </c>
      <c r="G564" t="s">
        <v>37</v>
      </c>
      <c r="H564" t="s">
        <v>56</v>
      </c>
      <c r="I564" t="s">
        <v>32</v>
      </c>
      <c r="J564" s="3">
        <v>320000</v>
      </c>
      <c r="K564">
        <v>7</v>
      </c>
      <c r="L564" t="s">
        <v>69</v>
      </c>
      <c r="M564" s="3">
        <v>256000</v>
      </c>
      <c r="N564" s="3">
        <f>Table1[[#This Row],[Unit Price]]*Table1[[#This Row],[Quantity]]</f>
        <v>2240000</v>
      </c>
      <c r="O564" s="3">
        <f>Table1[[#This Row],[Cost Price]]*Table1[[#This Row],[Quantity]]</f>
        <v>1792000</v>
      </c>
      <c r="P564" s="3">
        <f>Table1[[#This Row],[Revenue]]-Table1[[#This Row],[COGS]]</f>
        <v>448000</v>
      </c>
      <c r="Q564" s="1">
        <v>563</v>
      </c>
    </row>
    <row r="565" spans="1:17">
      <c r="A565" t="s">
        <v>79</v>
      </c>
      <c r="B565" t="str">
        <f>TEXT(Table1[[#This Row],[Date]],"MMMM")</f>
        <v>February</v>
      </c>
      <c r="C565" t="str">
        <f>TEXT(Table1[[#This Row],[Date]],"DDDD")</f>
        <v>Wednesday</v>
      </c>
      <c r="D565" t="s">
        <v>27</v>
      </c>
      <c r="E565" t="s">
        <v>36</v>
      </c>
      <c r="F565" t="s">
        <v>41</v>
      </c>
      <c r="G565" t="s">
        <v>37</v>
      </c>
      <c r="H565" t="s">
        <v>50</v>
      </c>
      <c r="I565" t="s">
        <v>51</v>
      </c>
      <c r="J565" s="3">
        <v>300000</v>
      </c>
      <c r="K565">
        <v>6</v>
      </c>
      <c r="L565" t="s">
        <v>42</v>
      </c>
      <c r="M565" s="3">
        <v>240000</v>
      </c>
      <c r="N565" s="3">
        <f>Table1[[#This Row],[Unit Price]]*Table1[[#This Row],[Quantity]]</f>
        <v>1800000</v>
      </c>
      <c r="O565" s="3">
        <f>Table1[[#This Row],[Cost Price]]*Table1[[#This Row],[Quantity]]</f>
        <v>1440000</v>
      </c>
      <c r="P565" s="3">
        <f>Table1[[#This Row],[Revenue]]-Table1[[#This Row],[COGS]]</f>
        <v>360000</v>
      </c>
      <c r="Q565" s="1">
        <v>564</v>
      </c>
    </row>
    <row r="566" spans="1:17">
      <c r="A566" t="s">
        <v>92</v>
      </c>
      <c r="B566" t="str">
        <f>TEXT(Table1[[#This Row],[Date]],"MMMM")</f>
        <v>January</v>
      </c>
      <c r="C566" t="str">
        <f>TEXT(Table1[[#This Row],[Date]],"DDDD")</f>
        <v>Tuesday</v>
      </c>
      <c r="D566" t="s">
        <v>49</v>
      </c>
      <c r="E566" t="s">
        <v>53</v>
      </c>
      <c r="F566" t="s">
        <v>41</v>
      </c>
      <c r="G566" t="s">
        <v>37</v>
      </c>
      <c r="H566" t="s">
        <v>54</v>
      </c>
      <c r="I566" t="s">
        <v>39</v>
      </c>
      <c r="J566" s="3">
        <v>180000</v>
      </c>
      <c r="K566">
        <v>4</v>
      </c>
      <c r="L566" t="s">
        <v>33</v>
      </c>
      <c r="M566" s="3">
        <v>144000</v>
      </c>
      <c r="N566" s="3">
        <f>Table1[[#This Row],[Unit Price]]*Table1[[#This Row],[Quantity]]</f>
        <v>720000</v>
      </c>
      <c r="O566" s="3">
        <f>Table1[[#This Row],[Cost Price]]*Table1[[#This Row],[Quantity]]</f>
        <v>576000</v>
      </c>
      <c r="P566" s="3">
        <f>Table1[[#This Row],[Revenue]]-Table1[[#This Row],[COGS]]</f>
        <v>144000</v>
      </c>
      <c r="Q566" s="1">
        <v>565</v>
      </c>
    </row>
    <row r="567" spans="1:17">
      <c r="A567" t="s">
        <v>146</v>
      </c>
      <c r="B567" t="str">
        <f>TEXT(Table1[[#This Row],[Date]],"MMMM")</f>
        <v>January</v>
      </c>
      <c r="C567" t="str">
        <f>TEXT(Table1[[#This Row],[Date]],"DDDD")</f>
        <v>Tuesday</v>
      </c>
      <c r="D567" t="s">
        <v>27</v>
      </c>
      <c r="E567" t="s">
        <v>28</v>
      </c>
      <c r="F567" t="s">
        <v>41</v>
      </c>
      <c r="G567" t="s">
        <v>30</v>
      </c>
      <c r="H567" t="s">
        <v>71</v>
      </c>
      <c r="I567" t="s">
        <v>51</v>
      </c>
      <c r="J567" s="3">
        <v>250000</v>
      </c>
      <c r="K567">
        <v>6</v>
      </c>
      <c r="L567" t="s">
        <v>58</v>
      </c>
      <c r="M567" s="3">
        <v>200000</v>
      </c>
      <c r="N567" s="3">
        <f>Table1[[#This Row],[Unit Price]]*Table1[[#This Row],[Quantity]]</f>
        <v>1500000</v>
      </c>
      <c r="O567" s="3">
        <f>Table1[[#This Row],[Cost Price]]*Table1[[#This Row],[Quantity]]</f>
        <v>1200000</v>
      </c>
      <c r="P567" s="3">
        <f>Table1[[#This Row],[Revenue]]-Table1[[#This Row],[COGS]]</f>
        <v>300000</v>
      </c>
      <c r="Q567" s="1">
        <v>566</v>
      </c>
    </row>
    <row r="568" spans="1:17">
      <c r="A568" t="s">
        <v>80</v>
      </c>
      <c r="B568" t="str">
        <f>TEXT(Table1[[#This Row],[Date]],"MMMM")</f>
        <v>February</v>
      </c>
      <c r="C568" t="str">
        <f>TEXT(Table1[[#This Row],[Date]],"DDDD")</f>
        <v>Sunday</v>
      </c>
      <c r="D568" t="s">
        <v>27</v>
      </c>
      <c r="E568" t="s">
        <v>45</v>
      </c>
      <c r="F568" t="s">
        <v>41</v>
      </c>
      <c r="G568" t="s">
        <v>30</v>
      </c>
      <c r="H568" t="s">
        <v>71</v>
      </c>
      <c r="I568" t="s">
        <v>51</v>
      </c>
      <c r="J568" s="3">
        <v>250000</v>
      </c>
      <c r="K568">
        <v>7</v>
      </c>
      <c r="L568" t="s">
        <v>58</v>
      </c>
      <c r="M568" s="3">
        <v>200000</v>
      </c>
      <c r="N568" s="3">
        <f>Table1[[#This Row],[Unit Price]]*Table1[[#This Row],[Quantity]]</f>
        <v>1750000</v>
      </c>
      <c r="O568" s="3">
        <f>Table1[[#This Row],[Cost Price]]*Table1[[#This Row],[Quantity]]</f>
        <v>1400000</v>
      </c>
      <c r="P568" s="3">
        <f>Table1[[#This Row],[Revenue]]-Table1[[#This Row],[COGS]]</f>
        <v>350000</v>
      </c>
      <c r="Q568" s="1">
        <v>567</v>
      </c>
    </row>
    <row r="569" spans="1:17">
      <c r="A569" t="s">
        <v>104</v>
      </c>
      <c r="B569" t="str">
        <f>TEXT(Table1[[#This Row],[Date]],"MMMM")</f>
        <v>March</v>
      </c>
      <c r="C569" t="str">
        <f>TEXT(Table1[[#This Row],[Date]],"DDDD")</f>
        <v>Friday</v>
      </c>
      <c r="D569" t="s">
        <v>35</v>
      </c>
      <c r="E569" t="s">
        <v>36</v>
      </c>
      <c r="F569" t="s">
        <v>29</v>
      </c>
      <c r="G569" t="s">
        <v>37</v>
      </c>
      <c r="H569" t="s">
        <v>67</v>
      </c>
      <c r="I569" t="s">
        <v>51</v>
      </c>
      <c r="J569" s="3">
        <v>420000</v>
      </c>
      <c r="K569">
        <v>2</v>
      </c>
      <c r="L569" t="s">
        <v>33</v>
      </c>
      <c r="M569" s="3">
        <v>336000</v>
      </c>
      <c r="N569" s="3">
        <f>Table1[[#This Row],[Unit Price]]*Table1[[#This Row],[Quantity]]</f>
        <v>840000</v>
      </c>
      <c r="O569" s="3">
        <f>Table1[[#This Row],[Cost Price]]*Table1[[#This Row],[Quantity]]</f>
        <v>672000</v>
      </c>
      <c r="P569" s="3">
        <f>Table1[[#This Row],[Revenue]]-Table1[[#This Row],[COGS]]</f>
        <v>168000</v>
      </c>
      <c r="Q569" s="1">
        <v>568</v>
      </c>
    </row>
    <row r="570" spans="1:17">
      <c r="A570" t="s">
        <v>168</v>
      </c>
      <c r="B570" t="str">
        <f>TEXT(Table1[[#This Row],[Date]],"MMMM")</f>
        <v>April</v>
      </c>
      <c r="C570" t="str">
        <f>TEXT(Table1[[#This Row],[Date]],"DDDD")</f>
        <v>Wednesday</v>
      </c>
      <c r="D570" t="s">
        <v>44</v>
      </c>
      <c r="E570" t="s">
        <v>36</v>
      </c>
      <c r="F570" t="s">
        <v>41</v>
      </c>
      <c r="G570" t="s">
        <v>30</v>
      </c>
      <c r="H570" t="s">
        <v>62</v>
      </c>
      <c r="I570" t="s">
        <v>51</v>
      </c>
      <c r="J570" s="3">
        <v>150000</v>
      </c>
      <c r="K570">
        <v>2</v>
      </c>
      <c r="L570" t="s">
        <v>42</v>
      </c>
      <c r="M570" s="3">
        <v>120000</v>
      </c>
      <c r="N570" s="3">
        <f>Table1[[#This Row],[Unit Price]]*Table1[[#This Row],[Quantity]]</f>
        <v>300000</v>
      </c>
      <c r="O570" s="3">
        <f>Table1[[#This Row],[Cost Price]]*Table1[[#This Row],[Quantity]]</f>
        <v>240000</v>
      </c>
      <c r="P570" s="3">
        <f>Table1[[#This Row],[Revenue]]-Table1[[#This Row],[COGS]]</f>
        <v>60000</v>
      </c>
      <c r="Q570" s="1">
        <v>569</v>
      </c>
    </row>
    <row r="571" spans="1:17">
      <c r="A571" t="s">
        <v>109</v>
      </c>
      <c r="B571" t="str">
        <f>TEXT(Table1[[#This Row],[Date]],"MMMM")</f>
        <v>March</v>
      </c>
      <c r="C571" t="str">
        <f>TEXT(Table1[[#This Row],[Date]],"DDDD")</f>
        <v>Monday</v>
      </c>
      <c r="D571" t="s">
        <v>49</v>
      </c>
      <c r="E571" t="s">
        <v>36</v>
      </c>
      <c r="F571" t="s">
        <v>29</v>
      </c>
      <c r="G571" t="s">
        <v>30</v>
      </c>
      <c r="H571" t="s">
        <v>73</v>
      </c>
      <c r="I571" t="s">
        <v>39</v>
      </c>
      <c r="J571" s="3">
        <v>220000</v>
      </c>
      <c r="K571">
        <v>8</v>
      </c>
      <c r="L571" t="s">
        <v>69</v>
      </c>
      <c r="M571" s="3">
        <v>176000</v>
      </c>
      <c r="N571" s="3">
        <f>Table1[[#This Row],[Unit Price]]*Table1[[#This Row],[Quantity]]</f>
        <v>1760000</v>
      </c>
      <c r="O571" s="3">
        <f>Table1[[#This Row],[Cost Price]]*Table1[[#This Row],[Quantity]]</f>
        <v>1408000</v>
      </c>
      <c r="P571" s="3">
        <f>Table1[[#This Row],[Revenue]]-Table1[[#This Row],[COGS]]</f>
        <v>352000</v>
      </c>
      <c r="Q571" s="1">
        <v>570</v>
      </c>
    </row>
    <row r="572" spans="1:17">
      <c r="A572" t="s">
        <v>156</v>
      </c>
      <c r="B572" t="str">
        <f>TEXT(Table1[[#This Row],[Date]],"MMMM")</f>
        <v>February</v>
      </c>
      <c r="C572" t="str">
        <f>TEXT(Table1[[#This Row],[Date]],"DDDD")</f>
        <v>Friday</v>
      </c>
      <c r="D572" t="s">
        <v>35</v>
      </c>
      <c r="E572" t="s">
        <v>28</v>
      </c>
      <c r="F572" t="s">
        <v>29</v>
      </c>
      <c r="G572" t="s">
        <v>37</v>
      </c>
      <c r="H572" t="s">
        <v>62</v>
      </c>
      <c r="I572" t="s">
        <v>51</v>
      </c>
      <c r="J572" s="3">
        <v>150000</v>
      </c>
      <c r="K572">
        <v>2</v>
      </c>
      <c r="L572" t="s">
        <v>47</v>
      </c>
      <c r="M572" s="3">
        <v>120000</v>
      </c>
      <c r="N572" s="3">
        <f>Table1[[#This Row],[Unit Price]]*Table1[[#This Row],[Quantity]]</f>
        <v>300000</v>
      </c>
      <c r="O572" s="3">
        <f>Table1[[#This Row],[Cost Price]]*Table1[[#This Row],[Quantity]]</f>
        <v>240000</v>
      </c>
      <c r="P572" s="3">
        <f>Table1[[#This Row],[Revenue]]-Table1[[#This Row],[COGS]]</f>
        <v>60000</v>
      </c>
      <c r="Q572" s="1">
        <v>571</v>
      </c>
    </row>
    <row r="573" spans="1:17">
      <c r="A573" t="s">
        <v>172</v>
      </c>
      <c r="B573" t="str">
        <f>TEXT(Table1[[#This Row],[Date]],"MMMM")</f>
        <v>March</v>
      </c>
      <c r="C573" t="str">
        <f>TEXT(Table1[[#This Row],[Date]],"DDDD")</f>
        <v>Saturday</v>
      </c>
      <c r="D573" t="s">
        <v>35</v>
      </c>
      <c r="E573" t="s">
        <v>36</v>
      </c>
      <c r="F573" t="s">
        <v>41</v>
      </c>
      <c r="G573" t="s">
        <v>30</v>
      </c>
      <c r="H573" t="s">
        <v>38</v>
      </c>
      <c r="I573" t="s">
        <v>39</v>
      </c>
      <c r="J573" s="3">
        <v>30000</v>
      </c>
      <c r="K573">
        <v>1</v>
      </c>
      <c r="L573" t="s">
        <v>58</v>
      </c>
      <c r="M573" s="3">
        <v>24000</v>
      </c>
      <c r="N573" s="3">
        <f>Table1[[#This Row],[Unit Price]]*Table1[[#This Row],[Quantity]]</f>
        <v>30000</v>
      </c>
      <c r="O573" s="3">
        <f>Table1[[#This Row],[Cost Price]]*Table1[[#This Row],[Quantity]]</f>
        <v>24000</v>
      </c>
      <c r="P573" s="3">
        <f>Table1[[#This Row],[Revenue]]-Table1[[#This Row],[COGS]]</f>
        <v>6000</v>
      </c>
      <c r="Q573" s="1">
        <v>572</v>
      </c>
    </row>
    <row r="574" spans="1:17">
      <c r="A574" t="s">
        <v>43</v>
      </c>
      <c r="B574" t="str">
        <f>TEXT(Table1[[#This Row],[Date]],"MMMM")</f>
        <v>April</v>
      </c>
      <c r="C574" t="str">
        <f>TEXT(Table1[[#This Row],[Date]],"DDDD")</f>
        <v>Friday</v>
      </c>
      <c r="D574" t="s">
        <v>35</v>
      </c>
      <c r="E574" t="s">
        <v>28</v>
      </c>
      <c r="F574" t="s">
        <v>29</v>
      </c>
      <c r="G574" t="s">
        <v>37</v>
      </c>
      <c r="H574" t="s">
        <v>54</v>
      </c>
      <c r="I574" t="s">
        <v>39</v>
      </c>
      <c r="J574" s="3">
        <v>180000</v>
      </c>
      <c r="K574">
        <v>5</v>
      </c>
      <c r="L574" t="s">
        <v>33</v>
      </c>
      <c r="M574" s="3">
        <v>144000</v>
      </c>
      <c r="N574" s="3">
        <f>Table1[[#This Row],[Unit Price]]*Table1[[#This Row],[Quantity]]</f>
        <v>900000</v>
      </c>
      <c r="O574" s="3">
        <f>Table1[[#This Row],[Cost Price]]*Table1[[#This Row],[Quantity]]</f>
        <v>720000</v>
      </c>
      <c r="P574" s="3">
        <f>Table1[[#This Row],[Revenue]]-Table1[[#This Row],[COGS]]</f>
        <v>180000</v>
      </c>
      <c r="Q574" s="1">
        <v>573</v>
      </c>
    </row>
    <row r="575" spans="1:17">
      <c r="A575" t="s">
        <v>64</v>
      </c>
      <c r="B575" t="str">
        <f>TEXT(Table1[[#This Row],[Date]],"MMMM")</f>
        <v>April</v>
      </c>
      <c r="C575" t="str">
        <f>TEXT(Table1[[#This Row],[Date]],"DDDD")</f>
        <v>Saturday</v>
      </c>
      <c r="D575" t="s">
        <v>27</v>
      </c>
      <c r="E575" t="s">
        <v>45</v>
      </c>
      <c r="F575" t="s">
        <v>41</v>
      </c>
      <c r="G575" t="s">
        <v>37</v>
      </c>
      <c r="H575" t="s">
        <v>62</v>
      </c>
      <c r="I575" t="s">
        <v>51</v>
      </c>
      <c r="J575" s="3">
        <v>150000</v>
      </c>
      <c r="K575">
        <v>9</v>
      </c>
      <c r="L575" t="s">
        <v>65</v>
      </c>
      <c r="M575" s="3">
        <v>120000</v>
      </c>
      <c r="N575" s="3">
        <f>Table1[[#This Row],[Unit Price]]*Table1[[#This Row],[Quantity]]</f>
        <v>1350000</v>
      </c>
      <c r="O575" s="3">
        <f>Table1[[#This Row],[Cost Price]]*Table1[[#This Row],[Quantity]]</f>
        <v>1080000</v>
      </c>
      <c r="P575" s="3">
        <f>Table1[[#This Row],[Revenue]]-Table1[[#This Row],[COGS]]</f>
        <v>270000</v>
      </c>
      <c r="Q575" s="1">
        <v>574</v>
      </c>
    </row>
    <row r="576" spans="1:17">
      <c r="A576" t="s">
        <v>79</v>
      </c>
      <c r="B576" t="str">
        <f>TEXT(Table1[[#This Row],[Date]],"MMMM")</f>
        <v>February</v>
      </c>
      <c r="C576" t="str">
        <f>TEXT(Table1[[#This Row],[Date]],"DDDD")</f>
        <v>Wednesday</v>
      </c>
      <c r="D576" t="s">
        <v>44</v>
      </c>
      <c r="E576" t="s">
        <v>36</v>
      </c>
      <c r="F576" t="s">
        <v>41</v>
      </c>
      <c r="G576" t="s">
        <v>37</v>
      </c>
      <c r="H576" t="s">
        <v>62</v>
      </c>
      <c r="I576" t="s">
        <v>51</v>
      </c>
      <c r="J576" s="3">
        <v>150000</v>
      </c>
      <c r="K576">
        <v>5</v>
      </c>
      <c r="L576" t="s">
        <v>65</v>
      </c>
      <c r="M576" s="3">
        <v>120000</v>
      </c>
      <c r="N576" s="3">
        <f>Table1[[#This Row],[Unit Price]]*Table1[[#This Row],[Quantity]]</f>
        <v>750000</v>
      </c>
      <c r="O576" s="3">
        <f>Table1[[#This Row],[Cost Price]]*Table1[[#This Row],[Quantity]]</f>
        <v>600000</v>
      </c>
      <c r="P576" s="3">
        <f>Table1[[#This Row],[Revenue]]-Table1[[#This Row],[COGS]]</f>
        <v>150000</v>
      </c>
      <c r="Q576" s="1">
        <v>575</v>
      </c>
    </row>
    <row r="577" spans="1:17">
      <c r="A577" t="s">
        <v>137</v>
      </c>
      <c r="B577" t="str">
        <f>TEXT(Table1[[#This Row],[Date]],"MMMM")</f>
        <v>April</v>
      </c>
      <c r="C577" t="str">
        <f>TEXT(Table1[[#This Row],[Date]],"DDDD")</f>
        <v>Wednesday</v>
      </c>
      <c r="D577" t="s">
        <v>44</v>
      </c>
      <c r="E577" t="s">
        <v>28</v>
      </c>
      <c r="F577" t="s">
        <v>29</v>
      </c>
      <c r="G577" t="s">
        <v>30</v>
      </c>
      <c r="H577" t="s">
        <v>73</v>
      </c>
      <c r="I577" t="s">
        <v>39</v>
      </c>
      <c r="J577" s="3">
        <v>220000</v>
      </c>
      <c r="K577">
        <v>4</v>
      </c>
      <c r="L577" t="s">
        <v>69</v>
      </c>
      <c r="M577" s="3">
        <v>176000</v>
      </c>
      <c r="N577" s="3">
        <f>Table1[[#This Row],[Unit Price]]*Table1[[#This Row],[Quantity]]</f>
        <v>880000</v>
      </c>
      <c r="O577" s="3">
        <f>Table1[[#This Row],[Cost Price]]*Table1[[#This Row],[Quantity]]</f>
        <v>704000</v>
      </c>
      <c r="P577" s="3">
        <f>Table1[[#This Row],[Revenue]]-Table1[[#This Row],[COGS]]</f>
        <v>176000</v>
      </c>
      <c r="Q577" s="1">
        <v>576</v>
      </c>
    </row>
    <row r="578" spans="1:17">
      <c r="A578" t="s">
        <v>133</v>
      </c>
      <c r="B578" t="str">
        <f>TEXT(Table1[[#This Row],[Date]],"MMMM")</f>
        <v>January</v>
      </c>
      <c r="C578" t="str">
        <f>TEXT(Table1[[#This Row],[Date]],"DDDD")</f>
        <v>Wednesday</v>
      </c>
      <c r="D578" t="s">
        <v>27</v>
      </c>
      <c r="E578" t="s">
        <v>45</v>
      </c>
      <c r="F578" t="s">
        <v>29</v>
      </c>
      <c r="G578" t="s">
        <v>30</v>
      </c>
      <c r="H578" t="s">
        <v>56</v>
      </c>
      <c r="I578" t="s">
        <v>32</v>
      </c>
      <c r="J578" s="3">
        <v>320000</v>
      </c>
      <c r="K578">
        <v>4</v>
      </c>
      <c r="L578" t="s">
        <v>33</v>
      </c>
      <c r="M578" s="3">
        <v>256000</v>
      </c>
      <c r="N578" s="3">
        <f>Table1[[#This Row],[Unit Price]]*Table1[[#This Row],[Quantity]]</f>
        <v>1280000</v>
      </c>
      <c r="O578" s="3">
        <f>Table1[[#This Row],[Cost Price]]*Table1[[#This Row],[Quantity]]</f>
        <v>1024000</v>
      </c>
      <c r="P578" s="3">
        <f>Table1[[#This Row],[Revenue]]-Table1[[#This Row],[COGS]]</f>
        <v>256000</v>
      </c>
      <c r="Q578" s="1">
        <v>577</v>
      </c>
    </row>
    <row r="579" spans="1:17">
      <c r="A579" t="s">
        <v>103</v>
      </c>
      <c r="B579" t="str">
        <f>TEXT(Table1[[#This Row],[Date]],"MMMM")</f>
        <v>March</v>
      </c>
      <c r="C579" t="str">
        <f>TEXT(Table1[[#This Row],[Date]],"DDDD")</f>
        <v>Wednesday</v>
      </c>
      <c r="D579" t="s">
        <v>27</v>
      </c>
      <c r="E579" t="s">
        <v>53</v>
      </c>
      <c r="F579" t="s">
        <v>41</v>
      </c>
      <c r="G579" t="s">
        <v>37</v>
      </c>
      <c r="H579" t="s">
        <v>56</v>
      </c>
      <c r="I579" t="s">
        <v>32</v>
      </c>
      <c r="J579" s="3">
        <v>320000</v>
      </c>
      <c r="K579">
        <v>8</v>
      </c>
      <c r="L579" t="s">
        <v>33</v>
      </c>
      <c r="M579" s="3">
        <v>256000</v>
      </c>
      <c r="N579" s="3">
        <f>Table1[[#This Row],[Unit Price]]*Table1[[#This Row],[Quantity]]</f>
        <v>2560000</v>
      </c>
      <c r="O579" s="3">
        <f>Table1[[#This Row],[Cost Price]]*Table1[[#This Row],[Quantity]]</f>
        <v>2048000</v>
      </c>
      <c r="P579" s="3">
        <f>Table1[[#This Row],[Revenue]]-Table1[[#This Row],[COGS]]</f>
        <v>512000</v>
      </c>
      <c r="Q579" s="1">
        <v>578</v>
      </c>
    </row>
    <row r="580" spans="1:17">
      <c r="A580" t="s">
        <v>167</v>
      </c>
      <c r="B580" t="str">
        <f>TEXT(Table1[[#This Row],[Date]],"MMMM")</f>
        <v>April</v>
      </c>
      <c r="C580" t="str">
        <f>TEXT(Table1[[#This Row],[Date]],"DDDD")</f>
        <v>Wednesday</v>
      </c>
      <c r="D580" t="s">
        <v>49</v>
      </c>
      <c r="E580" t="s">
        <v>53</v>
      </c>
      <c r="F580" t="s">
        <v>29</v>
      </c>
      <c r="G580" t="s">
        <v>30</v>
      </c>
      <c r="H580" t="s">
        <v>46</v>
      </c>
      <c r="I580" t="s">
        <v>39</v>
      </c>
      <c r="J580" s="3">
        <v>60000</v>
      </c>
      <c r="K580">
        <v>9</v>
      </c>
      <c r="L580" t="s">
        <v>33</v>
      </c>
      <c r="M580" s="3">
        <v>48000</v>
      </c>
      <c r="N580" s="3">
        <f>Table1[[#This Row],[Unit Price]]*Table1[[#This Row],[Quantity]]</f>
        <v>540000</v>
      </c>
      <c r="O580" s="3">
        <f>Table1[[#This Row],[Cost Price]]*Table1[[#This Row],[Quantity]]</f>
        <v>432000</v>
      </c>
      <c r="P580" s="3">
        <f>Table1[[#This Row],[Revenue]]-Table1[[#This Row],[COGS]]</f>
        <v>108000</v>
      </c>
      <c r="Q580" s="1">
        <v>579</v>
      </c>
    </row>
    <row r="581" spans="1:17">
      <c r="A581" t="s">
        <v>103</v>
      </c>
      <c r="B581" t="str">
        <f>TEXT(Table1[[#This Row],[Date]],"MMMM")</f>
        <v>March</v>
      </c>
      <c r="C581" t="str">
        <f>TEXT(Table1[[#This Row],[Date]],"DDDD")</f>
        <v>Wednesday</v>
      </c>
      <c r="D581" t="s">
        <v>35</v>
      </c>
      <c r="E581" t="s">
        <v>36</v>
      </c>
      <c r="F581" t="s">
        <v>29</v>
      </c>
      <c r="G581" t="s">
        <v>37</v>
      </c>
      <c r="H581" t="s">
        <v>50</v>
      </c>
      <c r="I581" t="s">
        <v>51</v>
      </c>
      <c r="J581" s="3">
        <v>300000</v>
      </c>
      <c r="K581">
        <v>10</v>
      </c>
      <c r="L581" t="s">
        <v>33</v>
      </c>
      <c r="M581" s="3">
        <v>240000</v>
      </c>
      <c r="N581" s="3">
        <f>Table1[[#This Row],[Unit Price]]*Table1[[#This Row],[Quantity]]</f>
        <v>3000000</v>
      </c>
      <c r="O581" s="3">
        <f>Table1[[#This Row],[Cost Price]]*Table1[[#This Row],[Quantity]]</f>
        <v>2400000</v>
      </c>
      <c r="P581" s="3">
        <f>Table1[[#This Row],[Revenue]]-Table1[[#This Row],[COGS]]</f>
        <v>600000</v>
      </c>
      <c r="Q581" s="1">
        <v>580</v>
      </c>
    </row>
    <row r="582" spans="1:17">
      <c r="A582" t="s">
        <v>172</v>
      </c>
      <c r="B582" t="str">
        <f>TEXT(Table1[[#This Row],[Date]],"MMMM")</f>
        <v>March</v>
      </c>
      <c r="C582" t="str">
        <f>TEXT(Table1[[#This Row],[Date]],"DDDD")</f>
        <v>Saturday</v>
      </c>
      <c r="D582" t="s">
        <v>49</v>
      </c>
      <c r="E582" t="s">
        <v>36</v>
      </c>
      <c r="F582" t="s">
        <v>41</v>
      </c>
      <c r="G582" t="s">
        <v>30</v>
      </c>
      <c r="H582" t="s">
        <v>62</v>
      </c>
      <c r="I582" t="s">
        <v>51</v>
      </c>
      <c r="J582" s="3">
        <v>150000</v>
      </c>
      <c r="K582">
        <v>6</v>
      </c>
      <c r="L582" t="s">
        <v>58</v>
      </c>
      <c r="M582" s="3">
        <v>120000</v>
      </c>
      <c r="N582" s="3">
        <f>Table1[[#This Row],[Unit Price]]*Table1[[#This Row],[Quantity]]</f>
        <v>900000</v>
      </c>
      <c r="O582" s="3">
        <f>Table1[[#This Row],[Cost Price]]*Table1[[#This Row],[Quantity]]</f>
        <v>720000</v>
      </c>
      <c r="P582" s="3">
        <f>Table1[[#This Row],[Revenue]]-Table1[[#This Row],[COGS]]</f>
        <v>180000</v>
      </c>
      <c r="Q582" s="1">
        <v>581</v>
      </c>
    </row>
    <row r="583" spans="1:17">
      <c r="A583" t="s">
        <v>76</v>
      </c>
      <c r="B583" t="str">
        <f>TEXT(Table1[[#This Row],[Date]],"MMMM")</f>
        <v>May</v>
      </c>
      <c r="C583" t="str">
        <f>TEXT(Table1[[#This Row],[Date]],"DDDD")</f>
        <v>Thursday</v>
      </c>
      <c r="D583" t="s">
        <v>44</v>
      </c>
      <c r="E583" t="s">
        <v>45</v>
      </c>
      <c r="F583" t="s">
        <v>41</v>
      </c>
      <c r="G583" t="s">
        <v>30</v>
      </c>
      <c r="H583" t="s">
        <v>54</v>
      </c>
      <c r="I583" t="s">
        <v>39</v>
      </c>
      <c r="J583" s="3">
        <v>180000</v>
      </c>
      <c r="K583">
        <v>8</v>
      </c>
      <c r="L583" t="s">
        <v>65</v>
      </c>
      <c r="M583" s="3">
        <v>144000</v>
      </c>
      <c r="N583" s="3">
        <f>Table1[[#This Row],[Unit Price]]*Table1[[#This Row],[Quantity]]</f>
        <v>1440000</v>
      </c>
      <c r="O583" s="3">
        <f>Table1[[#This Row],[Cost Price]]*Table1[[#This Row],[Quantity]]</f>
        <v>1152000</v>
      </c>
      <c r="P583" s="3">
        <f>Table1[[#This Row],[Revenue]]-Table1[[#This Row],[COGS]]</f>
        <v>288000</v>
      </c>
      <c r="Q583" s="1">
        <v>582</v>
      </c>
    </row>
    <row r="584" spans="1:17">
      <c r="A584" t="s">
        <v>174</v>
      </c>
      <c r="B584" t="str">
        <f>TEXT(Table1[[#This Row],[Date]],"MMMM")</f>
        <v>February</v>
      </c>
      <c r="C584" t="str">
        <f>TEXT(Table1[[#This Row],[Date]],"DDDD")</f>
        <v>Friday</v>
      </c>
      <c r="D584" t="s">
        <v>35</v>
      </c>
      <c r="E584" t="s">
        <v>28</v>
      </c>
      <c r="F584" t="s">
        <v>29</v>
      </c>
      <c r="G584" t="s">
        <v>30</v>
      </c>
      <c r="H584" t="s">
        <v>46</v>
      </c>
      <c r="I584" t="s">
        <v>39</v>
      </c>
      <c r="J584" s="3">
        <v>60000</v>
      </c>
      <c r="K584">
        <v>7</v>
      </c>
      <c r="L584" t="s">
        <v>69</v>
      </c>
      <c r="M584" s="3">
        <v>48000</v>
      </c>
      <c r="N584" s="3">
        <f>Table1[[#This Row],[Unit Price]]*Table1[[#This Row],[Quantity]]</f>
        <v>420000</v>
      </c>
      <c r="O584" s="3">
        <f>Table1[[#This Row],[Cost Price]]*Table1[[#This Row],[Quantity]]</f>
        <v>336000</v>
      </c>
      <c r="P584" s="3">
        <f>Table1[[#This Row],[Revenue]]-Table1[[#This Row],[COGS]]</f>
        <v>84000</v>
      </c>
      <c r="Q584" s="1">
        <v>583</v>
      </c>
    </row>
    <row r="585" spans="1:17">
      <c r="A585" t="s">
        <v>82</v>
      </c>
      <c r="B585" t="str">
        <f>TEXT(Table1[[#This Row],[Date]],"MMMM")</f>
        <v>March</v>
      </c>
      <c r="C585" t="str">
        <f>TEXT(Table1[[#This Row],[Date]],"DDDD")</f>
        <v>Saturday</v>
      </c>
      <c r="D585" t="s">
        <v>35</v>
      </c>
      <c r="E585" t="s">
        <v>36</v>
      </c>
      <c r="F585" t="s">
        <v>29</v>
      </c>
      <c r="G585" t="s">
        <v>37</v>
      </c>
      <c r="H585" t="s">
        <v>62</v>
      </c>
      <c r="I585" t="s">
        <v>51</v>
      </c>
      <c r="J585" s="3">
        <v>150000</v>
      </c>
      <c r="K585">
        <v>9</v>
      </c>
      <c r="L585" t="s">
        <v>33</v>
      </c>
      <c r="M585" s="3">
        <v>120000</v>
      </c>
      <c r="N585" s="3">
        <f>Table1[[#This Row],[Unit Price]]*Table1[[#This Row],[Quantity]]</f>
        <v>1350000</v>
      </c>
      <c r="O585" s="3">
        <f>Table1[[#This Row],[Cost Price]]*Table1[[#This Row],[Quantity]]</f>
        <v>1080000</v>
      </c>
      <c r="P585" s="3">
        <f>Table1[[#This Row],[Revenue]]-Table1[[#This Row],[COGS]]</f>
        <v>270000</v>
      </c>
      <c r="Q585" s="1">
        <v>584</v>
      </c>
    </row>
    <row r="586" spans="1:17">
      <c r="A586" t="s">
        <v>162</v>
      </c>
      <c r="B586" t="str">
        <f>TEXT(Table1[[#This Row],[Date]],"MMMM")</f>
        <v>April</v>
      </c>
      <c r="C586" t="str">
        <f>TEXT(Table1[[#This Row],[Date]],"DDDD")</f>
        <v>Tuesday</v>
      </c>
      <c r="D586" t="s">
        <v>35</v>
      </c>
      <c r="E586" t="s">
        <v>36</v>
      </c>
      <c r="F586" t="s">
        <v>29</v>
      </c>
      <c r="G586" t="s">
        <v>37</v>
      </c>
      <c r="H586" t="s">
        <v>54</v>
      </c>
      <c r="I586" t="s">
        <v>39</v>
      </c>
      <c r="J586" s="3">
        <v>180000</v>
      </c>
      <c r="K586">
        <v>4</v>
      </c>
      <c r="L586" t="s">
        <v>58</v>
      </c>
      <c r="M586" s="3">
        <v>144000</v>
      </c>
      <c r="N586" s="3">
        <f>Table1[[#This Row],[Unit Price]]*Table1[[#This Row],[Quantity]]</f>
        <v>720000</v>
      </c>
      <c r="O586" s="3">
        <f>Table1[[#This Row],[Cost Price]]*Table1[[#This Row],[Quantity]]</f>
        <v>576000</v>
      </c>
      <c r="P586" s="3">
        <f>Table1[[#This Row],[Revenue]]-Table1[[#This Row],[COGS]]</f>
        <v>144000</v>
      </c>
      <c r="Q586" s="1">
        <v>585</v>
      </c>
    </row>
    <row r="587" spans="1:17">
      <c r="A587" t="s">
        <v>100</v>
      </c>
      <c r="B587" t="str">
        <f>TEXT(Table1[[#This Row],[Date]],"MMMM")</f>
        <v>January</v>
      </c>
      <c r="C587" t="str">
        <f>TEXT(Table1[[#This Row],[Date]],"DDDD")</f>
        <v>Monday</v>
      </c>
      <c r="D587" t="s">
        <v>27</v>
      </c>
      <c r="E587" t="s">
        <v>53</v>
      </c>
      <c r="F587" t="s">
        <v>29</v>
      </c>
      <c r="G587" t="s">
        <v>37</v>
      </c>
      <c r="H587" t="s">
        <v>54</v>
      </c>
      <c r="I587" t="s">
        <v>39</v>
      </c>
      <c r="J587" s="3">
        <v>180000</v>
      </c>
      <c r="K587">
        <v>1</v>
      </c>
      <c r="L587" t="s">
        <v>65</v>
      </c>
      <c r="M587" s="3">
        <v>144000</v>
      </c>
      <c r="N587" s="3">
        <f>Table1[[#This Row],[Unit Price]]*Table1[[#This Row],[Quantity]]</f>
        <v>180000</v>
      </c>
      <c r="O587" s="3">
        <f>Table1[[#This Row],[Cost Price]]*Table1[[#This Row],[Quantity]]</f>
        <v>144000</v>
      </c>
      <c r="P587" s="3">
        <f>Table1[[#This Row],[Revenue]]-Table1[[#This Row],[COGS]]</f>
        <v>36000</v>
      </c>
      <c r="Q587" s="1">
        <v>586</v>
      </c>
    </row>
    <row r="588" spans="1:17">
      <c r="A588" t="s">
        <v>142</v>
      </c>
      <c r="B588" t="str">
        <f>TEXT(Table1[[#This Row],[Date]],"MMMM")</f>
        <v>April</v>
      </c>
      <c r="C588" t="str">
        <f>TEXT(Table1[[#This Row],[Date]],"DDDD")</f>
        <v>Monday</v>
      </c>
      <c r="D588" t="s">
        <v>27</v>
      </c>
      <c r="E588" t="s">
        <v>28</v>
      </c>
      <c r="F588" t="s">
        <v>29</v>
      </c>
      <c r="G588" t="s">
        <v>30</v>
      </c>
      <c r="H588" t="s">
        <v>46</v>
      </c>
      <c r="I588" t="s">
        <v>39</v>
      </c>
      <c r="J588" s="3">
        <v>60000</v>
      </c>
      <c r="K588">
        <v>6</v>
      </c>
      <c r="L588" t="s">
        <v>65</v>
      </c>
      <c r="M588" s="3">
        <v>48000</v>
      </c>
      <c r="N588" s="3">
        <f>Table1[[#This Row],[Unit Price]]*Table1[[#This Row],[Quantity]]</f>
        <v>360000</v>
      </c>
      <c r="O588" s="3">
        <f>Table1[[#This Row],[Cost Price]]*Table1[[#This Row],[Quantity]]</f>
        <v>288000</v>
      </c>
      <c r="P588" s="3">
        <f>Table1[[#This Row],[Revenue]]-Table1[[#This Row],[COGS]]</f>
        <v>72000</v>
      </c>
      <c r="Q588" s="1">
        <v>587</v>
      </c>
    </row>
    <row r="589" spans="1:17">
      <c r="A589" t="s">
        <v>72</v>
      </c>
      <c r="B589" t="str">
        <f>TEXT(Table1[[#This Row],[Date]],"MMMM")</f>
        <v>February</v>
      </c>
      <c r="C589" t="str">
        <f>TEXT(Table1[[#This Row],[Date]],"DDDD")</f>
        <v>Wednesday</v>
      </c>
      <c r="D589" t="s">
        <v>35</v>
      </c>
      <c r="E589" t="s">
        <v>45</v>
      </c>
      <c r="F589" t="s">
        <v>41</v>
      </c>
      <c r="G589" t="s">
        <v>37</v>
      </c>
      <c r="H589" t="s">
        <v>56</v>
      </c>
      <c r="I589" t="s">
        <v>32</v>
      </c>
      <c r="J589" s="3">
        <v>320000</v>
      </c>
      <c r="K589">
        <v>8</v>
      </c>
      <c r="L589" t="s">
        <v>58</v>
      </c>
      <c r="M589" s="3">
        <v>256000</v>
      </c>
      <c r="N589" s="3">
        <f>Table1[[#This Row],[Unit Price]]*Table1[[#This Row],[Quantity]]</f>
        <v>2560000</v>
      </c>
      <c r="O589" s="3">
        <f>Table1[[#This Row],[Cost Price]]*Table1[[#This Row],[Quantity]]</f>
        <v>2048000</v>
      </c>
      <c r="P589" s="3">
        <f>Table1[[#This Row],[Revenue]]-Table1[[#This Row],[COGS]]</f>
        <v>512000</v>
      </c>
      <c r="Q589" s="1">
        <v>588</v>
      </c>
    </row>
    <row r="590" spans="1:17">
      <c r="A590" t="s">
        <v>101</v>
      </c>
      <c r="B590" t="str">
        <f>TEXT(Table1[[#This Row],[Date]],"MMMM")</f>
        <v>January</v>
      </c>
      <c r="C590" t="str">
        <f>TEXT(Table1[[#This Row],[Date]],"DDDD")</f>
        <v>Thursday</v>
      </c>
      <c r="D590" t="s">
        <v>35</v>
      </c>
      <c r="E590" t="s">
        <v>45</v>
      </c>
      <c r="F590" t="s">
        <v>29</v>
      </c>
      <c r="G590" t="s">
        <v>30</v>
      </c>
      <c r="H590" t="s">
        <v>54</v>
      </c>
      <c r="I590" t="s">
        <v>39</v>
      </c>
      <c r="J590" s="3">
        <v>180000</v>
      </c>
      <c r="K590">
        <v>6</v>
      </c>
      <c r="L590" t="s">
        <v>65</v>
      </c>
      <c r="M590" s="3">
        <v>144000</v>
      </c>
      <c r="N590" s="3">
        <f>Table1[[#This Row],[Unit Price]]*Table1[[#This Row],[Quantity]]</f>
        <v>1080000</v>
      </c>
      <c r="O590" s="3">
        <f>Table1[[#This Row],[Cost Price]]*Table1[[#This Row],[Quantity]]</f>
        <v>864000</v>
      </c>
      <c r="P590" s="3">
        <f>Table1[[#This Row],[Revenue]]-Table1[[#This Row],[COGS]]</f>
        <v>216000</v>
      </c>
      <c r="Q590" s="1">
        <v>589</v>
      </c>
    </row>
    <row r="591" spans="1:17">
      <c r="A591" t="s">
        <v>151</v>
      </c>
      <c r="B591" t="str">
        <f>TEXT(Table1[[#This Row],[Date]],"MMMM")</f>
        <v>February</v>
      </c>
      <c r="C591" t="str">
        <f>TEXT(Table1[[#This Row],[Date]],"DDDD")</f>
        <v>Tuesday</v>
      </c>
      <c r="D591" t="s">
        <v>44</v>
      </c>
      <c r="E591" t="s">
        <v>36</v>
      </c>
      <c r="F591" t="s">
        <v>41</v>
      </c>
      <c r="G591" t="s">
        <v>30</v>
      </c>
      <c r="H591" t="s">
        <v>46</v>
      </c>
      <c r="I591" t="s">
        <v>39</v>
      </c>
      <c r="J591" s="3">
        <v>60000</v>
      </c>
      <c r="K591">
        <v>8</v>
      </c>
      <c r="L591" t="s">
        <v>42</v>
      </c>
      <c r="M591" s="3">
        <v>48000</v>
      </c>
      <c r="N591" s="3">
        <f>Table1[[#This Row],[Unit Price]]*Table1[[#This Row],[Quantity]]</f>
        <v>480000</v>
      </c>
      <c r="O591" s="3">
        <f>Table1[[#This Row],[Cost Price]]*Table1[[#This Row],[Quantity]]</f>
        <v>384000</v>
      </c>
      <c r="P591" s="3">
        <f>Table1[[#This Row],[Revenue]]-Table1[[#This Row],[COGS]]</f>
        <v>96000</v>
      </c>
      <c r="Q591" s="1">
        <v>590</v>
      </c>
    </row>
    <row r="592" spans="1:17">
      <c r="A592" t="s">
        <v>114</v>
      </c>
      <c r="B592" t="str">
        <f>TEXT(Table1[[#This Row],[Date]],"MMMM")</f>
        <v>April</v>
      </c>
      <c r="C592" t="str">
        <f>TEXT(Table1[[#This Row],[Date]],"DDDD")</f>
        <v>Sunday</v>
      </c>
      <c r="D592" t="s">
        <v>35</v>
      </c>
      <c r="E592" t="s">
        <v>36</v>
      </c>
      <c r="F592" t="s">
        <v>41</v>
      </c>
      <c r="G592" t="s">
        <v>30</v>
      </c>
      <c r="H592" t="s">
        <v>67</v>
      </c>
      <c r="I592" t="s">
        <v>51</v>
      </c>
      <c r="J592" s="3">
        <v>420000</v>
      </c>
      <c r="K592">
        <v>3</v>
      </c>
      <c r="L592" t="s">
        <v>33</v>
      </c>
      <c r="M592" s="3">
        <v>336000</v>
      </c>
      <c r="N592" s="3">
        <f>Table1[[#This Row],[Unit Price]]*Table1[[#This Row],[Quantity]]</f>
        <v>1260000</v>
      </c>
      <c r="O592" s="3">
        <f>Table1[[#This Row],[Cost Price]]*Table1[[#This Row],[Quantity]]</f>
        <v>1008000</v>
      </c>
      <c r="P592" s="3">
        <f>Table1[[#This Row],[Revenue]]-Table1[[#This Row],[COGS]]</f>
        <v>252000</v>
      </c>
      <c r="Q592" s="1">
        <v>591</v>
      </c>
    </row>
    <row r="593" spans="1:17">
      <c r="A593" t="s">
        <v>166</v>
      </c>
      <c r="B593" t="str">
        <f>TEXT(Table1[[#This Row],[Date]],"MMMM")</f>
        <v>January</v>
      </c>
      <c r="C593" t="str">
        <f>TEXT(Table1[[#This Row],[Date]],"DDDD")</f>
        <v>Thursday</v>
      </c>
      <c r="D593" t="s">
        <v>44</v>
      </c>
      <c r="E593" t="s">
        <v>45</v>
      </c>
      <c r="F593" t="s">
        <v>41</v>
      </c>
      <c r="G593" t="s">
        <v>30</v>
      </c>
      <c r="H593" t="s">
        <v>73</v>
      </c>
      <c r="I593" t="s">
        <v>39</v>
      </c>
      <c r="J593" s="3">
        <v>220000</v>
      </c>
      <c r="K593">
        <v>5</v>
      </c>
      <c r="L593" t="s">
        <v>42</v>
      </c>
      <c r="M593" s="3">
        <v>176000</v>
      </c>
      <c r="N593" s="3">
        <f>Table1[[#This Row],[Unit Price]]*Table1[[#This Row],[Quantity]]</f>
        <v>1100000</v>
      </c>
      <c r="O593" s="3">
        <f>Table1[[#This Row],[Cost Price]]*Table1[[#This Row],[Quantity]]</f>
        <v>880000</v>
      </c>
      <c r="P593" s="3">
        <f>Table1[[#This Row],[Revenue]]-Table1[[#This Row],[COGS]]</f>
        <v>220000</v>
      </c>
      <c r="Q593" s="1">
        <v>592</v>
      </c>
    </row>
    <row r="594" spans="1:17">
      <c r="A594" t="s">
        <v>105</v>
      </c>
      <c r="B594" t="str">
        <f>TEXT(Table1[[#This Row],[Date]],"MMMM")</f>
        <v>March</v>
      </c>
      <c r="C594" t="str">
        <f>TEXT(Table1[[#This Row],[Date]],"DDDD")</f>
        <v>Friday</v>
      </c>
      <c r="D594" t="s">
        <v>27</v>
      </c>
      <c r="E594" t="s">
        <v>53</v>
      </c>
      <c r="F594" t="s">
        <v>29</v>
      </c>
      <c r="G594" t="s">
        <v>30</v>
      </c>
      <c r="H594" t="s">
        <v>46</v>
      </c>
      <c r="I594" t="s">
        <v>39</v>
      </c>
      <c r="J594" s="3">
        <v>60000</v>
      </c>
      <c r="K594">
        <v>6</v>
      </c>
      <c r="L594" t="s">
        <v>33</v>
      </c>
      <c r="M594" s="3">
        <v>48000</v>
      </c>
      <c r="N594" s="3">
        <f>Table1[[#This Row],[Unit Price]]*Table1[[#This Row],[Quantity]]</f>
        <v>360000</v>
      </c>
      <c r="O594" s="3">
        <f>Table1[[#This Row],[Cost Price]]*Table1[[#This Row],[Quantity]]</f>
        <v>288000</v>
      </c>
      <c r="P594" s="3">
        <f>Table1[[#This Row],[Revenue]]-Table1[[#This Row],[COGS]]</f>
        <v>72000</v>
      </c>
      <c r="Q594" s="1">
        <v>593</v>
      </c>
    </row>
    <row r="595" spans="1:17">
      <c r="A595" t="s">
        <v>143</v>
      </c>
      <c r="B595" t="str">
        <f>TEXT(Table1[[#This Row],[Date]],"MMMM")</f>
        <v>April</v>
      </c>
      <c r="C595" t="str">
        <f>TEXT(Table1[[#This Row],[Date]],"DDDD")</f>
        <v>Thursday</v>
      </c>
      <c r="D595" t="s">
        <v>27</v>
      </c>
      <c r="E595" t="s">
        <v>53</v>
      </c>
      <c r="F595" t="s">
        <v>29</v>
      </c>
      <c r="G595" t="s">
        <v>37</v>
      </c>
      <c r="H595" t="s">
        <v>46</v>
      </c>
      <c r="I595" t="s">
        <v>39</v>
      </c>
      <c r="J595" s="3">
        <v>60000</v>
      </c>
      <c r="K595">
        <v>8</v>
      </c>
      <c r="L595" t="s">
        <v>69</v>
      </c>
      <c r="M595" s="3">
        <v>48000</v>
      </c>
      <c r="N595" s="3">
        <f>Table1[[#This Row],[Unit Price]]*Table1[[#This Row],[Quantity]]</f>
        <v>480000</v>
      </c>
      <c r="O595" s="3">
        <f>Table1[[#This Row],[Cost Price]]*Table1[[#This Row],[Quantity]]</f>
        <v>384000</v>
      </c>
      <c r="P595" s="3">
        <f>Table1[[#This Row],[Revenue]]-Table1[[#This Row],[COGS]]</f>
        <v>96000</v>
      </c>
      <c r="Q595" s="1">
        <v>594</v>
      </c>
    </row>
    <row r="596" spans="1:17">
      <c r="A596" t="s">
        <v>84</v>
      </c>
      <c r="B596" t="str">
        <f>TEXT(Table1[[#This Row],[Date]],"MMMM")</f>
        <v>January</v>
      </c>
      <c r="C596" t="str">
        <f>TEXT(Table1[[#This Row],[Date]],"DDDD")</f>
        <v>Wednesday</v>
      </c>
      <c r="D596" t="s">
        <v>27</v>
      </c>
      <c r="E596" t="s">
        <v>36</v>
      </c>
      <c r="F596" t="s">
        <v>41</v>
      </c>
      <c r="G596" t="s">
        <v>30</v>
      </c>
      <c r="H596" t="s">
        <v>38</v>
      </c>
      <c r="I596" t="s">
        <v>39</v>
      </c>
      <c r="J596" s="3">
        <v>30000</v>
      </c>
      <c r="K596">
        <v>2</v>
      </c>
      <c r="L596" t="s">
        <v>33</v>
      </c>
      <c r="M596" s="3">
        <v>24000</v>
      </c>
      <c r="N596" s="3">
        <f>Table1[[#This Row],[Unit Price]]*Table1[[#This Row],[Quantity]]</f>
        <v>60000</v>
      </c>
      <c r="O596" s="3">
        <f>Table1[[#This Row],[Cost Price]]*Table1[[#This Row],[Quantity]]</f>
        <v>48000</v>
      </c>
      <c r="P596" s="3">
        <f>Table1[[#This Row],[Revenue]]-Table1[[#This Row],[COGS]]</f>
        <v>12000</v>
      </c>
      <c r="Q596" s="1">
        <v>595</v>
      </c>
    </row>
    <row r="597" spans="1:17">
      <c r="A597" t="s">
        <v>82</v>
      </c>
      <c r="B597" t="str">
        <f>TEXT(Table1[[#This Row],[Date]],"MMMM")</f>
        <v>March</v>
      </c>
      <c r="C597" t="str">
        <f>TEXT(Table1[[#This Row],[Date]],"DDDD")</f>
        <v>Saturday</v>
      </c>
      <c r="D597" t="s">
        <v>35</v>
      </c>
      <c r="E597" t="s">
        <v>28</v>
      </c>
      <c r="F597" t="s">
        <v>41</v>
      </c>
      <c r="G597" t="s">
        <v>37</v>
      </c>
      <c r="H597" t="s">
        <v>50</v>
      </c>
      <c r="I597" t="s">
        <v>51</v>
      </c>
      <c r="J597" s="3">
        <v>300000</v>
      </c>
      <c r="K597">
        <v>3</v>
      </c>
      <c r="L597" t="s">
        <v>58</v>
      </c>
      <c r="M597" s="3">
        <v>240000</v>
      </c>
      <c r="N597" s="3">
        <f>Table1[[#This Row],[Unit Price]]*Table1[[#This Row],[Quantity]]</f>
        <v>900000</v>
      </c>
      <c r="O597" s="3">
        <f>Table1[[#This Row],[Cost Price]]*Table1[[#This Row],[Quantity]]</f>
        <v>720000</v>
      </c>
      <c r="P597" s="3">
        <f>Table1[[#This Row],[Revenue]]-Table1[[#This Row],[COGS]]</f>
        <v>180000</v>
      </c>
      <c r="Q597" s="1">
        <v>596</v>
      </c>
    </row>
    <row r="598" spans="1:17">
      <c r="A598" t="s">
        <v>98</v>
      </c>
      <c r="B598" t="str">
        <f>TEXT(Table1[[#This Row],[Date]],"MMMM")</f>
        <v>January</v>
      </c>
      <c r="C598" t="str">
        <f>TEXT(Table1[[#This Row],[Date]],"DDDD")</f>
        <v>Friday</v>
      </c>
      <c r="D598" t="s">
        <v>49</v>
      </c>
      <c r="E598" t="s">
        <v>36</v>
      </c>
      <c r="F598" t="s">
        <v>41</v>
      </c>
      <c r="G598" t="s">
        <v>37</v>
      </c>
      <c r="H598" t="s">
        <v>71</v>
      </c>
      <c r="I598" t="s">
        <v>51</v>
      </c>
      <c r="J598" s="3">
        <v>250000</v>
      </c>
      <c r="K598">
        <v>3</v>
      </c>
      <c r="L598" t="s">
        <v>42</v>
      </c>
      <c r="M598" s="3">
        <v>200000</v>
      </c>
      <c r="N598" s="3">
        <f>Table1[[#This Row],[Unit Price]]*Table1[[#This Row],[Quantity]]</f>
        <v>750000</v>
      </c>
      <c r="O598" s="3">
        <f>Table1[[#This Row],[Cost Price]]*Table1[[#This Row],[Quantity]]</f>
        <v>600000</v>
      </c>
      <c r="P598" s="3">
        <f>Table1[[#This Row],[Revenue]]-Table1[[#This Row],[COGS]]</f>
        <v>150000</v>
      </c>
      <c r="Q598" s="1">
        <v>597</v>
      </c>
    </row>
    <row r="599" spans="1:17">
      <c r="A599" t="s">
        <v>113</v>
      </c>
      <c r="B599" t="str">
        <f>TEXT(Table1[[#This Row],[Date]],"MMMM")</f>
        <v>April</v>
      </c>
      <c r="C599" t="str">
        <f>TEXT(Table1[[#This Row],[Date]],"DDDD")</f>
        <v>Monday</v>
      </c>
      <c r="D599" t="s">
        <v>49</v>
      </c>
      <c r="E599" t="s">
        <v>36</v>
      </c>
      <c r="F599" t="s">
        <v>41</v>
      </c>
      <c r="G599" t="s">
        <v>37</v>
      </c>
      <c r="H599" t="s">
        <v>67</v>
      </c>
      <c r="I599" t="s">
        <v>51</v>
      </c>
      <c r="J599" s="3">
        <v>420000</v>
      </c>
      <c r="K599">
        <v>1</v>
      </c>
      <c r="L599" t="s">
        <v>42</v>
      </c>
      <c r="M599" s="3">
        <v>336000</v>
      </c>
      <c r="N599" s="3">
        <f>Table1[[#This Row],[Unit Price]]*Table1[[#This Row],[Quantity]]</f>
        <v>420000</v>
      </c>
      <c r="O599" s="3">
        <f>Table1[[#This Row],[Cost Price]]*Table1[[#This Row],[Quantity]]</f>
        <v>336000</v>
      </c>
      <c r="P599" s="3">
        <f>Table1[[#This Row],[Revenue]]-Table1[[#This Row],[COGS]]</f>
        <v>84000</v>
      </c>
      <c r="Q599" s="1">
        <v>598</v>
      </c>
    </row>
    <row r="600" spans="1:17">
      <c r="A600" t="s">
        <v>99</v>
      </c>
      <c r="B600" t="str">
        <f>TEXT(Table1[[#This Row],[Date]],"MMMM")</f>
        <v>April</v>
      </c>
      <c r="C600" t="str">
        <f>TEXT(Table1[[#This Row],[Date]],"DDDD")</f>
        <v>Sunday</v>
      </c>
      <c r="D600" t="s">
        <v>44</v>
      </c>
      <c r="E600" t="s">
        <v>28</v>
      </c>
      <c r="F600" t="s">
        <v>41</v>
      </c>
      <c r="G600" t="s">
        <v>37</v>
      </c>
      <c r="H600" t="s">
        <v>38</v>
      </c>
      <c r="I600" t="s">
        <v>39</v>
      </c>
      <c r="J600" s="3">
        <v>30000</v>
      </c>
      <c r="K600">
        <v>1</v>
      </c>
      <c r="L600" t="s">
        <v>58</v>
      </c>
      <c r="M600" s="3">
        <v>24000</v>
      </c>
      <c r="N600" s="3">
        <f>Table1[[#This Row],[Unit Price]]*Table1[[#This Row],[Quantity]]</f>
        <v>30000</v>
      </c>
      <c r="O600" s="3">
        <f>Table1[[#This Row],[Cost Price]]*Table1[[#This Row],[Quantity]]</f>
        <v>24000</v>
      </c>
      <c r="P600" s="3">
        <f>Table1[[#This Row],[Revenue]]-Table1[[#This Row],[COGS]]</f>
        <v>6000</v>
      </c>
      <c r="Q600" s="1">
        <v>599</v>
      </c>
    </row>
    <row r="601" spans="1:17">
      <c r="A601" t="s">
        <v>146</v>
      </c>
      <c r="B601" t="str">
        <f>TEXT(Table1[[#This Row],[Date]],"MMMM")</f>
        <v>January</v>
      </c>
      <c r="C601" t="str">
        <f>TEXT(Table1[[#This Row],[Date]],"DDDD")</f>
        <v>Tuesday</v>
      </c>
      <c r="D601" t="s">
        <v>44</v>
      </c>
      <c r="E601" t="s">
        <v>45</v>
      </c>
      <c r="F601" t="s">
        <v>29</v>
      </c>
      <c r="G601" t="s">
        <v>30</v>
      </c>
      <c r="H601" t="s">
        <v>38</v>
      </c>
      <c r="I601" t="s">
        <v>39</v>
      </c>
      <c r="J601" s="3">
        <v>30000</v>
      </c>
      <c r="K601">
        <v>8</v>
      </c>
      <c r="L601" t="s">
        <v>65</v>
      </c>
      <c r="M601" s="3">
        <v>24000</v>
      </c>
      <c r="N601" s="3">
        <f>Table1[[#This Row],[Unit Price]]*Table1[[#This Row],[Quantity]]</f>
        <v>240000</v>
      </c>
      <c r="O601" s="3">
        <f>Table1[[#This Row],[Cost Price]]*Table1[[#This Row],[Quantity]]</f>
        <v>192000</v>
      </c>
      <c r="P601" s="3">
        <f>Table1[[#This Row],[Revenue]]-Table1[[#This Row],[COGS]]</f>
        <v>48000</v>
      </c>
      <c r="Q601" s="1">
        <v>600</v>
      </c>
    </row>
    <row r="602" spans="1:17">
      <c r="A602" t="s">
        <v>157</v>
      </c>
      <c r="B602" t="str">
        <f>TEXT(Table1[[#This Row],[Date]],"MMMM")</f>
        <v>April</v>
      </c>
      <c r="C602" t="str">
        <f>TEXT(Table1[[#This Row],[Date]],"DDDD")</f>
        <v>Tuesday</v>
      </c>
      <c r="D602" t="s">
        <v>49</v>
      </c>
      <c r="E602" t="s">
        <v>28</v>
      </c>
      <c r="F602" t="s">
        <v>41</v>
      </c>
      <c r="G602" t="s">
        <v>30</v>
      </c>
      <c r="H602" t="s">
        <v>71</v>
      </c>
      <c r="I602" t="s">
        <v>51</v>
      </c>
      <c r="J602" s="3">
        <v>250000</v>
      </c>
      <c r="K602">
        <v>10</v>
      </c>
      <c r="L602" t="s">
        <v>65</v>
      </c>
      <c r="M602" s="3">
        <v>200000</v>
      </c>
      <c r="N602" s="3">
        <f>Table1[[#This Row],[Unit Price]]*Table1[[#This Row],[Quantity]]</f>
        <v>2500000</v>
      </c>
      <c r="O602" s="3">
        <f>Table1[[#This Row],[Cost Price]]*Table1[[#This Row],[Quantity]]</f>
        <v>2000000</v>
      </c>
      <c r="P602" s="3">
        <f>Table1[[#This Row],[Revenue]]-Table1[[#This Row],[COGS]]</f>
        <v>500000</v>
      </c>
      <c r="Q602" s="1">
        <v>601</v>
      </c>
    </row>
    <row r="603" spans="1:17">
      <c r="A603" t="s">
        <v>113</v>
      </c>
      <c r="B603" t="str">
        <f>TEXT(Table1[[#This Row],[Date]],"MMMM")</f>
        <v>April</v>
      </c>
      <c r="C603" t="str">
        <f>TEXT(Table1[[#This Row],[Date]],"DDDD")</f>
        <v>Monday</v>
      </c>
      <c r="D603" t="s">
        <v>49</v>
      </c>
      <c r="E603" t="s">
        <v>45</v>
      </c>
      <c r="F603" t="s">
        <v>41</v>
      </c>
      <c r="G603" t="s">
        <v>37</v>
      </c>
      <c r="H603" t="s">
        <v>62</v>
      </c>
      <c r="I603" t="s">
        <v>51</v>
      </c>
      <c r="J603" s="3">
        <v>150000</v>
      </c>
      <c r="K603">
        <v>10</v>
      </c>
      <c r="L603" t="s">
        <v>42</v>
      </c>
      <c r="M603" s="3">
        <v>120000</v>
      </c>
      <c r="N603" s="3">
        <f>Table1[[#This Row],[Unit Price]]*Table1[[#This Row],[Quantity]]</f>
        <v>1500000</v>
      </c>
      <c r="O603" s="3">
        <f>Table1[[#This Row],[Cost Price]]*Table1[[#This Row],[Quantity]]</f>
        <v>1200000</v>
      </c>
      <c r="P603" s="3">
        <f>Table1[[#This Row],[Revenue]]-Table1[[#This Row],[COGS]]</f>
        <v>300000</v>
      </c>
      <c r="Q603" s="1">
        <v>602</v>
      </c>
    </row>
    <row r="604" spans="1:17">
      <c r="A604" t="s">
        <v>135</v>
      </c>
      <c r="B604" t="str">
        <f>TEXT(Table1[[#This Row],[Date]],"MMMM")</f>
        <v>March</v>
      </c>
      <c r="C604" t="str">
        <f>TEXT(Table1[[#This Row],[Date]],"DDDD")</f>
        <v>Sunday</v>
      </c>
      <c r="D604" t="s">
        <v>35</v>
      </c>
      <c r="E604" t="s">
        <v>53</v>
      </c>
      <c r="F604" t="s">
        <v>29</v>
      </c>
      <c r="G604" t="s">
        <v>37</v>
      </c>
      <c r="H604" t="s">
        <v>71</v>
      </c>
      <c r="I604" t="s">
        <v>51</v>
      </c>
      <c r="J604" s="3">
        <v>250000</v>
      </c>
      <c r="K604">
        <v>8</v>
      </c>
      <c r="L604" t="s">
        <v>33</v>
      </c>
      <c r="M604" s="3">
        <v>200000</v>
      </c>
      <c r="N604" s="3">
        <f>Table1[[#This Row],[Unit Price]]*Table1[[#This Row],[Quantity]]</f>
        <v>2000000</v>
      </c>
      <c r="O604" s="3">
        <f>Table1[[#This Row],[Cost Price]]*Table1[[#This Row],[Quantity]]</f>
        <v>1600000</v>
      </c>
      <c r="P604" s="3">
        <f>Table1[[#This Row],[Revenue]]-Table1[[#This Row],[COGS]]</f>
        <v>400000</v>
      </c>
      <c r="Q604" s="1">
        <v>603</v>
      </c>
    </row>
    <row r="605" spans="1:17">
      <c r="A605" t="s">
        <v>64</v>
      </c>
      <c r="B605" t="str">
        <f>TEXT(Table1[[#This Row],[Date]],"MMMM")</f>
        <v>April</v>
      </c>
      <c r="C605" t="str">
        <f>TEXT(Table1[[#This Row],[Date]],"DDDD")</f>
        <v>Saturday</v>
      </c>
      <c r="D605" t="s">
        <v>49</v>
      </c>
      <c r="E605" t="s">
        <v>45</v>
      </c>
      <c r="F605" t="s">
        <v>29</v>
      </c>
      <c r="G605" t="s">
        <v>37</v>
      </c>
      <c r="H605" t="s">
        <v>71</v>
      </c>
      <c r="I605" t="s">
        <v>51</v>
      </c>
      <c r="J605" s="3">
        <v>250000</v>
      </c>
      <c r="K605">
        <v>9</v>
      </c>
      <c r="L605" t="s">
        <v>69</v>
      </c>
      <c r="M605" s="3">
        <v>200000</v>
      </c>
      <c r="N605" s="3">
        <f>Table1[[#This Row],[Unit Price]]*Table1[[#This Row],[Quantity]]</f>
        <v>2250000</v>
      </c>
      <c r="O605" s="3">
        <f>Table1[[#This Row],[Cost Price]]*Table1[[#This Row],[Quantity]]</f>
        <v>1800000</v>
      </c>
      <c r="P605" s="3">
        <f>Table1[[#This Row],[Revenue]]-Table1[[#This Row],[COGS]]</f>
        <v>450000</v>
      </c>
      <c r="Q605" s="1">
        <v>604</v>
      </c>
    </row>
    <row r="606" spans="1:17">
      <c r="A606" t="s">
        <v>78</v>
      </c>
      <c r="B606" t="str">
        <f>TEXT(Table1[[#This Row],[Date]],"MMMM")</f>
        <v>April</v>
      </c>
      <c r="C606" t="str">
        <f>TEXT(Table1[[#This Row],[Date]],"DDDD")</f>
        <v>Tuesday</v>
      </c>
      <c r="D606" t="s">
        <v>49</v>
      </c>
      <c r="E606" t="s">
        <v>53</v>
      </c>
      <c r="F606" t="s">
        <v>29</v>
      </c>
      <c r="G606" t="s">
        <v>37</v>
      </c>
      <c r="H606" t="s">
        <v>67</v>
      </c>
      <c r="I606" t="s">
        <v>51</v>
      </c>
      <c r="J606" s="3">
        <v>420000</v>
      </c>
      <c r="K606">
        <v>10</v>
      </c>
      <c r="L606" t="s">
        <v>47</v>
      </c>
      <c r="M606" s="3">
        <v>336000</v>
      </c>
      <c r="N606" s="3">
        <f>Table1[[#This Row],[Unit Price]]*Table1[[#This Row],[Quantity]]</f>
        <v>4200000</v>
      </c>
      <c r="O606" s="3">
        <f>Table1[[#This Row],[Cost Price]]*Table1[[#This Row],[Quantity]]</f>
        <v>3360000</v>
      </c>
      <c r="P606" s="3">
        <f>Table1[[#This Row],[Revenue]]-Table1[[#This Row],[COGS]]</f>
        <v>840000</v>
      </c>
      <c r="Q606" s="1">
        <v>605</v>
      </c>
    </row>
    <row r="607" spans="1:17">
      <c r="A607" t="s">
        <v>124</v>
      </c>
      <c r="B607" t="str">
        <f>TEXT(Table1[[#This Row],[Date]],"MMMM")</f>
        <v>February</v>
      </c>
      <c r="C607" t="str">
        <f>TEXT(Table1[[#This Row],[Date]],"DDDD")</f>
        <v>Monday</v>
      </c>
      <c r="D607" t="s">
        <v>27</v>
      </c>
      <c r="E607" t="s">
        <v>36</v>
      </c>
      <c r="F607" t="s">
        <v>41</v>
      </c>
      <c r="G607" t="s">
        <v>30</v>
      </c>
      <c r="H607" t="s">
        <v>31</v>
      </c>
      <c r="I607" t="s">
        <v>32</v>
      </c>
      <c r="J607" s="3">
        <v>85000</v>
      </c>
      <c r="K607">
        <v>4</v>
      </c>
      <c r="L607" t="s">
        <v>42</v>
      </c>
      <c r="M607" s="3">
        <v>68000</v>
      </c>
      <c r="N607" s="3">
        <f>Table1[[#This Row],[Unit Price]]*Table1[[#This Row],[Quantity]]</f>
        <v>340000</v>
      </c>
      <c r="O607" s="3">
        <f>Table1[[#This Row],[Cost Price]]*Table1[[#This Row],[Quantity]]</f>
        <v>272000</v>
      </c>
      <c r="P607" s="3">
        <f>Table1[[#This Row],[Revenue]]-Table1[[#This Row],[COGS]]</f>
        <v>68000</v>
      </c>
      <c r="Q607" s="1">
        <v>606</v>
      </c>
    </row>
    <row r="608" spans="1:17">
      <c r="A608" t="s">
        <v>166</v>
      </c>
      <c r="B608" t="str">
        <f>TEXT(Table1[[#This Row],[Date]],"MMMM")</f>
        <v>January</v>
      </c>
      <c r="C608" t="str">
        <f>TEXT(Table1[[#This Row],[Date]],"DDDD")</f>
        <v>Thursday</v>
      </c>
      <c r="D608" t="s">
        <v>35</v>
      </c>
      <c r="E608" t="s">
        <v>36</v>
      </c>
      <c r="F608" t="s">
        <v>29</v>
      </c>
      <c r="G608" t="s">
        <v>30</v>
      </c>
      <c r="H608" t="s">
        <v>54</v>
      </c>
      <c r="I608" t="s">
        <v>39</v>
      </c>
      <c r="J608" s="3">
        <v>180000</v>
      </c>
      <c r="K608">
        <v>1</v>
      </c>
      <c r="L608" t="s">
        <v>69</v>
      </c>
      <c r="M608" s="3">
        <v>144000</v>
      </c>
      <c r="N608" s="3">
        <f>Table1[[#This Row],[Unit Price]]*Table1[[#This Row],[Quantity]]</f>
        <v>180000</v>
      </c>
      <c r="O608" s="3">
        <f>Table1[[#This Row],[Cost Price]]*Table1[[#This Row],[Quantity]]</f>
        <v>144000</v>
      </c>
      <c r="P608" s="3">
        <f>Table1[[#This Row],[Revenue]]-Table1[[#This Row],[COGS]]</f>
        <v>36000</v>
      </c>
      <c r="Q608" s="1">
        <v>607</v>
      </c>
    </row>
    <row r="609" spans="1:17">
      <c r="A609" t="s">
        <v>170</v>
      </c>
      <c r="B609" t="str">
        <f>TEXT(Table1[[#This Row],[Date]],"MMMM")</f>
        <v>January</v>
      </c>
      <c r="C609" t="str">
        <f>TEXT(Table1[[#This Row],[Date]],"DDDD")</f>
        <v>Sunday</v>
      </c>
      <c r="D609" t="s">
        <v>44</v>
      </c>
      <c r="E609" t="s">
        <v>36</v>
      </c>
      <c r="F609" t="s">
        <v>29</v>
      </c>
      <c r="G609" t="s">
        <v>37</v>
      </c>
      <c r="H609" t="s">
        <v>54</v>
      </c>
      <c r="I609" t="s">
        <v>39</v>
      </c>
      <c r="J609" s="3">
        <v>180000</v>
      </c>
      <c r="K609">
        <v>9</v>
      </c>
      <c r="L609" t="s">
        <v>58</v>
      </c>
      <c r="M609" s="3">
        <v>144000</v>
      </c>
      <c r="N609" s="3">
        <f>Table1[[#This Row],[Unit Price]]*Table1[[#This Row],[Quantity]]</f>
        <v>1620000</v>
      </c>
      <c r="O609" s="3">
        <f>Table1[[#This Row],[Cost Price]]*Table1[[#This Row],[Quantity]]</f>
        <v>1296000</v>
      </c>
      <c r="P609" s="3">
        <f>Table1[[#This Row],[Revenue]]-Table1[[#This Row],[COGS]]</f>
        <v>324000</v>
      </c>
      <c r="Q609" s="1">
        <v>608</v>
      </c>
    </row>
    <row r="610" spans="1:17">
      <c r="A610" t="s">
        <v>169</v>
      </c>
      <c r="B610" t="str">
        <f>TEXT(Table1[[#This Row],[Date]],"MMMM")</f>
        <v>February</v>
      </c>
      <c r="C610" t="str">
        <f>TEXT(Table1[[#This Row],[Date]],"DDDD")</f>
        <v>Saturday</v>
      </c>
      <c r="D610" t="s">
        <v>35</v>
      </c>
      <c r="E610" t="s">
        <v>45</v>
      </c>
      <c r="F610" t="s">
        <v>41</v>
      </c>
      <c r="G610" t="s">
        <v>37</v>
      </c>
      <c r="H610" t="s">
        <v>62</v>
      </c>
      <c r="I610" t="s">
        <v>51</v>
      </c>
      <c r="J610" s="3">
        <v>150000</v>
      </c>
      <c r="K610">
        <v>10</v>
      </c>
      <c r="L610" t="s">
        <v>47</v>
      </c>
      <c r="M610" s="3">
        <v>120000</v>
      </c>
      <c r="N610" s="3">
        <f>Table1[[#This Row],[Unit Price]]*Table1[[#This Row],[Quantity]]</f>
        <v>1500000</v>
      </c>
      <c r="O610" s="3">
        <f>Table1[[#This Row],[Cost Price]]*Table1[[#This Row],[Quantity]]</f>
        <v>1200000</v>
      </c>
      <c r="P610" s="3">
        <f>Table1[[#This Row],[Revenue]]-Table1[[#This Row],[COGS]]</f>
        <v>300000</v>
      </c>
      <c r="Q610" s="1">
        <v>609</v>
      </c>
    </row>
    <row r="611" spans="1:17">
      <c r="A611" t="s">
        <v>157</v>
      </c>
      <c r="B611" t="str">
        <f>TEXT(Table1[[#This Row],[Date]],"MMMM")</f>
        <v>April</v>
      </c>
      <c r="C611" t="str">
        <f>TEXT(Table1[[#This Row],[Date]],"DDDD")</f>
        <v>Tuesday</v>
      </c>
      <c r="D611" t="s">
        <v>35</v>
      </c>
      <c r="E611" t="s">
        <v>53</v>
      </c>
      <c r="F611" t="s">
        <v>41</v>
      </c>
      <c r="G611" t="s">
        <v>37</v>
      </c>
      <c r="H611" t="s">
        <v>50</v>
      </c>
      <c r="I611" t="s">
        <v>51</v>
      </c>
      <c r="J611" s="3">
        <v>300000</v>
      </c>
      <c r="K611">
        <v>1</v>
      </c>
      <c r="L611" t="s">
        <v>47</v>
      </c>
      <c r="M611" s="3">
        <v>240000</v>
      </c>
      <c r="N611" s="3">
        <f>Table1[[#This Row],[Unit Price]]*Table1[[#This Row],[Quantity]]</f>
        <v>300000</v>
      </c>
      <c r="O611" s="3">
        <f>Table1[[#This Row],[Cost Price]]*Table1[[#This Row],[Quantity]]</f>
        <v>240000</v>
      </c>
      <c r="P611" s="3">
        <f>Table1[[#This Row],[Revenue]]-Table1[[#This Row],[COGS]]</f>
        <v>60000</v>
      </c>
      <c r="Q611" s="1">
        <v>610</v>
      </c>
    </row>
    <row r="612" spans="1:17">
      <c r="A612" t="s">
        <v>143</v>
      </c>
      <c r="B612" t="str">
        <f>TEXT(Table1[[#This Row],[Date]],"MMMM")</f>
        <v>April</v>
      </c>
      <c r="C612" t="str">
        <f>TEXT(Table1[[#This Row],[Date]],"DDDD")</f>
        <v>Thursday</v>
      </c>
      <c r="D612" t="s">
        <v>44</v>
      </c>
      <c r="E612" t="s">
        <v>53</v>
      </c>
      <c r="F612" t="s">
        <v>29</v>
      </c>
      <c r="G612" t="s">
        <v>30</v>
      </c>
      <c r="H612" t="s">
        <v>62</v>
      </c>
      <c r="I612" t="s">
        <v>51</v>
      </c>
      <c r="J612" s="3">
        <v>150000</v>
      </c>
      <c r="K612">
        <v>8</v>
      </c>
      <c r="L612" t="s">
        <v>33</v>
      </c>
      <c r="M612" s="3">
        <v>120000</v>
      </c>
      <c r="N612" s="3">
        <f>Table1[[#This Row],[Unit Price]]*Table1[[#This Row],[Quantity]]</f>
        <v>1200000</v>
      </c>
      <c r="O612" s="3">
        <f>Table1[[#This Row],[Cost Price]]*Table1[[#This Row],[Quantity]]</f>
        <v>960000</v>
      </c>
      <c r="P612" s="3">
        <f>Table1[[#This Row],[Revenue]]-Table1[[#This Row],[COGS]]</f>
        <v>240000</v>
      </c>
      <c r="Q612" s="1">
        <v>611</v>
      </c>
    </row>
    <row r="613" spans="1:17">
      <c r="A613" t="s">
        <v>59</v>
      </c>
      <c r="B613" t="str">
        <f>TEXT(Table1[[#This Row],[Date]],"MMMM")</f>
        <v>March</v>
      </c>
      <c r="C613" t="str">
        <f>TEXT(Table1[[#This Row],[Date]],"DDDD")</f>
        <v>Monday</v>
      </c>
      <c r="D613" t="s">
        <v>27</v>
      </c>
      <c r="E613" t="s">
        <v>53</v>
      </c>
      <c r="F613" t="s">
        <v>29</v>
      </c>
      <c r="G613" t="s">
        <v>37</v>
      </c>
      <c r="H613" t="s">
        <v>62</v>
      </c>
      <c r="I613" t="s">
        <v>51</v>
      </c>
      <c r="J613" s="3">
        <v>150000</v>
      </c>
      <c r="K613">
        <v>3</v>
      </c>
      <c r="L613" t="s">
        <v>58</v>
      </c>
      <c r="M613" s="3">
        <v>120000</v>
      </c>
      <c r="N613" s="3">
        <f>Table1[[#This Row],[Unit Price]]*Table1[[#This Row],[Quantity]]</f>
        <v>450000</v>
      </c>
      <c r="O613" s="3">
        <f>Table1[[#This Row],[Cost Price]]*Table1[[#This Row],[Quantity]]</f>
        <v>360000</v>
      </c>
      <c r="P613" s="3">
        <f>Table1[[#This Row],[Revenue]]-Table1[[#This Row],[COGS]]</f>
        <v>90000</v>
      </c>
      <c r="Q613" s="1">
        <v>612</v>
      </c>
    </row>
    <row r="614" spans="1:17">
      <c r="A614" t="s">
        <v>131</v>
      </c>
      <c r="B614" t="str">
        <f>TEXT(Table1[[#This Row],[Date]],"MMMM")</f>
        <v>March</v>
      </c>
      <c r="C614" t="str">
        <f>TEXT(Table1[[#This Row],[Date]],"DDDD")</f>
        <v>Friday</v>
      </c>
      <c r="D614" t="s">
        <v>49</v>
      </c>
      <c r="E614" t="s">
        <v>53</v>
      </c>
      <c r="F614" t="s">
        <v>29</v>
      </c>
      <c r="G614" t="s">
        <v>37</v>
      </c>
      <c r="H614" t="s">
        <v>56</v>
      </c>
      <c r="I614" t="s">
        <v>32</v>
      </c>
      <c r="J614" s="3">
        <v>320000</v>
      </c>
      <c r="K614">
        <v>3</v>
      </c>
      <c r="L614" t="s">
        <v>33</v>
      </c>
      <c r="M614" s="3">
        <v>256000</v>
      </c>
      <c r="N614" s="3">
        <f>Table1[[#This Row],[Unit Price]]*Table1[[#This Row],[Quantity]]</f>
        <v>960000</v>
      </c>
      <c r="O614" s="3">
        <f>Table1[[#This Row],[Cost Price]]*Table1[[#This Row],[Quantity]]</f>
        <v>768000</v>
      </c>
      <c r="P614" s="3">
        <f>Table1[[#This Row],[Revenue]]-Table1[[#This Row],[COGS]]</f>
        <v>192000</v>
      </c>
      <c r="Q614" s="1">
        <v>613</v>
      </c>
    </row>
    <row r="615" spans="1:17">
      <c r="A615" t="s">
        <v>106</v>
      </c>
      <c r="B615" t="str">
        <f>TEXT(Table1[[#This Row],[Date]],"MMMM")</f>
        <v>April</v>
      </c>
      <c r="C615" t="str">
        <f>TEXT(Table1[[#This Row],[Date]],"DDDD")</f>
        <v>Wednesday</v>
      </c>
      <c r="D615" t="s">
        <v>44</v>
      </c>
      <c r="E615" t="s">
        <v>45</v>
      </c>
      <c r="F615" t="s">
        <v>29</v>
      </c>
      <c r="G615" t="s">
        <v>30</v>
      </c>
      <c r="H615" t="s">
        <v>54</v>
      </c>
      <c r="I615" t="s">
        <v>39</v>
      </c>
      <c r="J615" s="3">
        <v>180000</v>
      </c>
      <c r="K615">
        <v>8</v>
      </c>
      <c r="L615" t="s">
        <v>33</v>
      </c>
      <c r="M615" s="3">
        <v>144000</v>
      </c>
      <c r="N615" s="3">
        <f>Table1[[#This Row],[Unit Price]]*Table1[[#This Row],[Quantity]]</f>
        <v>1440000</v>
      </c>
      <c r="O615" s="3">
        <f>Table1[[#This Row],[Cost Price]]*Table1[[#This Row],[Quantity]]</f>
        <v>1152000</v>
      </c>
      <c r="P615" s="3">
        <f>Table1[[#This Row],[Revenue]]-Table1[[#This Row],[COGS]]</f>
        <v>288000</v>
      </c>
      <c r="Q615" s="1">
        <v>614</v>
      </c>
    </row>
    <row r="616" spans="1:17">
      <c r="A616" t="s">
        <v>136</v>
      </c>
      <c r="B616" t="str">
        <f>TEXT(Table1[[#This Row],[Date]],"MMMM")</f>
        <v>February</v>
      </c>
      <c r="C616" t="str">
        <f>TEXT(Table1[[#This Row],[Date]],"DDDD")</f>
        <v>Saturday</v>
      </c>
      <c r="D616" t="s">
        <v>44</v>
      </c>
      <c r="E616" t="s">
        <v>45</v>
      </c>
      <c r="F616" t="s">
        <v>29</v>
      </c>
      <c r="G616" t="s">
        <v>37</v>
      </c>
      <c r="H616" t="s">
        <v>54</v>
      </c>
      <c r="I616" t="s">
        <v>39</v>
      </c>
      <c r="J616" s="3">
        <v>180000</v>
      </c>
      <c r="K616">
        <v>1</v>
      </c>
      <c r="L616" t="s">
        <v>42</v>
      </c>
      <c r="M616" s="3">
        <v>144000</v>
      </c>
      <c r="N616" s="3">
        <f>Table1[[#This Row],[Unit Price]]*Table1[[#This Row],[Quantity]]</f>
        <v>180000</v>
      </c>
      <c r="O616" s="3">
        <f>Table1[[#This Row],[Cost Price]]*Table1[[#This Row],[Quantity]]</f>
        <v>144000</v>
      </c>
      <c r="P616" s="3">
        <f>Table1[[#This Row],[Revenue]]-Table1[[#This Row],[COGS]]</f>
        <v>36000</v>
      </c>
      <c r="Q616" s="1">
        <v>615</v>
      </c>
    </row>
    <row r="617" spans="1:17">
      <c r="A617" t="s">
        <v>154</v>
      </c>
      <c r="B617" t="str">
        <f>TEXT(Table1[[#This Row],[Date]],"MMMM")</f>
        <v>February</v>
      </c>
      <c r="C617" t="str">
        <f>TEXT(Table1[[#This Row],[Date]],"DDDD")</f>
        <v>Saturday</v>
      </c>
      <c r="D617" t="s">
        <v>27</v>
      </c>
      <c r="E617" t="s">
        <v>36</v>
      </c>
      <c r="F617" t="s">
        <v>29</v>
      </c>
      <c r="G617" t="s">
        <v>37</v>
      </c>
      <c r="H617" t="s">
        <v>46</v>
      </c>
      <c r="I617" t="s">
        <v>39</v>
      </c>
      <c r="J617" s="3">
        <v>60000</v>
      </c>
      <c r="K617">
        <v>7</v>
      </c>
      <c r="L617" t="s">
        <v>65</v>
      </c>
      <c r="M617" s="3">
        <v>48000</v>
      </c>
      <c r="N617" s="3">
        <f>Table1[[#This Row],[Unit Price]]*Table1[[#This Row],[Quantity]]</f>
        <v>420000</v>
      </c>
      <c r="O617" s="3">
        <f>Table1[[#This Row],[Cost Price]]*Table1[[#This Row],[Quantity]]</f>
        <v>336000</v>
      </c>
      <c r="P617" s="3">
        <f>Table1[[#This Row],[Revenue]]-Table1[[#This Row],[COGS]]</f>
        <v>84000</v>
      </c>
      <c r="Q617" s="1">
        <v>616</v>
      </c>
    </row>
    <row r="618" spans="1:17">
      <c r="A618" t="s">
        <v>77</v>
      </c>
      <c r="B618" t="str">
        <f>TEXT(Table1[[#This Row],[Date]],"MMMM")</f>
        <v>April</v>
      </c>
      <c r="C618" t="str">
        <f>TEXT(Table1[[#This Row],[Date]],"DDDD")</f>
        <v>Friday</v>
      </c>
      <c r="D618" t="s">
        <v>35</v>
      </c>
      <c r="E618" t="s">
        <v>45</v>
      </c>
      <c r="F618" t="s">
        <v>41</v>
      </c>
      <c r="G618" t="s">
        <v>37</v>
      </c>
      <c r="H618" t="s">
        <v>56</v>
      </c>
      <c r="I618" t="s">
        <v>32</v>
      </c>
      <c r="J618" s="3">
        <v>320000</v>
      </c>
      <c r="K618">
        <v>7</v>
      </c>
      <c r="L618" t="s">
        <v>42</v>
      </c>
      <c r="M618" s="3">
        <v>256000</v>
      </c>
      <c r="N618" s="3">
        <f>Table1[[#This Row],[Unit Price]]*Table1[[#This Row],[Quantity]]</f>
        <v>2240000</v>
      </c>
      <c r="O618" s="3">
        <f>Table1[[#This Row],[Cost Price]]*Table1[[#This Row],[Quantity]]</f>
        <v>1792000</v>
      </c>
      <c r="P618" s="3">
        <f>Table1[[#This Row],[Revenue]]-Table1[[#This Row],[COGS]]</f>
        <v>448000</v>
      </c>
      <c r="Q618" s="1">
        <v>617</v>
      </c>
    </row>
    <row r="619" spans="1:17">
      <c r="A619" t="s">
        <v>163</v>
      </c>
      <c r="B619" t="str">
        <f>TEXT(Table1[[#This Row],[Date]],"MMMM")</f>
        <v>April</v>
      </c>
      <c r="C619" t="str">
        <f>TEXT(Table1[[#This Row],[Date]],"DDDD")</f>
        <v>Tuesday</v>
      </c>
      <c r="D619" t="s">
        <v>44</v>
      </c>
      <c r="E619" t="s">
        <v>36</v>
      </c>
      <c r="F619" t="s">
        <v>41</v>
      </c>
      <c r="G619" t="s">
        <v>30</v>
      </c>
      <c r="H619" t="s">
        <v>31</v>
      </c>
      <c r="I619" t="s">
        <v>32</v>
      </c>
      <c r="J619" s="3">
        <v>85000</v>
      </c>
      <c r="K619">
        <v>9</v>
      </c>
      <c r="L619" t="s">
        <v>42</v>
      </c>
      <c r="M619" s="3">
        <v>68000</v>
      </c>
      <c r="N619" s="3">
        <f>Table1[[#This Row],[Unit Price]]*Table1[[#This Row],[Quantity]]</f>
        <v>765000</v>
      </c>
      <c r="O619" s="3">
        <f>Table1[[#This Row],[Cost Price]]*Table1[[#This Row],[Quantity]]</f>
        <v>612000</v>
      </c>
      <c r="P619" s="3">
        <f>Table1[[#This Row],[Revenue]]-Table1[[#This Row],[COGS]]</f>
        <v>153000</v>
      </c>
      <c r="Q619" s="1">
        <v>618</v>
      </c>
    </row>
    <row r="620" spans="1:17">
      <c r="A620" t="s">
        <v>123</v>
      </c>
      <c r="B620" t="str">
        <f>TEXT(Table1[[#This Row],[Date]],"MMMM")</f>
        <v>April</v>
      </c>
      <c r="C620" t="str">
        <f>TEXT(Table1[[#This Row],[Date]],"DDDD")</f>
        <v>Monday</v>
      </c>
      <c r="D620" t="s">
        <v>27</v>
      </c>
      <c r="E620" t="s">
        <v>36</v>
      </c>
      <c r="F620" t="s">
        <v>29</v>
      </c>
      <c r="G620" t="s">
        <v>30</v>
      </c>
      <c r="H620" t="s">
        <v>56</v>
      </c>
      <c r="I620" t="s">
        <v>32</v>
      </c>
      <c r="J620" s="3">
        <v>320000</v>
      </c>
      <c r="K620">
        <v>3</v>
      </c>
      <c r="L620" t="s">
        <v>65</v>
      </c>
      <c r="M620" s="3">
        <v>256000</v>
      </c>
      <c r="N620" s="3">
        <f>Table1[[#This Row],[Unit Price]]*Table1[[#This Row],[Quantity]]</f>
        <v>960000</v>
      </c>
      <c r="O620" s="3">
        <f>Table1[[#This Row],[Cost Price]]*Table1[[#This Row],[Quantity]]</f>
        <v>768000</v>
      </c>
      <c r="P620" s="3">
        <f>Table1[[#This Row],[Revenue]]-Table1[[#This Row],[COGS]]</f>
        <v>192000</v>
      </c>
      <c r="Q620" s="1">
        <v>619</v>
      </c>
    </row>
    <row r="621" spans="1:17">
      <c r="A621" t="s">
        <v>84</v>
      </c>
      <c r="B621" t="str">
        <f>TEXT(Table1[[#This Row],[Date]],"MMMM")</f>
        <v>January</v>
      </c>
      <c r="C621" t="str">
        <f>TEXT(Table1[[#This Row],[Date]],"DDDD")</f>
        <v>Wednesday</v>
      </c>
      <c r="D621" t="s">
        <v>44</v>
      </c>
      <c r="E621" t="s">
        <v>53</v>
      </c>
      <c r="F621" t="s">
        <v>29</v>
      </c>
      <c r="G621" t="s">
        <v>30</v>
      </c>
      <c r="H621" t="s">
        <v>73</v>
      </c>
      <c r="I621" t="s">
        <v>39</v>
      </c>
      <c r="J621" s="3">
        <v>220000</v>
      </c>
      <c r="K621">
        <v>4</v>
      </c>
      <c r="L621" t="s">
        <v>65</v>
      </c>
      <c r="M621" s="3">
        <v>176000</v>
      </c>
      <c r="N621" s="3">
        <f>Table1[[#This Row],[Unit Price]]*Table1[[#This Row],[Quantity]]</f>
        <v>880000</v>
      </c>
      <c r="O621" s="3">
        <f>Table1[[#This Row],[Cost Price]]*Table1[[#This Row],[Quantity]]</f>
        <v>704000</v>
      </c>
      <c r="P621" s="3">
        <f>Table1[[#This Row],[Revenue]]-Table1[[#This Row],[COGS]]</f>
        <v>176000</v>
      </c>
      <c r="Q621" s="1">
        <v>620</v>
      </c>
    </row>
    <row r="622" spans="1:17">
      <c r="A622" t="s">
        <v>85</v>
      </c>
      <c r="B622" t="str">
        <f>TEXT(Table1[[#This Row],[Date]],"MMMM")</f>
        <v>February</v>
      </c>
      <c r="C622" t="str">
        <f>TEXT(Table1[[#This Row],[Date]],"DDDD")</f>
        <v>Thursday</v>
      </c>
      <c r="D622" t="s">
        <v>35</v>
      </c>
      <c r="E622" t="s">
        <v>45</v>
      </c>
      <c r="F622" t="s">
        <v>41</v>
      </c>
      <c r="G622" t="s">
        <v>30</v>
      </c>
      <c r="H622" t="s">
        <v>56</v>
      </c>
      <c r="I622" t="s">
        <v>32</v>
      </c>
      <c r="J622" s="3">
        <v>320000</v>
      </c>
      <c r="K622">
        <v>7</v>
      </c>
      <c r="L622" t="s">
        <v>58</v>
      </c>
      <c r="M622" s="3">
        <v>256000</v>
      </c>
      <c r="N622" s="3">
        <f>Table1[[#This Row],[Unit Price]]*Table1[[#This Row],[Quantity]]</f>
        <v>2240000</v>
      </c>
      <c r="O622" s="3">
        <f>Table1[[#This Row],[Cost Price]]*Table1[[#This Row],[Quantity]]</f>
        <v>1792000</v>
      </c>
      <c r="P622" s="3">
        <f>Table1[[#This Row],[Revenue]]-Table1[[#This Row],[COGS]]</f>
        <v>448000</v>
      </c>
      <c r="Q622" s="1">
        <v>621</v>
      </c>
    </row>
    <row r="623" spans="1:17">
      <c r="A623" t="s">
        <v>163</v>
      </c>
      <c r="B623" t="str">
        <f>TEXT(Table1[[#This Row],[Date]],"MMMM")</f>
        <v>April</v>
      </c>
      <c r="C623" t="str">
        <f>TEXT(Table1[[#This Row],[Date]],"DDDD")</f>
        <v>Tuesday</v>
      </c>
      <c r="D623" t="s">
        <v>35</v>
      </c>
      <c r="E623" t="s">
        <v>28</v>
      </c>
      <c r="F623" t="s">
        <v>41</v>
      </c>
      <c r="G623" t="s">
        <v>30</v>
      </c>
      <c r="H623" t="s">
        <v>71</v>
      </c>
      <c r="I623" t="s">
        <v>51</v>
      </c>
      <c r="J623" s="3">
        <v>250000</v>
      </c>
      <c r="K623">
        <v>1</v>
      </c>
      <c r="L623" t="s">
        <v>47</v>
      </c>
      <c r="M623" s="3">
        <v>200000</v>
      </c>
      <c r="N623" s="3">
        <f>Table1[[#This Row],[Unit Price]]*Table1[[#This Row],[Quantity]]</f>
        <v>250000</v>
      </c>
      <c r="O623" s="3">
        <f>Table1[[#This Row],[Cost Price]]*Table1[[#This Row],[Quantity]]</f>
        <v>200000</v>
      </c>
      <c r="P623" s="3">
        <f>Table1[[#This Row],[Revenue]]-Table1[[#This Row],[COGS]]</f>
        <v>50000</v>
      </c>
      <c r="Q623" s="1">
        <v>622</v>
      </c>
    </row>
    <row r="624" spans="1:17">
      <c r="A624" t="s">
        <v>63</v>
      </c>
      <c r="B624" t="str">
        <f>TEXT(Table1[[#This Row],[Date]],"MMMM")</f>
        <v>January</v>
      </c>
      <c r="C624" t="str">
        <f>TEXT(Table1[[#This Row],[Date]],"DDDD")</f>
        <v>Monday</v>
      </c>
      <c r="D624" t="s">
        <v>35</v>
      </c>
      <c r="E624" t="s">
        <v>45</v>
      </c>
      <c r="F624" t="s">
        <v>29</v>
      </c>
      <c r="G624" t="s">
        <v>37</v>
      </c>
      <c r="H624" t="s">
        <v>38</v>
      </c>
      <c r="I624" t="s">
        <v>39</v>
      </c>
      <c r="J624" s="3">
        <v>30000</v>
      </c>
      <c r="K624">
        <v>5</v>
      </c>
      <c r="L624" t="s">
        <v>47</v>
      </c>
      <c r="M624" s="3">
        <v>24000</v>
      </c>
      <c r="N624" s="3">
        <f>Table1[[#This Row],[Unit Price]]*Table1[[#This Row],[Quantity]]</f>
        <v>150000</v>
      </c>
      <c r="O624" s="3">
        <f>Table1[[#This Row],[Cost Price]]*Table1[[#This Row],[Quantity]]</f>
        <v>120000</v>
      </c>
      <c r="P624" s="3">
        <f>Table1[[#This Row],[Revenue]]-Table1[[#This Row],[COGS]]</f>
        <v>30000</v>
      </c>
      <c r="Q624" s="1">
        <v>623</v>
      </c>
    </row>
    <row r="625" spans="1:17">
      <c r="A625" t="s">
        <v>171</v>
      </c>
      <c r="B625" t="str">
        <f>TEXT(Table1[[#This Row],[Date]],"MMMM")</f>
        <v>March</v>
      </c>
      <c r="C625" t="str">
        <f>TEXT(Table1[[#This Row],[Date]],"DDDD")</f>
        <v>Monday</v>
      </c>
      <c r="D625" t="s">
        <v>44</v>
      </c>
      <c r="E625" t="s">
        <v>45</v>
      </c>
      <c r="F625" t="s">
        <v>41</v>
      </c>
      <c r="G625" t="s">
        <v>30</v>
      </c>
      <c r="H625" t="s">
        <v>73</v>
      </c>
      <c r="I625" t="s">
        <v>39</v>
      </c>
      <c r="J625" s="3">
        <v>220000</v>
      </c>
      <c r="K625">
        <v>5</v>
      </c>
      <c r="L625" t="s">
        <v>42</v>
      </c>
      <c r="M625" s="3">
        <v>176000</v>
      </c>
      <c r="N625" s="3">
        <f>Table1[[#This Row],[Unit Price]]*Table1[[#This Row],[Quantity]]</f>
        <v>1100000</v>
      </c>
      <c r="O625" s="3">
        <f>Table1[[#This Row],[Cost Price]]*Table1[[#This Row],[Quantity]]</f>
        <v>880000</v>
      </c>
      <c r="P625" s="3">
        <f>Table1[[#This Row],[Revenue]]-Table1[[#This Row],[COGS]]</f>
        <v>220000</v>
      </c>
      <c r="Q625" s="1">
        <v>624</v>
      </c>
    </row>
    <row r="626" spans="1:17">
      <c r="A626" t="s">
        <v>129</v>
      </c>
      <c r="B626" t="str">
        <f>TEXT(Table1[[#This Row],[Date]],"MMMM")</f>
        <v>March</v>
      </c>
      <c r="C626" t="str">
        <f>TEXT(Table1[[#This Row],[Date]],"DDDD")</f>
        <v>Tuesday</v>
      </c>
      <c r="D626" t="s">
        <v>49</v>
      </c>
      <c r="E626" t="s">
        <v>45</v>
      </c>
      <c r="F626" t="s">
        <v>41</v>
      </c>
      <c r="G626" t="s">
        <v>37</v>
      </c>
      <c r="H626" t="s">
        <v>71</v>
      </c>
      <c r="I626" t="s">
        <v>51</v>
      </c>
      <c r="J626" s="3">
        <v>250000</v>
      </c>
      <c r="K626">
        <v>4</v>
      </c>
      <c r="L626" t="s">
        <v>58</v>
      </c>
      <c r="M626" s="3">
        <v>200000</v>
      </c>
      <c r="N626" s="3">
        <f>Table1[[#This Row],[Unit Price]]*Table1[[#This Row],[Quantity]]</f>
        <v>1000000</v>
      </c>
      <c r="O626" s="3">
        <f>Table1[[#This Row],[Cost Price]]*Table1[[#This Row],[Quantity]]</f>
        <v>800000</v>
      </c>
      <c r="P626" s="3">
        <f>Table1[[#This Row],[Revenue]]-Table1[[#This Row],[COGS]]</f>
        <v>200000</v>
      </c>
      <c r="Q626" s="1">
        <v>625</v>
      </c>
    </row>
    <row r="627" spans="1:17">
      <c r="A627" t="s">
        <v>175</v>
      </c>
      <c r="B627" t="str">
        <f>TEXT(Table1[[#This Row],[Date]],"MMMM")</f>
        <v>January</v>
      </c>
      <c r="C627" t="str">
        <f>TEXT(Table1[[#This Row],[Date]],"DDDD")</f>
        <v>Wednesday</v>
      </c>
      <c r="D627" t="s">
        <v>49</v>
      </c>
      <c r="E627" t="s">
        <v>28</v>
      </c>
      <c r="F627" t="s">
        <v>29</v>
      </c>
      <c r="G627" t="s">
        <v>37</v>
      </c>
      <c r="H627" t="s">
        <v>54</v>
      </c>
      <c r="I627" t="s">
        <v>39</v>
      </c>
      <c r="J627" s="3">
        <v>180000</v>
      </c>
      <c r="K627">
        <v>4</v>
      </c>
      <c r="L627" t="s">
        <v>33</v>
      </c>
      <c r="M627" s="3">
        <v>144000</v>
      </c>
      <c r="N627" s="3">
        <f>Table1[[#This Row],[Unit Price]]*Table1[[#This Row],[Quantity]]</f>
        <v>720000</v>
      </c>
      <c r="O627" s="3">
        <f>Table1[[#This Row],[Cost Price]]*Table1[[#This Row],[Quantity]]</f>
        <v>576000</v>
      </c>
      <c r="P627" s="3">
        <f>Table1[[#This Row],[Revenue]]-Table1[[#This Row],[COGS]]</f>
        <v>144000</v>
      </c>
      <c r="Q627" s="1">
        <v>626</v>
      </c>
    </row>
    <row r="628" spans="1:17">
      <c r="A628" t="s">
        <v>165</v>
      </c>
      <c r="B628" t="str">
        <f>TEXT(Table1[[#This Row],[Date]],"MMMM")</f>
        <v>April</v>
      </c>
      <c r="C628" t="str">
        <f>TEXT(Table1[[#This Row],[Date]],"DDDD")</f>
        <v>Sunday</v>
      </c>
      <c r="D628" t="s">
        <v>44</v>
      </c>
      <c r="E628" t="s">
        <v>28</v>
      </c>
      <c r="F628" t="s">
        <v>41</v>
      </c>
      <c r="G628" t="s">
        <v>37</v>
      </c>
      <c r="H628" t="s">
        <v>46</v>
      </c>
      <c r="I628" t="s">
        <v>39</v>
      </c>
      <c r="J628" s="3">
        <v>60000</v>
      </c>
      <c r="K628">
        <v>10</v>
      </c>
      <c r="L628" t="s">
        <v>42</v>
      </c>
      <c r="M628" s="3">
        <v>48000</v>
      </c>
      <c r="N628" s="3">
        <f>Table1[[#This Row],[Unit Price]]*Table1[[#This Row],[Quantity]]</f>
        <v>600000</v>
      </c>
      <c r="O628" s="3">
        <f>Table1[[#This Row],[Cost Price]]*Table1[[#This Row],[Quantity]]</f>
        <v>480000</v>
      </c>
      <c r="P628" s="3">
        <f>Table1[[#This Row],[Revenue]]-Table1[[#This Row],[COGS]]</f>
        <v>120000</v>
      </c>
      <c r="Q628" s="1">
        <v>627</v>
      </c>
    </row>
    <row r="629" spans="1:17">
      <c r="A629" t="s">
        <v>107</v>
      </c>
      <c r="B629" t="str">
        <f>TEXT(Table1[[#This Row],[Date]],"MMMM")</f>
        <v>February</v>
      </c>
      <c r="C629" t="str">
        <f>TEXT(Table1[[#This Row],[Date]],"DDDD")</f>
        <v>Wednesday</v>
      </c>
      <c r="D629" t="s">
        <v>35</v>
      </c>
      <c r="E629" t="s">
        <v>45</v>
      </c>
      <c r="F629" t="s">
        <v>29</v>
      </c>
      <c r="G629" t="s">
        <v>30</v>
      </c>
      <c r="H629" t="s">
        <v>56</v>
      </c>
      <c r="I629" t="s">
        <v>32</v>
      </c>
      <c r="J629" s="3">
        <v>320000</v>
      </c>
      <c r="K629">
        <v>10</v>
      </c>
      <c r="L629" t="s">
        <v>33</v>
      </c>
      <c r="M629" s="3">
        <v>256000</v>
      </c>
      <c r="N629" s="3">
        <f>Table1[[#This Row],[Unit Price]]*Table1[[#This Row],[Quantity]]</f>
        <v>3200000</v>
      </c>
      <c r="O629" s="3">
        <f>Table1[[#This Row],[Cost Price]]*Table1[[#This Row],[Quantity]]</f>
        <v>2560000</v>
      </c>
      <c r="P629" s="3">
        <f>Table1[[#This Row],[Revenue]]-Table1[[#This Row],[COGS]]</f>
        <v>640000</v>
      </c>
      <c r="Q629" s="1">
        <v>628</v>
      </c>
    </row>
    <row r="630" spans="1:17">
      <c r="A630" t="s">
        <v>127</v>
      </c>
      <c r="B630" t="str">
        <f>TEXT(Table1[[#This Row],[Date]],"MMMM")</f>
        <v>January</v>
      </c>
      <c r="C630" t="str">
        <f>TEXT(Table1[[#This Row],[Date]],"DDDD")</f>
        <v>Tuesday</v>
      </c>
      <c r="D630" t="s">
        <v>35</v>
      </c>
      <c r="E630" t="s">
        <v>45</v>
      </c>
      <c r="F630" t="s">
        <v>29</v>
      </c>
      <c r="G630" t="s">
        <v>37</v>
      </c>
      <c r="H630" t="s">
        <v>62</v>
      </c>
      <c r="I630" t="s">
        <v>51</v>
      </c>
      <c r="J630" s="3">
        <v>150000</v>
      </c>
      <c r="K630">
        <v>4</v>
      </c>
      <c r="L630" t="s">
        <v>47</v>
      </c>
      <c r="M630" s="3">
        <v>120000</v>
      </c>
      <c r="N630" s="3">
        <f>Table1[[#This Row],[Unit Price]]*Table1[[#This Row],[Quantity]]</f>
        <v>600000</v>
      </c>
      <c r="O630" s="3">
        <f>Table1[[#This Row],[Cost Price]]*Table1[[#This Row],[Quantity]]</f>
        <v>480000</v>
      </c>
      <c r="P630" s="3">
        <f>Table1[[#This Row],[Revenue]]-Table1[[#This Row],[COGS]]</f>
        <v>120000</v>
      </c>
      <c r="Q630" s="1">
        <v>629</v>
      </c>
    </row>
    <row r="631" spans="1:17">
      <c r="A631" t="s">
        <v>154</v>
      </c>
      <c r="B631" t="str">
        <f>TEXT(Table1[[#This Row],[Date]],"MMMM")</f>
        <v>February</v>
      </c>
      <c r="C631" t="str">
        <f>TEXT(Table1[[#This Row],[Date]],"DDDD")</f>
        <v>Saturday</v>
      </c>
      <c r="D631" t="s">
        <v>27</v>
      </c>
      <c r="E631" t="s">
        <v>28</v>
      </c>
      <c r="F631" t="s">
        <v>41</v>
      </c>
      <c r="G631" t="s">
        <v>37</v>
      </c>
      <c r="H631" t="s">
        <v>56</v>
      </c>
      <c r="I631" t="s">
        <v>32</v>
      </c>
      <c r="J631" s="3">
        <v>320000</v>
      </c>
      <c r="K631">
        <v>4</v>
      </c>
      <c r="L631" t="s">
        <v>33</v>
      </c>
      <c r="M631" s="3">
        <v>256000</v>
      </c>
      <c r="N631" s="3">
        <f>Table1[[#This Row],[Unit Price]]*Table1[[#This Row],[Quantity]]</f>
        <v>1280000</v>
      </c>
      <c r="O631" s="3">
        <f>Table1[[#This Row],[Cost Price]]*Table1[[#This Row],[Quantity]]</f>
        <v>1024000</v>
      </c>
      <c r="P631" s="3">
        <f>Table1[[#This Row],[Revenue]]-Table1[[#This Row],[COGS]]</f>
        <v>256000</v>
      </c>
      <c r="Q631" s="1">
        <v>630</v>
      </c>
    </row>
    <row r="632" spans="1:17">
      <c r="A632" t="s">
        <v>119</v>
      </c>
      <c r="B632" t="str">
        <f>TEXT(Table1[[#This Row],[Date]],"MMMM")</f>
        <v>February</v>
      </c>
      <c r="C632" t="str">
        <f>TEXT(Table1[[#This Row],[Date]],"DDDD")</f>
        <v>Sunday</v>
      </c>
      <c r="D632" t="s">
        <v>44</v>
      </c>
      <c r="E632" t="s">
        <v>36</v>
      </c>
      <c r="F632" t="s">
        <v>41</v>
      </c>
      <c r="G632" t="s">
        <v>30</v>
      </c>
      <c r="H632" t="s">
        <v>50</v>
      </c>
      <c r="I632" t="s">
        <v>51</v>
      </c>
      <c r="J632" s="3">
        <v>300000</v>
      </c>
      <c r="K632">
        <v>7</v>
      </c>
      <c r="L632" t="s">
        <v>65</v>
      </c>
      <c r="M632" s="3">
        <v>240000</v>
      </c>
      <c r="N632" s="3">
        <f>Table1[[#This Row],[Unit Price]]*Table1[[#This Row],[Quantity]]</f>
        <v>2100000</v>
      </c>
      <c r="O632" s="3">
        <f>Table1[[#This Row],[Cost Price]]*Table1[[#This Row],[Quantity]]</f>
        <v>1680000</v>
      </c>
      <c r="P632" s="3">
        <f>Table1[[#This Row],[Revenue]]-Table1[[#This Row],[COGS]]</f>
        <v>420000</v>
      </c>
      <c r="Q632" s="1">
        <v>631</v>
      </c>
    </row>
    <row r="633" spans="1:17">
      <c r="A633" t="s">
        <v>85</v>
      </c>
      <c r="B633" t="str">
        <f>TEXT(Table1[[#This Row],[Date]],"MMMM")</f>
        <v>February</v>
      </c>
      <c r="C633" t="str">
        <f>TEXT(Table1[[#This Row],[Date]],"DDDD")</f>
        <v>Thursday</v>
      </c>
      <c r="D633" t="s">
        <v>49</v>
      </c>
      <c r="E633" t="s">
        <v>28</v>
      </c>
      <c r="F633" t="s">
        <v>41</v>
      </c>
      <c r="G633" t="s">
        <v>37</v>
      </c>
      <c r="H633" t="s">
        <v>62</v>
      </c>
      <c r="I633" t="s">
        <v>51</v>
      </c>
      <c r="J633" s="3">
        <v>150000</v>
      </c>
      <c r="K633">
        <v>10</v>
      </c>
      <c r="L633" t="s">
        <v>33</v>
      </c>
      <c r="M633" s="3">
        <v>120000</v>
      </c>
      <c r="N633" s="3">
        <f>Table1[[#This Row],[Unit Price]]*Table1[[#This Row],[Quantity]]</f>
        <v>1500000</v>
      </c>
      <c r="O633" s="3">
        <f>Table1[[#This Row],[Cost Price]]*Table1[[#This Row],[Quantity]]</f>
        <v>1200000</v>
      </c>
      <c r="P633" s="3">
        <f>Table1[[#This Row],[Revenue]]-Table1[[#This Row],[COGS]]</f>
        <v>300000</v>
      </c>
      <c r="Q633" s="1">
        <v>632</v>
      </c>
    </row>
    <row r="634" spans="1:17">
      <c r="A634" t="s">
        <v>59</v>
      </c>
      <c r="B634" t="str">
        <f>TEXT(Table1[[#This Row],[Date]],"MMMM")</f>
        <v>March</v>
      </c>
      <c r="C634" t="str">
        <f>TEXT(Table1[[#This Row],[Date]],"DDDD")</f>
        <v>Monday</v>
      </c>
      <c r="D634" t="s">
        <v>44</v>
      </c>
      <c r="E634" t="s">
        <v>36</v>
      </c>
      <c r="F634" t="s">
        <v>41</v>
      </c>
      <c r="G634" t="s">
        <v>30</v>
      </c>
      <c r="H634" t="s">
        <v>73</v>
      </c>
      <c r="I634" t="s">
        <v>39</v>
      </c>
      <c r="J634" s="3">
        <v>220000</v>
      </c>
      <c r="K634">
        <v>9</v>
      </c>
      <c r="L634" t="s">
        <v>33</v>
      </c>
      <c r="M634" s="3">
        <v>176000</v>
      </c>
      <c r="N634" s="3">
        <f>Table1[[#This Row],[Unit Price]]*Table1[[#This Row],[Quantity]]</f>
        <v>1980000</v>
      </c>
      <c r="O634" s="3">
        <f>Table1[[#This Row],[Cost Price]]*Table1[[#This Row],[Quantity]]</f>
        <v>1584000</v>
      </c>
      <c r="P634" s="3">
        <f>Table1[[#This Row],[Revenue]]-Table1[[#This Row],[COGS]]</f>
        <v>396000</v>
      </c>
      <c r="Q634" s="1">
        <v>633</v>
      </c>
    </row>
    <row r="635" spans="1:17">
      <c r="A635" t="s">
        <v>86</v>
      </c>
      <c r="B635" t="str">
        <f>TEXT(Table1[[#This Row],[Date]],"MMMM")</f>
        <v>February</v>
      </c>
      <c r="C635" t="str">
        <f>TEXT(Table1[[#This Row],[Date]],"DDDD")</f>
        <v>Thursday</v>
      </c>
      <c r="D635" t="s">
        <v>27</v>
      </c>
      <c r="E635" t="s">
        <v>53</v>
      </c>
      <c r="F635" t="s">
        <v>41</v>
      </c>
      <c r="G635" t="s">
        <v>37</v>
      </c>
      <c r="H635" t="s">
        <v>31</v>
      </c>
      <c r="I635" t="s">
        <v>32</v>
      </c>
      <c r="J635" s="3">
        <v>85000</v>
      </c>
      <c r="K635">
        <v>4</v>
      </c>
      <c r="L635" t="s">
        <v>47</v>
      </c>
      <c r="M635" s="3">
        <v>68000</v>
      </c>
      <c r="N635" s="3">
        <f>Table1[[#This Row],[Unit Price]]*Table1[[#This Row],[Quantity]]</f>
        <v>340000</v>
      </c>
      <c r="O635" s="3">
        <f>Table1[[#This Row],[Cost Price]]*Table1[[#This Row],[Quantity]]</f>
        <v>272000</v>
      </c>
      <c r="P635" s="3">
        <f>Table1[[#This Row],[Revenue]]-Table1[[#This Row],[COGS]]</f>
        <v>68000</v>
      </c>
      <c r="Q635" s="1">
        <v>634</v>
      </c>
    </row>
    <row r="636" spans="1:17">
      <c r="A636" t="s">
        <v>117</v>
      </c>
      <c r="B636" t="str">
        <f>TEXT(Table1[[#This Row],[Date]],"MMMM")</f>
        <v>January</v>
      </c>
      <c r="C636" t="str">
        <f>TEXT(Table1[[#This Row],[Date]],"DDDD")</f>
        <v>Wednesday</v>
      </c>
      <c r="D636" t="s">
        <v>44</v>
      </c>
      <c r="E636" t="s">
        <v>45</v>
      </c>
      <c r="F636" t="s">
        <v>41</v>
      </c>
      <c r="G636" t="s">
        <v>30</v>
      </c>
      <c r="H636" t="s">
        <v>56</v>
      </c>
      <c r="I636" t="s">
        <v>32</v>
      </c>
      <c r="J636" s="3">
        <v>320000</v>
      </c>
      <c r="K636">
        <v>1</v>
      </c>
      <c r="L636" t="s">
        <v>69</v>
      </c>
      <c r="M636" s="3">
        <v>256000</v>
      </c>
      <c r="N636" s="3">
        <f>Table1[[#This Row],[Unit Price]]*Table1[[#This Row],[Quantity]]</f>
        <v>320000</v>
      </c>
      <c r="O636" s="3">
        <f>Table1[[#This Row],[Cost Price]]*Table1[[#This Row],[Quantity]]</f>
        <v>256000</v>
      </c>
      <c r="P636" s="3">
        <f>Table1[[#This Row],[Revenue]]-Table1[[#This Row],[COGS]]</f>
        <v>64000</v>
      </c>
      <c r="Q636" s="1">
        <v>635</v>
      </c>
    </row>
    <row r="637" spans="1:17">
      <c r="A637" t="s">
        <v>63</v>
      </c>
      <c r="B637" t="str">
        <f>TEXT(Table1[[#This Row],[Date]],"MMMM")</f>
        <v>January</v>
      </c>
      <c r="C637" t="str">
        <f>TEXT(Table1[[#This Row],[Date]],"DDDD")</f>
        <v>Monday</v>
      </c>
      <c r="D637" t="s">
        <v>35</v>
      </c>
      <c r="E637" t="s">
        <v>53</v>
      </c>
      <c r="F637" t="s">
        <v>41</v>
      </c>
      <c r="G637" t="s">
        <v>37</v>
      </c>
      <c r="H637" t="s">
        <v>67</v>
      </c>
      <c r="I637" t="s">
        <v>51</v>
      </c>
      <c r="J637" s="3">
        <v>420000</v>
      </c>
      <c r="K637">
        <v>1</v>
      </c>
      <c r="L637" t="s">
        <v>58</v>
      </c>
      <c r="M637" s="3">
        <v>336000</v>
      </c>
      <c r="N637" s="3">
        <f>Table1[[#This Row],[Unit Price]]*Table1[[#This Row],[Quantity]]</f>
        <v>420000</v>
      </c>
      <c r="O637" s="3">
        <f>Table1[[#This Row],[Cost Price]]*Table1[[#This Row],[Quantity]]</f>
        <v>336000</v>
      </c>
      <c r="P637" s="3">
        <f>Table1[[#This Row],[Revenue]]-Table1[[#This Row],[COGS]]</f>
        <v>84000</v>
      </c>
      <c r="Q637" s="1">
        <v>636</v>
      </c>
    </row>
    <row r="638" spans="1:17">
      <c r="A638" t="s">
        <v>34</v>
      </c>
      <c r="B638" t="str">
        <f>TEXT(Table1[[#This Row],[Date]],"MMMM")</f>
        <v>April</v>
      </c>
      <c r="C638" t="str">
        <f>TEXT(Table1[[#This Row],[Date]],"DDDD")</f>
        <v>Tuesday</v>
      </c>
      <c r="D638" t="s">
        <v>44</v>
      </c>
      <c r="E638" t="s">
        <v>45</v>
      </c>
      <c r="F638" t="s">
        <v>41</v>
      </c>
      <c r="G638" t="s">
        <v>37</v>
      </c>
      <c r="H638" t="s">
        <v>67</v>
      </c>
      <c r="I638" t="s">
        <v>51</v>
      </c>
      <c r="J638" s="3">
        <v>420000</v>
      </c>
      <c r="K638">
        <v>6</v>
      </c>
      <c r="L638" t="s">
        <v>42</v>
      </c>
      <c r="M638" s="3">
        <v>336000</v>
      </c>
      <c r="N638" s="3">
        <f>Table1[[#This Row],[Unit Price]]*Table1[[#This Row],[Quantity]]</f>
        <v>2520000</v>
      </c>
      <c r="O638" s="3">
        <f>Table1[[#This Row],[Cost Price]]*Table1[[#This Row],[Quantity]]</f>
        <v>2016000</v>
      </c>
      <c r="P638" s="3">
        <f>Table1[[#This Row],[Revenue]]-Table1[[#This Row],[COGS]]</f>
        <v>504000</v>
      </c>
      <c r="Q638" s="1">
        <v>637</v>
      </c>
    </row>
    <row r="639" spans="1:17">
      <c r="A639" t="s">
        <v>136</v>
      </c>
      <c r="B639" t="str">
        <f>TEXT(Table1[[#This Row],[Date]],"MMMM")</f>
        <v>February</v>
      </c>
      <c r="C639" t="str">
        <f>TEXT(Table1[[#This Row],[Date]],"DDDD")</f>
        <v>Saturday</v>
      </c>
      <c r="D639" t="s">
        <v>49</v>
      </c>
      <c r="E639" t="s">
        <v>36</v>
      </c>
      <c r="F639" t="s">
        <v>41</v>
      </c>
      <c r="G639" t="s">
        <v>30</v>
      </c>
      <c r="H639" t="s">
        <v>46</v>
      </c>
      <c r="I639" t="s">
        <v>39</v>
      </c>
      <c r="J639" s="3">
        <v>60000</v>
      </c>
      <c r="K639">
        <v>8</v>
      </c>
      <c r="L639" t="s">
        <v>65</v>
      </c>
      <c r="M639" s="3">
        <v>48000</v>
      </c>
      <c r="N639" s="3">
        <f>Table1[[#This Row],[Unit Price]]*Table1[[#This Row],[Quantity]]</f>
        <v>480000</v>
      </c>
      <c r="O639" s="3">
        <f>Table1[[#This Row],[Cost Price]]*Table1[[#This Row],[Quantity]]</f>
        <v>384000</v>
      </c>
      <c r="P639" s="3">
        <f>Table1[[#This Row],[Revenue]]-Table1[[#This Row],[COGS]]</f>
        <v>96000</v>
      </c>
      <c r="Q639" s="1">
        <v>638</v>
      </c>
    </row>
    <row r="640" spans="1:17">
      <c r="A640" t="s">
        <v>139</v>
      </c>
      <c r="B640" t="str">
        <f>TEXT(Table1[[#This Row],[Date]],"MMMM")</f>
        <v>January</v>
      </c>
      <c r="C640" t="str">
        <f>TEXT(Table1[[#This Row],[Date]],"DDDD")</f>
        <v>Monday</v>
      </c>
      <c r="D640" t="s">
        <v>35</v>
      </c>
      <c r="E640" t="s">
        <v>28</v>
      </c>
      <c r="F640" t="s">
        <v>41</v>
      </c>
      <c r="G640" t="s">
        <v>37</v>
      </c>
      <c r="H640" t="s">
        <v>73</v>
      </c>
      <c r="I640" t="s">
        <v>39</v>
      </c>
      <c r="J640" s="3">
        <v>220000</v>
      </c>
      <c r="K640">
        <v>7</v>
      </c>
      <c r="L640" t="s">
        <v>33</v>
      </c>
      <c r="M640" s="3">
        <v>176000</v>
      </c>
      <c r="N640" s="3">
        <f>Table1[[#This Row],[Unit Price]]*Table1[[#This Row],[Quantity]]</f>
        <v>1540000</v>
      </c>
      <c r="O640" s="3">
        <f>Table1[[#This Row],[Cost Price]]*Table1[[#This Row],[Quantity]]</f>
        <v>1232000</v>
      </c>
      <c r="P640" s="3">
        <f>Table1[[#This Row],[Revenue]]-Table1[[#This Row],[COGS]]</f>
        <v>308000</v>
      </c>
      <c r="Q640" s="1">
        <v>639</v>
      </c>
    </row>
    <row r="641" spans="1:17">
      <c r="A641" t="s">
        <v>77</v>
      </c>
      <c r="B641" t="str">
        <f>TEXT(Table1[[#This Row],[Date]],"MMMM")</f>
        <v>April</v>
      </c>
      <c r="C641" t="str">
        <f>TEXT(Table1[[#This Row],[Date]],"DDDD")</f>
        <v>Friday</v>
      </c>
      <c r="D641" t="s">
        <v>44</v>
      </c>
      <c r="E641" t="s">
        <v>28</v>
      </c>
      <c r="F641" t="s">
        <v>41</v>
      </c>
      <c r="G641" t="s">
        <v>30</v>
      </c>
      <c r="H641" t="s">
        <v>56</v>
      </c>
      <c r="I641" t="s">
        <v>32</v>
      </c>
      <c r="J641" s="3">
        <v>320000</v>
      </c>
      <c r="K641">
        <v>9</v>
      </c>
      <c r="L641" t="s">
        <v>58</v>
      </c>
      <c r="M641" s="3">
        <v>256000</v>
      </c>
      <c r="N641" s="3">
        <f>Table1[[#This Row],[Unit Price]]*Table1[[#This Row],[Quantity]]</f>
        <v>2880000</v>
      </c>
      <c r="O641" s="3">
        <f>Table1[[#This Row],[Cost Price]]*Table1[[#This Row],[Quantity]]</f>
        <v>2304000</v>
      </c>
      <c r="P641" s="3">
        <f>Table1[[#This Row],[Revenue]]-Table1[[#This Row],[COGS]]</f>
        <v>576000</v>
      </c>
      <c r="Q641" s="1">
        <v>640</v>
      </c>
    </row>
    <row r="642" spans="1:17">
      <c r="A642" t="s">
        <v>95</v>
      </c>
      <c r="B642" t="str">
        <f>TEXT(Table1[[#This Row],[Date]],"MMMM")</f>
        <v>February</v>
      </c>
      <c r="C642" t="str">
        <f>TEXT(Table1[[#This Row],[Date]],"DDDD")</f>
        <v>Saturday</v>
      </c>
      <c r="D642" t="s">
        <v>27</v>
      </c>
      <c r="E642" t="s">
        <v>53</v>
      </c>
      <c r="F642" t="s">
        <v>41</v>
      </c>
      <c r="G642" t="s">
        <v>37</v>
      </c>
      <c r="H642" t="s">
        <v>50</v>
      </c>
      <c r="I642" t="s">
        <v>51</v>
      </c>
      <c r="J642" s="3">
        <v>300000</v>
      </c>
      <c r="K642">
        <v>2</v>
      </c>
      <c r="L642" t="s">
        <v>65</v>
      </c>
      <c r="M642" s="3">
        <v>240000</v>
      </c>
      <c r="N642" s="3">
        <f>Table1[[#This Row],[Unit Price]]*Table1[[#This Row],[Quantity]]</f>
        <v>600000</v>
      </c>
      <c r="O642" s="3">
        <f>Table1[[#This Row],[Cost Price]]*Table1[[#This Row],[Quantity]]</f>
        <v>480000</v>
      </c>
      <c r="P642" s="3">
        <f>Table1[[#This Row],[Revenue]]-Table1[[#This Row],[COGS]]</f>
        <v>120000</v>
      </c>
      <c r="Q642" s="1">
        <v>641</v>
      </c>
    </row>
    <row r="643" spans="1:17">
      <c r="A643" t="s">
        <v>64</v>
      </c>
      <c r="B643" t="str">
        <f>TEXT(Table1[[#This Row],[Date]],"MMMM")</f>
        <v>April</v>
      </c>
      <c r="C643" t="str">
        <f>TEXT(Table1[[#This Row],[Date]],"DDDD")</f>
        <v>Saturday</v>
      </c>
      <c r="D643" t="s">
        <v>44</v>
      </c>
      <c r="E643" t="s">
        <v>28</v>
      </c>
      <c r="F643" t="s">
        <v>41</v>
      </c>
      <c r="G643" t="s">
        <v>30</v>
      </c>
      <c r="H643" t="s">
        <v>71</v>
      </c>
      <c r="I643" t="s">
        <v>51</v>
      </c>
      <c r="J643" s="3">
        <v>250000</v>
      </c>
      <c r="K643">
        <v>4</v>
      </c>
      <c r="L643" t="s">
        <v>65</v>
      </c>
      <c r="M643" s="3">
        <v>200000</v>
      </c>
      <c r="N643" s="3">
        <f>Table1[[#This Row],[Unit Price]]*Table1[[#This Row],[Quantity]]</f>
        <v>1000000</v>
      </c>
      <c r="O643" s="3">
        <f>Table1[[#This Row],[Cost Price]]*Table1[[#This Row],[Quantity]]</f>
        <v>800000</v>
      </c>
      <c r="P643" s="3">
        <f>Table1[[#This Row],[Revenue]]-Table1[[#This Row],[COGS]]</f>
        <v>200000</v>
      </c>
      <c r="Q643" s="1">
        <v>642</v>
      </c>
    </row>
    <row r="644" spans="1:17">
      <c r="A644" t="s">
        <v>86</v>
      </c>
      <c r="B644" t="str">
        <f>TEXT(Table1[[#This Row],[Date]],"MMMM")</f>
        <v>February</v>
      </c>
      <c r="C644" t="str">
        <f>TEXT(Table1[[#This Row],[Date]],"DDDD")</f>
        <v>Thursday</v>
      </c>
      <c r="D644" t="s">
        <v>49</v>
      </c>
      <c r="E644" t="s">
        <v>36</v>
      </c>
      <c r="F644" t="s">
        <v>29</v>
      </c>
      <c r="G644" t="s">
        <v>30</v>
      </c>
      <c r="H644" t="s">
        <v>38</v>
      </c>
      <c r="I644" t="s">
        <v>39</v>
      </c>
      <c r="J644" s="3">
        <v>30000</v>
      </c>
      <c r="K644">
        <v>4</v>
      </c>
      <c r="L644" t="s">
        <v>65</v>
      </c>
      <c r="M644" s="3">
        <v>24000</v>
      </c>
      <c r="N644" s="3">
        <f>Table1[[#This Row],[Unit Price]]*Table1[[#This Row],[Quantity]]</f>
        <v>120000</v>
      </c>
      <c r="O644" s="3">
        <f>Table1[[#This Row],[Cost Price]]*Table1[[#This Row],[Quantity]]</f>
        <v>96000</v>
      </c>
      <c r="P644" s="3">
        <f>Table1[[#This Row],[Revenue]]-Table1[[#This Row],[COGS]]</f>
        <v>24000</v>
      </c>
      <c r="Q644" s="1">
        <v>643</v>
      </c>
    </row>
    <row r="645" spans="1:17">
      <c r="A645" t="s">
        <v>159</v>
      </c>
      <c r="B645" t="str">
        <f>TEXT(Table1[[#This Row],[Date]],"MMMM")</f>
        <v>February</v>
      </c>
      <c r="C645" t="str">
        <f>TEXT(Table1[[#This Row],[Date]],"DDDD")</f>
        <v>Sunday</v>
      </c>
      <c r="D645" t="s">
        <v>27</v>
      </c>
      <c r="E645" t="s">
        <v>36</v>
      </c>
      <c r="F645" t="s">
        <v>29</v>
      </c>
      <c r="G645" t="s">
        <v>37</v>
      </c>
      <c r="H645" t="s">
        <v>73</v>
      </c>
      <c r="I645" t="s">
        <v>39</v>
      </c>
      <c r="J645" s="3">
        <v>220000</v>
      </c>
      <c r="K645">
        <v>4</v>
      </c>
      <c r="L645" t="s">
        <v>33</v>
      </c>
      <c r="M645" s="3">
        <v>176000</v>
      </c>
      <c r="N645" s="3">
        <f>Table1[[#This Row],[Unit Price]]*Table1[[#This Row],[Quantity]]</f>
        <v>880000</v>
      </c>
      <c r="O645" s="3">
        <f>Table1[[#This Row],[Cost Price]]*Table1[[#This Row],[Quantity]]</f>
        <v>704000</v>
      </c>
      <c r="P645" s="3">
        <f>Table1[[#This Row],[Revenue]]-Table1[[#This Row],[COGS]]</f>
        <v>176000</v>
      </c>
      <c r="Q645" s="1">
        <v>644</v>
      </c>
    </row>
    <row r="646" spans="1:17">
      <c r="A646" t="s">
        <v>52</v>
      </c>
      <c r="B646" t="str">
        <f>TEXT(Table1[[#This Row],[Date]],"MMMM")</f>
        <v>March</v>
      </c>
      <c r="C646" t="str">
        <f>TEXT(Table1[[#This Row],[Date]],"DDDD")</f>
        <v>Saturday</v>
      </c>
      <c r="D646" t="s">
        <v>49</v>
      </c>
      <c r="E646" t="s">
        <v>53</v>
      </c>
      <c r="F646" t="s">
        <v>29</v>
      </c>
      <c r="G646" t="s">
        <v>37</v>
      </c>
      <c r="H646" t="s">
        <v>50</v>
      </c>
      <c r="I646" t="s">
        <v>51</v>
      </c>
      <c r="J646" s="3">
        <v>300000</v>
      </c>
      <c r="K646">
        <v>2</v>
      </c>
      <c r="L646" t="s">
        <v>65</v>
      </c>
      <c r="M646" s="3">
        <v>240000</v>
      </c>
      <c r="N646" s="3">
        <f>Table1[[#This Row],[Unit Price]]*Table1[[#This Row],[Quantity]]</f>
        <v>600000</v>
      </c>
      <c r="O646" s="3">
        <f>Table1[[#This Row],[Cost Price]]*Table1[[#This Row],[Quantity]]</f>
        <v>480000</v>
      </c>
      <c r="P646" s="3">
        <f>Table1[[#This Row],[Revenue]]-Table1[[#This Row],[COGS]]</f>
        <v>120000</v>
      </c>
      <c r="Q646" s="1">
        <v>645</v>
      </c>
    </row>
    <row r="647" spans="1:17">
      <c r="A647" t="s">
        <v>102</v>
      </c>
      <c r="B647" t="str">
        <f>TEXT(Table1[[#This Row],[Date]],"MMMM")</f>
        <v>March</v>
      </c>
      <c r="C647" t="str">
        <f>TEXT(Table1[[#This Row],[Date]],"DDDD")</f>
        <v>Wednesday</v>
      </c>
      <c r="D647" t="s">
        <v>44</v>
      </c>
      <c r="E647" t="s">
        <v>36</v>
      </c>
      <c r="F647" t="s">
        <v>29</v>
      </c>
      <c r="G647" t="s">
        <v>30</v>
      </c>
      <c r="H647" t="s">
        <v>56</v>
      </c>
      <c r="I647" t="s">
        <v>32</v>
      </c>
      <c r="J647" s="3">
        <v>320000</v>
      </c>
      <c r="K647">
        <v>7</v>
      </c>
      <c r="L647" t="s">
        <v>42</v>
      </c>
      <c r="M647" s="3">
        <v>256000</v>
      </c>
      <c r="N647" s="3">
        <f>Table1[[#This Row],[Unit Price]]*Table1[[#This Row],[Quantity]]</f>
        <v>2240000</v>
      </c>
      <c r="O647" s="3">
        <f>Table1[[#This Row],[Cost Price]]*Table1[[#This Row],[Quantity]]</f>
        <v>1792000</v>
      </c>
      <c r="P647" s="3">
        <f>Table1[[#This Row],[Revenue]]-Table1[[#This Row],[COGS]]</f>
        <v>448000</v>
      </c>
      <c r="Q647" s="1">
        <v>646</v>
      </c>
    </row>
    <row r="648" spans="1:17">
      <c r="A648" t="s">
        <v>173</v>
      </c>
      <c r="B648" t="str">
        <f>TEXT(Table1[[#This Row],[Date]],"MMMM")</f>
        <v>March</v>
      </c>
      <c r="C648" t="str">
        <f>TEXT(Table1[[#This Row],[Date]],"DDDD")</f>
        <v>Saturday</v>
      </c>
      <c r="D648" t="s">
        <v>35</v>
      </c>
      <c r="E648" t="s">
        <v>53</v>
      </c>
      <c r="F648" t="s">
        <v>41</v>
      </c>
      <c r="G648" t="s">
        <v>30</v>
      </c>
      <c r="H648" t="s">
        <v>46</v>
      </c>
      <c r="I648" t="s">
        <v>39</v>
      </c>
      <c r="J648" s="3">
        <v>60000</v>
      </c>
      <c r="K648">
        <v>5</v>
      </c>
      <c r="L648" t="s">
        <v>47</v>
      </c>
      <c r="M648" s="3">
        <v>48000</v>
      </c>
      <c r="N648" s="3">
        <f>Table1[[#This Row],[Unit Price]]*Table1[[#This Row],[Quantity]]</f>
        <v>300000</v>
      </c>
      <c r="O648" s="3">
        <f>Table1[[#This Row],[Cost Price]]*Table1[[#This Row],[Quantity]]</f>
        <v>240000</v>
      </c>
      <c r="P648" s="3">
        <f>Table1[[#This Row],[Revenue]]-Table1[[#This Row],[COGS]]</f>
        <v>60000</v>
      </c>
      <c r="Q648" s="1">
        <v>647</v>
      </c>
    </row>
    <row r="649" spans="1:17">
      <c r="A649" t="s">
        <v>80</v>
      </c>
      <c r="B649" t="str">
        <f>TEXT(Table1[[#This Row],[Date]],"MMMM")</f>
        <v>February</v>
      </c>
      <c r="C649" t="str">
        <f>TEXT(Table1[[#This Row],[Date]],"DDDD")</f>
        <v>Sunday</v>
      </c>
      <c r="D649" t="s">
        <v>44</v>
      </c>
      <c r="E649" t="s">
        <v>45</v>
      </c>
      <c r="F649" t="s">
        <v>29</v>
      </c>
      <c r="G649" t="s">
        <v>30</v>
      </c>
      <c r="H649" t="s">
        <v>31</v>
      </c>
      <c r="I649" t="s">
        <v>32</v>
      </c>
      <c r="J649" s="3">
        <v>85000</v>
      </c>
      <c r="K649">
        <v>7</v>
      </c>
      <c r="L649" t="s">
        <v>58</v>
      </c>
      <c r="M649" s="3">
        <v>68000</v>
      </c>
      <c r="N649" s="3">
        <f>Table1[[#This Row],[Unit Price]]*Table1[[#This Row],[Quantity]]</f>
        <v>595000</v>
      </c>
      <c r="O649" s="3">
        <f>Table1[[#This Row],[Cost Price]]*Table1[[#This Row],[Quantity]]</f>
        <v>476000</v>
      </c>
      <c r="P649" s="3">
        <f>Table1[[#This Row],[Revenue]]-Table1[[#This Row],[COGS]]</f>
        <v>119000</v>
      </c>
      <c r="Q649" s="1">
        <v>648</v>
      </c>
    </row>
    <row r="650" spans="1:17">
      <c r="A650" t="s">
        <v>102</v>
      </c>
      <c r="B650" t="str">
        <f>TEXT(Table1[[#This Row],[Date]],"MMMM")</f>
        <v>March</v>
      </c>
      <c r="C650" t="str">
        <f>TEXT(Table1[[#This Row],[Date]],"DDDD")</f>
        <v>Wednesday</v>
      </c>
      <c r="D650" t="s">
        <v>27</v>
      </c>
      <c r="E650" t="s">
        <v>36</v>
      </c>
      <c r="F650" t="s">
        <v>29</v>
      </c>
      <c r="G650" t="s">
        <v>37</v>
      </c>
      <c r="H650" t="s">
        <v>50</v>
      </c>
      <c r="I650" t="s">
        <v>51</v>
      </c>
      <c r="J650" s="3">
        <v>300000</v>
      </c>
      <c r="K650">
        <v>6</v>
      </c>
      <c r="L650" t="s">
        <v>69</v>
      </c>
      <c r="M650" s="3">
        <v>240000</v>
      </c>
      <c r="N650" s="3">
        <f>Table1[[#This Row],[Unit Price]]*Table1[[#This Row],[Quantity]]</f>
        <v>1800000</v>
      </c>
      <c r="O650" s="3">
        <f>Table1[[#This Row],[Cost Price]]*Table1[[#This Row],[Quantity]]</f>
        <v>1440000</v>
      </c>
      <c r="P650" s="3">
        <f>Table1[[#This Row],[Revenue]]-Table1[[#This Row],[COGS]]</f>
        <v>360000</v>
      </c>
      <c r="Q650" s="1">
        <v>649</v>
      </c>
    </row>
    <row r="651" spans="1:17">
      <c r="A651" t="s">
        <v>105</v>
      </c>
      <c r="B651" t="str">
        <f>TEXT(Table1[[#This Row],[Date]],"MMMM")</f>
        <v>March</v>
      </c>
      <c r="C651" t="str">
        <f>TEXT(Table1[[#This Row],[Date]],"DDDD")</f>
        <v>Friday</v>
      </c>
      <c r="D651" t="s">
        <v>35</v>
      </c>
      <c r="E651" t="s">
        <v>45</v>
      </c>
      <c r="F651" t="s">
        <v>41</v>
      </c>
      <c r="G651" t="s">
        <v>30</v>
      </c>
      <c r="H651" t="s">
        <v>54</v>
      </c>
      <c r="I651" t="s">
        <v>39</v>
      </c>
      <c r="J651" s="3">
        <v>180000</v>
      </c>
      <c r="K651">
        <v>5</v>
      </c>
      <c r="L651" t="s">
        <v>47</v>
      </c>
      <c r="M651" s="3">
        <v>144000</v>
      </c>
      <c r="N651" s="3">
        <f>Table1[[#This Row],[Unit Price]]*Table1[[#This Row],[Quantity]]</f>
        <v>900000</v>
      </c>
      <c r="O651" s="3">
        <f>Table1[[#This Row],[Cost Price]]*Table1[[#This Row],[Quantity]]</f>
        <v>720000</v>
      </c>
      <c r="P651" s="3">
        <f>Table1[[#This Row],[Revenue]]-Table1[[#This Row],[COGS]]</f>
        <v>180000</v>
      </c>
      <c r="Q651" s="1">
        <v>650</v>
      </c>
    </row>
    <row r="652" spans="1:17">
      <c r="A652" t="s">
        <v>137</v>
      </c>
      <c r="B652" t="str">
        <f>TEXT(Table1[[#This Row],[Date]],"MMMM")</f>
        <v>April</v>
      </c>
      <c r="C652" t="str">
        <f>TEXT(Table1[[#This Row],[Date]],"DDDD")</f>
        <v>Wednesday</v>
      </c>
      <c r="D652" t="s">
        <v>35</v>
      </c>
      <c r="E652" t="s">
        <v>36</v>
      </c>
      <c r="F652" t="s">
        <v>41</v>
      </c>
      <c r="G652" t="s">
        <v>37</v>
      </c>
      <c r="H652" t="s">
        <v>50</v>
      </c>
      <c r="I652" t="s">
        <v>51</v>
      </c>
      <c r="J652" s="3">
        <v>300000</v>
      </c>
      <c r="K652">
        <v>1</v>
      </c>
      <c r="L652" t="s">
        <v>65</v>
      </c>
      <c r="M652" s="3">
        <v>240000</v>
      </c>
      <c r="N652" s="3">
        <f>Table1[[#This Row],[Unit Price]]*Table1[[#This Row],[Quantity]]</f>
        <v>300000</v>
      </c>
      <c r="O652" s="3">
        <f>Table1[[#This Row],[Cost Price]]*Table1[[#This Row],[Quantity]]</f>
        <v>240000</v>
      </c>
      <c r="P652" s="3">
        <f>Table1[[#This Row],[Revenue]]-Table1[[#This Row],[COGS]]</f>
        <v>60000</v>
      </c>
      <c r="Q652" s="1">
        <v>651</v>
      </c>
    </row>
    <row r="653" spans="1:17">
      <c r="A653" t="s">
        <v>60</v>
      </c>
      <c r="B653" t="str">
        <f>TEXT(Table1[[#This Row],[Date]],"MMMM")</f>
        <v>March</v>
      </c>
      <c r="C653" t="str">
        <f>TEXT(Table1[[#This Row],[Date]],"DDDD")</f>
        <v>Wednesday</v>
      </c>
      <c r="D653" t="s">
        <v>27</v>
      </c>
      <c r="E653" t="s">
        <v>28</v>
      </c>
      <c r="F653" t="s">
        <v>29</v>
      </c>
      <c r="G653" t="s">
        <v>37</v>
      </c>
      <c r="H653" t="s">
        <v>46</v>
      </c>
      <c r="I653" t="s">
        <v>39</v>
      </c>
      <c r="J653" s="3">
        <v>60000</v>
      </c>
      <c r="K653">
        <v>7</v>
      </c>
      <c r="L653" t="s">
        <v>42</v>
      </c>
      <c r="M653" s="3">
        <v>48000</v>
      </c>
      <c r="N653" s="3">
        <f>Table1[[#This Row],[Unit Price]]*Table1[[#This Row],[Quantity]]</f>
        <v>420000</v>
      </c>
      <c r="O653" s="3">
        <f>Table1[[#This Row],[Cost Price]]*Table1[[#This Row],[Quantity]]</f>
        <v>336000</v>
      </c>
      <c r="P653" s="3">
        <f>Table1[[#This Row],[Revenue]]-Table1[[#This Row],[COGS]]</f>
        <v>84000</v>
      </c>
      <c r="Q653" s="1">
        <v>652</v>
      </c>
    </row>
    <row r="654" spans="1:17">
      <c r="A654" t="s">
        <v>170</v>
      </c>
      <c r="B654" t="str">
        <f>TEXT(Table1[[#This Row],[Date]],"MMMM")</f>
        <v>January</v>
      </c>
      <c r="C654" t="str">
        <f>TEXT(Table1[[#This Row],[Date]],"DDDD")</f>
        <v>Sunday</v>
      </c>
      <c r="D654" t="s">
        <v>44</v>
      </c>
      <c r="E654" t="s">
        <v>45</v>
      </c>
      <c r="F654" t="s">
        <v>29</v>
      </c>
      <c r="G654" t="s">
        <v>30</v>
      </c>
      <c r="H654" t="s">
        <v>38</v>
      </c>
      <c r="I654" t="s">
        <v>39</v>
      </c>
      <c r="J654" s="3">
        <v>30000</v>
      </c>
      <c r="K654">
        <v>8</v>
      </c>
      <c r="L654" t="s">
        <v>47</v>
      </c>
      <c r="M654" s="3">
        <v>24000</v>
      </c>
      <c r="N654" s="3">
        <f>Table1[[#This Row],[Unit Price]]*Table1[[#This Row],[Quantity]]</f>
        <v>240000</v>
      </c>
      <c r="O654" s="3">
        <f>Table1[[#This Row],[Cost Price]]*Table1[[#This Row],[Quantity]]</f>
        <v>192000</v>
      </c>
      <c r="P654" s="3">
        <f>Table1[[#This Row],[Revenue]]-Table1[[#This Row],[COGS]]</f>
        <v>48000</v>
      </c>
      <c r="Q654" s="1">
        <v>653</v>
      </c>
    </row>
    <row r="655" spans="1:17">
      <c r="A655" t="s">
        <v>157</v>
      </c>
      <c r="B655" t="str">
        <f>TEXT(Table1[[#This Row],[Date]],"MMMM")</f>
        <v>April</v>
      </c>
      <c r="C655" t="str">
        <f>TEXT(Table1[[#This Row],[Date]],"DDDD")</f>
        <v>Tuesday</v>
      </c>
      <c r="D655" t="s">
        <v>27</v>
      </c>
      <c r="E655" t="s">
        <v>36</v>
      </c>
      <c r="F655" t="s">
        <v>41</v>
      </c>
      <c r="G655" t="s">
        <v>30</v>
      </c>
      <c r="H655" t="s">
        <v>73</v>
      </c>
      <c r="I655" t="s">
        <v>39</v>
      </c>
      <c r="J655" s="3">
        <v>220000</v>
      </c>
      <c r="K655">
        <v>3</v>
      </c>
      <c r="L655" t="s">
        <v>58</v>
      </c>
      <c r="M655" s="3">
        <v>176000</v>
      </c>
      <c r="N655" s="3">
        <f>Table1[[#This Row],[Unit Price]]*Table1[[#This Row],[Quantity]]</f>
        <v>660000</v>
      </c>
      <c r="O655" s="3">
        <f>Table1[[#This Row],[Cost Price]]*Table1[[#This Row],[Quantity]]</f>
        <v>528000</v>
      </c>
      <c r="P655" s="3">
        <f>Table1[[#This Row],[Revenue]]-Table1[[#This Row],[COGS]]</f>
        <v>132000</v>
      </c>
      <c r="Q655" s="1">
        <v>654</v>
      </c>
    </row>
    <row r="656" spans="1:17">
      <c r="A656" t="s">
        <v>99</v>
      </c>
      <c r="B656" t="str">
        <f>TEXT(Table1[[#This Row],[Date]],"MMMM")</f>
        <v>April</v>
      </c>
      <c r="C656" t="str">
        <f>TEXT(Table1[[#This Row],[Date]],"DDDD")</f>
        <v>Sunday</v>
      </c>
      <c r="D656" t="s">
        <v>44</v>
      </c>
      <c r="E656" t="s">
        <v>36</v>
      </c>
      <c r="F656" t="s">
        <v>41</v>
      </c>
      <c r="G656" t="s">
        <v>30</v>
      </c>
      <c r="H656" t="s">
        <v>73</v>
      </c>
      <c r="I656" t="s">
        <v>39</v>
      </c>
      <c r="J656" s="3">
        <v>220000</v>
      </c>
      <c r="K656">
        <v>7</v>
      </c>
      <c r="L656" t="s">
        <v>58</v>
      </c>
      <c r="M656" s="3">
        <v>176000</v>
      </c>
      <c r="N656" s="3">
        <f>Table1[[#This Row],[Unit Price]]*Table1[[#This Row],[Quantity]]</f>
        <v>1540000</v>
      </c>
      <c r="O656" s="3">
        <f>Table1[[#This Row],[Cost Price]]*Table1[[#This Row],[Quantity]]</f>
        <v>1232000</v>
      </c>
      <c r="P656" s="3">
        <f>Table1[[#This Row],[Revenue]]-Table1[[#This Row],[COGS]]</f>
        <v>308000</v>
      </c>
      <c r="Q656" s="1">
        <v>655</v>
      </c>
    </row>
    <row r="657" spans="1:17">
      <c r="A657" t="s">
        <v>118</v>
      </c>
      <c r="B657" t="str">
        <f>TEXT(Table1[[#This Row],[Date]],"MMMM")</f>
        <v>March</v>
      </c>
      <c r="C657" t="str">
        <f>TEXT(Table1[[#This Row],[Date]],"DDDD")</f>
        <v>Tuesday</v>
      </c>
      <c r="D657" t="s">
        <v>49</v>
      </c>
      <c r="E657" t="s">
        <v>28</v>
      </c>
      <c r="F657" t="s">
        <v>29</v>
      </c>
      <c r="G657" t="s">
        <v>37</v>
      </c>
      <c r="H657" t="s">
        <v>54</v>
      </c>
      <c r="I657" t="s">
        <v>39</v>
      </c>
      <c r="J657" s="3">
        <v>180000</v>
      </c>
      <c r="K657">
        <v>2</v>
      </c>
      <c r="L657" t="s">
        <v>42</v>
      </c>
      <c r="M657" s="3">
        <v>144000</v>
      </c>
      <c r="N657" s="3">
        <f>Table1[[#This Row],[Unit Price]]*Table1[[#This Row],[Quantity]]</f>
        <v>360000</v>
      </c>
      <c r="O657" s="3">
        <f>Table1[[#This Row],[Cost Price]]*Table1[[#This Row],[Quantity]]</f>
        <v>288000</v>
      </c>
      <c r="P657" s="3">
        <f>Table1[[#This Row],[Revenue]]-Table1[[#This Row],[COGS]]</f>
        <v>72000</v>
      </c>
      <c r="Q657" s="1">
        <v>656</v>
      </c>
    </row>
    <row r="658" spans="1:17">
      <c r="A658" t="s">
        <v>55</v>
      </c>
      <c r="B658" t="str">
        <f>TEXT(Table1[[#This Row],[Date]],"MMMM")</f>
        <v>March</v>
      </c>
      <c r="C658" t="str">
        <f>TEXT(Table1[[#This Row],[Date]],"DDDD")</f>
        <v>Sunday</v>
      </c>
      <c r="D658" t="s">
        <v>27</v>
      </c>
      <c r="E658" t="s">
        <v>45</v>
      </c>
      <c r="F658" t="s">
        <v>29</v>
      </c>
      <c r="G658" t="s">
        <v>37</v>
      </c>
      <c r="H658" t="s">
        <v>46</v>
      </c>
      <c r="I658" t="s">
        <v>39</v>
      </c>
      <c r="J658" s="3">
        <v>60000</v>
      </c>
      <c r="K658">
        <v>8</v>
      </c>
      <c r="L658" t="s">
        <v>65</v>
      </c>
      <c r="M658" s="3">
        <v>48000</v>
      </c>
      <c r="N658" s="3">
        <f>Table1[[#This Row],[Unit Price]]*Table1[[#This Row],[Quantity]]</f>
        <v>480000</v>
      </c>
      <c r="O658" s="3">
        <f>Table1[[#This Row],[Cost Price]]*Table1[[#This Row],[Quantity]]</f>
        <v>384000</v>
      </c>
      <c r="P658" s="3">
        <f>Table1[[#This Row],[Revenue]]-Table1[[#This Row],[COGS]]</f>
        <v>96000</v>
      </c>
      <c r="Q658" s="1">
        <v>657</v>
      </c>
    </row>
    <row r="659" spans="1:17">
      <c r="A659" t="s">
        <v>84</v>
      </c>
      <c r="B659" t="str">
        <f>TEXT(Table1[[#This Row],[Date]],"MMMM")</f>
        <v>January</v>
      </c>
      <c r="C659" t="str">
        <f>TEXT(Table1[[#This Row],[Date]],"DDDD")</f>
        <v>Wednesday</v>
      </c>
      <c r="D659" t="s">
        <v>49</v>
      </c>
      <c r="E659" t="s">
        <v>36</v>
      </c>
      <c r="F659" t="s">
        <v>29</v>
      </c>
      <c r="G659" t="s">
        <v>30</v>
      </c>
      <c r="H659" t="s">
        <v>38</v>
      </c>
      <c r="I659" t="s">
        <v>39</v>
      </c>
      <c r="J659" s="3">
        <v>30000</v>
      </c>
      <c r="K659">
        <v>2</v>
      </c>
      <c r="L659" t="s">
        <v>58</v>
      </c>
      <c r="M659" s="3">
        <v>24000</v>
      </c>
      <c r="N659" s="3">
        <f>Table1[[#This Row],[Unit Price]]*Table1[[#This Row],[Quantity]]</f>
        <v>60000</v>
      </c>
      <c r="O659" s="3">
        <f>Table1[[#This Row],[Cost Price]]*Table1[[#This Row],[Quantity]]</f>
        <v>48000</v>
      </c>
      <c r="P659" s="3">
        <f>Table1[[#This Row],[Revenue]]-Table1[[#This Row],[COGS]]</f>
        <v>12000</v>
      </c>
      <c r="Q659" s="1">
        <v>658</v>
      </c>
    </row>
    <row r="660" spans="1:17">
      <c r="A660" t="s">
        <v>97</v>
      </c>
      <c r="B660" t="str">
        <f>TEXT(Table1[[#This Row],[Date]],"MMMM")</f>
        <v>January</v>
      </c>
      <c r="C660" t="str">
        <f>TEXT(Table1[[#This Row],[Date]],"DDDD")</f>
        <v>Sunday</v>
      </c>
      <c r="D660" t="s">
        <v>49</v>
      </c>
      <c r="E660" t="s">
        <v>36</v>
      </c>
      <c r="F660" t="s">
        <v>41</v>
      </c>
      <c r="G660" t="s">
        <v>30</v>
      </c>
      <c r="H660" t="s">
        <v>62</v>
      </c>
      <c r="I660" t="s">
        <v>51</v>
      </c>
      <c r="J660" s="3">
        <v>150000</v>
      </c>
      <c r="K660">
        <v>5</v>
      </c>
      <c r="L660" t="s">
        <v>58</v>
      </c>
      <c r="M660" s="3">
        <v>120000</v>
      </c>
      <c r="N660" s="3">
        <f>Table1[[#This Row],[Unit Price]]*Table1[[#This Row],[Quantity]]</f>
        <v>750000</v>
      </c>
      <c r="O660" s="3">
        <f>Table1[[#This Row],[Cost Price]]*Table1[[#This Row],[Quantity]]</f>
        <v>600000</v>
      </c>
      <c r="P660" s="3">
        <f>Table1[[#This Row],[Revenue]]-Table1[[#This Row],[COGS]]</f>
        <v>150000</v>
      </c>
      <c r="Q660" s="1">
        <v>659</v>
      </c>
    </row>
    <row r="661" spans="1:17">
      <c r="A661" t="s">
        <v>122</v>
      </c>
      <c r="B661" t="str">
        <f>TEXT(Table1[[#This Row],[Date]],"MMMM")</f>
        <v>March</v>
      </c>
      <c r="C661" t="str">
        <f>TEXT(Table1[[#This Row],[Date]],"DDDD")</f>
        <v>Thursday</v>
      </c>
      <c r="D661" t="s">
        <v>27</v>
      </c>
      <c r="E661" t="s">
        <v>36</v>
      </c>
      <c r="F661" t="s">
        <v>41</v>
      </c>
      <c r="G661" t="s">
        <v>37</v>
      </c>
      <c r="H661" t="s">
        <v>71</v>
      </c>
      <c r="I661" t="s">
        <v>51</v>
      </c>
      <c r="J661" s="3">
        <v>250000</v>
      </c>
      <c r="K661">
        <v>5</v>
      </c>
      <c r="L661" t="s">
        <v>58</v>
      </c>
      <c r="M661" s="3">
        <v>200000</v>
      </c>
      <c r="N661" s="3">
        <f>Table1[[#This Row],[Unit Price]]*Table1[[#This Row],[Quantity]]</f>
        <v>1250000</v>
      </c>
      <c r="O661" s="3">
        <f>Table1[[#This Row],[Cost Price]]*Table1[[#This Row],[Quantity]]</f>
        <v>1000000</v>
      </c>
      <c r="P661" s="3">
        <f>Table1[[#This Row],[Revenue]]-Table1[[#This Row],[COGS]]</f>
        <v>250000</v>
      </c>
      <c r="Q661" s="1">
        <v>660</v>
      </c>
    </row>
    <row r="662" spans="1:17">
      <c r="A662" t="s">
        <v>40</v>
      </c>
      <c r="B662" t="str">
        <f>TEXT(Table1[[#This Row],[Date]],"MMMM")</f>
        <v>February</v>
      </c>
      <c r="C662" t="str">
        <f>TEXT(Table1[[#This Row],[Date]],"DDDD")</f>
        <v>Thursday</v>
      </c>
      <c r="D662" t="s">
        <v>44</v>
      </c>
      <c r="E662" t="s">
        <v>28</v>
      </c>
      <c r="F662" t="s">
        <v>41</v>
      </c>
      <c r="G662" t="s">
        <v>30</v>
      </c>
      <c r="H662" t="s">
        <v>31</v>
      </c>
      <c r="I662" t="s">
        <v>32</v>
      </c>
      <c r="J662" s="3">
        <v>85000</v>
      </c>
      <c r="K662">
        <v>4</v>
      </c>
      <c r="L662" t="s">
        <v>42</v>
      </c>
      <c r="M662" s="3">
        <v>68000</v>
      </c>
      <c r="N662" s="3">
        <f>Table1[[#This Row],[Unit Price]]*Table1[[#This Row],[Quantity]]</f>
        <v>340000</v>
      </c>
      <c r="O662" s="3">
        <f>Table1[[#This Row],[Cost Price]]*Table1[[#This Row],[Quantity]]</f>
        <v>272000</v>
      </c>
      <c r="P662" s="3">
        <f>Table1[[#This Row],[Revenue]]-Table1[[#This Row],[COGS]]</f>
        <v>68000</v>
      </c>
      <c r="Q662" s="1">
        <v>661</v>
      </c>
    </row>
    <row r="663" spans="1:17">
      <c r="A663" t="s">
        <v>171</v>
      </c>
      <c r="B663" t="str">
        <f>TEXT(Table1[[#This Row],[Date]],"MMMM")</f>
        <v>March</v>
      </c>
      <c r="C663" t="str">
        <f>TEXT(Table1[[#This Row],[Date]],"DDDD")</f>
        <v>Monday</v>
      </c>
      <c r="D663" t="s">
        <v>27</v>
      </c>
      <c r="E663" t="s">
        <v>45</v>
      </c>
      <c r="F663" t="s">
        <v>29</v>
      </c>
      <c r="G663" t="s">
        <v>37</v>
      </c>
      <c r="H663" t="s">
        <v>50</v>
      </c>
      <c r="I663" t="s">
        <v>51</v>
      </c>
      <c r="J663" s="3">
        <v>300000</v>
      </c>
      <c r="K663">
        <v>10</v>
      </c>
      <c r="L663" t="s">
        <v>42</v>
      </c>
      <c r="M663" s="3">
        <v>240000</v>
      </c>
      <c r="N663" s="3">
        <f>Table1[[#This Row],[Unit Price]]*Table1[[#This Row],[Quantity]]</f>
        <v>3000000</v>
      </c>
      <c r="O663" s="3">
        <f>Table1[[#This Row],[Cost Price]]*Table1[[#This Row],[Quantity]]</f>
        <v>2400000</v>
      </c>
      <c r="P663" s="3">
        <f>Table1[[#This Row],[Revenue]]-Table1[[#This Row],[COGS]]</f>
        <v>600000</v>
      </c>
      <c r="Q663" s="1">
        <v>662</v>
      </c>
    </row>
    <row r="664" spans="1:17">
      <c r="A664" t="s">
        <v>153</v>
      </c>
      <c r="B664" t="str">
        <f>TEXT(Table1[[#This Row],[Date]],"MMMM")</f>
        <v>March</v>
      </c>
      <c r="C664" t="str">
        <f>TEXT(Table1[[#This Row],[Date]],"DDDD")</f>
        <v>Tuesday</v>
      </c>
      <c r="D664" t="s">
        <v>44</v>
      </c>
      <c r="E664" t="s">
        <v>28</v>
      </c>
      <c r="F664" t="s">
        <v>41</v>
      </c>
      <c r="G664" t="s">
        <v>30</v>
      </c>
      <c r="H664" t="s">
        <v>71</v>
      </c>
      <c r="I664" t="s">
        <v>51</v>
      </c>
      <c r="J664" s="3">
        <v>250000</v>
      </c>
      <c r="K664">
        <v>8</v>
      </c>
      <c r="L664" t="s">
        <v>69</v>
      </c>
      <c r="M664" s="3">
        <v>200000</v>
      </c>
      <c r="N664" s="3">
        <f>Table1[[#This Row],[Unit Price]]*Table1[[#This Row],[Quantity]]</f>
        <v>2000000</v>
      </c>
      <c r="O664" s="3">
        <f>Table1[[#This Row],[Cost Price]]*Table1[[#This Row],[Quantity]]</f>
        <v>1600000</v>
      </c>
      <c r="P664" s="3">
        <f>Table1[[#This Row],[Revenue]]-Table1[[#This Row],[COGS]]</f>
        <v>400000</v>
      </c>
      <c r="Q664" s="1">
        <v>663</v>
      </c>
    </row>
    <row r="665" spans="1:17">
      <c r="A665" t="s">
        <v>163</v>
      </c>
      <c r="B665" t="str">
        <f>TEXT(Table1[[#This Row],[Date]],"MMMM")</f>
        <v>April</v>
      </c>
      <c r="C665" t="str">
        <f>TEXT(Table1[[#This Row],[Date]],"DDDD")</f>
        <v>Tuesday</v>
      </c>
      <c r="D665" t="s">
        <v>27</v>
      </c>
      <c r="E665" t="s">
        <v>36</v>
      </c>
      <c r="F665" t="s">
        <v>29</v>
      </c>
      <c r="G665" t="s">
        <v>37</v>
      </c>
      <c r="H665" t="s">
        <v>56</v>
      </c>
      <c r="I665" t="s">
        <v>32</v>
      </c>
      <c r="J665" s="3">
        <v>320000</v>
      </c>
      <c r="K665">
        <v>4</v>
      </c>
      <c r="L665" t="s">
        <v>69</v>
      </c>
      <c r="M665" s="3">
        <v>256000</v>
      </c>
      <c r="N665" s="3">
        <f>Table1[[#This Row],[Unit Price]]*Table1[[#This Row],[Quantity]]</f>
        <v>1280000</v>
      </c>
      <c r="O665" s="3">
        <f>Table1[[#This Row],[Cost Price]]*Table1[[#This Row],[Quantity]]</f>
        <v>1024000</v>
      </c>
      <c r="P665" s="3">
        <f>Table1[[#This Row],[Revenue]]-Table1[[#This Row],[COGS]]</f>
        <v>256000</v>
      </c>
      <c r="Q665" s="1">
        <v>664</v>
      </c>
    </row>
    <row r="666" spans="1:17">
      <c r="A666" t="s">
        <v>157</v>
      </c>
      <c r="B666" t="str">
        <f>TEXT(Table1[[#This Row],[Date]],"MMMM")</f>
        <v>April</v>
      </c>
      <c r="C666" t="str">
        <f>TEXT(Table1[[#This Row],[Date]],"DDDD")</f>
        <v>Tuesday</v>
      </c>
      <c r="D666" t="s">
        <v>49</v>
      </c>
      <c r="E666" t="s">
        <v>36</v>
      </c>
      <c r="F666" t="s">
        <v>41</v>
      </c>
      <c r="G666" t="s">
        <v>37</v>
      </c>
      <c r="H666" t="s">
        <v>38</v>
      </c>
      <c r="I666" t="s">
        <v>39</v>
      </c>
      <c r="J666" s="3">
        <v>30000</v>
      </c>
      <c r="K666">
        <v>10</v>
      </c>
      <c r="L666" t="s">
        <v>47</v>
      </c>
      <c r="M666" s="3">
        <v>24000</v>
      </c>
      <c r="N666" s="3">
        <f>Table1[[#This Row],[Unit Price]]*Table1[[#This Row],[Quantity]]</f>
        <v>300000</v>
      </c>
      <c r="O666" s="3">
        <f>Table1[[#This Row],[Cost Price]]*Table1[[#This Row],[Quantity]]</f>
        <v>240000</v>
      </c>
      <c r="P666" s="3">
        <f>Table1[[#This Row],[Revenue]]-Table1[[#This Row],[COGS]]</f>
        <v>60000</v>
      </c>
      <c r="Q666" s="1">
        <v>665</v>
      </c>
    </row>
    <row r="667" spans="1:17">
      <c r="A667" t="s">
        <v>106</v>
      </c>
      <c r="B667" t="str">
        <f>TEXT(Table1[[#This Row],[Date]],"MMMM")</f>
        <v>April</v>
      </c>
      <c r="C667" t="str">
        <f>TEXT(Table1[[#This Row],[Date]],"DDDD")</f>
        <v>Wednesday</v>
      </c>
      <c r="D667" t="s">
        <v>49</v>
      </c>
      <c r="E667" t="s">
        <v>28</v>
      </c>
      <c r="F667" t="s">
        <v>41</v>
      </c>
      <c r="G667" t="s">
        <v>30</v>
      </c>
      <c r="H667" t="s">
        <v>71</v>
      </c>
      <c r="I667" t="s">
        <v>51</v>
      </c>
      <c r="J667" s="3">
        <v>250000</v>
      </c>
      <c r="K667">
        <v>4</v>
      </c>
      <c r="L667" t="s">
        <v>65</v>
      </c>
      <c r="M667" s="3">
        <v>200000</v>
      </c>
      <c r="N667" s="3">
        <f>Table1[[#This Row],[Unit Price]]*Table1[[#This Row],[Quantity]]</f>
        <v>1000000</v>
      </c>
      <c r="O667" s="3">
        <f>Table1[[#This Row],[Cost Price]]*Table1[[#This Row],[Quantity]]</f>
        <v>800000</v>
      </c>
      <c r="P667" s="3">
        <f>Table1[[#This Row],[Revenue]]-Table1[[#This Row],[COGS]]</f>
        <v>200000</v>
      </c>
      <c r="Q667" s="1">
        <v>666</v>
      </c>
    </row>
    <row r="668" spans="1:17">
      <c r="A668" t="s">
        <v>115</v>
      </c>
      <c r="B668" t="str">
        <f>TEXT(Table1[[#This Row],[Date]],"MMMM")</f>
        <v>January</v>
      </c>
      <c r="C668" t="str">
        <f>TEXT(Table1[[#This Row],[Date]],"DDDD")</f>
        <v>Thursday</v>
      </c>
      <c r="D668" t="s">
        <v>35</v>
      </c>
      <c r="E668" t="s">
        <v>28</v>
      </c>
      <c r="F668" t="s">
        <v>41</v>
      </c>
      <c r="G668" t="s">
        <v>30</v>
      </c>
      <c r="H668" t="s">
        <v>56</v>
      </c>
      <c r="I668" t="s">
        <v>32</v>
      </c>
      <c r="J668" s="3">
        <v>320000</v>
      </c>
      <c r="K668">
        <v>5</v>
      </c>
      <c r="L668" t="s">
        <v>47</v>
      </c>
      <c r="M668" s="3">
        <v>256000</v>
      </c>
      <c r="N668" s="3">
        <f>Table1[[#This Row],[Unit Price]]*Table1[[#This Row],[Quantity]]</f>
        <v>1600000</v>
      </c>
      <c r="O668" s="3">
        <f>Table1[[#This Row],[Cost Price]]*Table1[[#This Row],[Quantity]]</f>
        <v>1280000</v>
      </c>
      <c r="P668" s="3">
        <f>Table1[[#This Row],[Revenue]]-Table1[[#This Row],[COGS]]</f>
        <v>320000</v>
      </c>
      <c r="Q668" s="1">
        <v>667</v>
      </c>
    </row>
    <row r="669" spans="1:17">
      <c r="A669" t="s">
        <v>68</v>
      </c>
      <c r="B669" t="str">
        <f>TEXT(Table1[[#This Row],[Date]],"MMMM")</f>
        <v>March</v>
      </c>
      <c r="C669" t="str">
        <f>TEXT(Table1[[#This Row],[Date]],"DDDD")</f>
        <v>Monday</v>
      </c>
      <c r="D669" t="s">
        <v>35</v>
      </c>
      <c r="E669" t="s">
        <v>36</v>
      </c>
      <c r="F669" t="s">
        <v>29</v>
      </c>
      <c r="G669" t="s">
        <v>37</v>
      </c>
      <c r="H669" t="s">
        <v>56</v>
      </c>
      <c r="I669" t="s">
        <v>32</v>
      </c>
      <c r="J669" s="3">
        <v>320000</v>
      </c>
      <c r="K669">
        <v>9</v>
      </c>
      <c r="L669" t="s">
        <v>69</v>
      </c>
      <c r="M669" s="3">
        <v>256000</v>
      </c>
      <c r="N669" s="3">
        <f>Table1[[#This Row],[Unit Price]]*Table1[[#This Row],[Quantity]]</f>
        <v>2880000</v>
      </c>
      <c r="O669" s="3">
        <f>Table1[[#This Row],[Cost Price]]*Table1[[#This Row],[Quantity]]</f>
        <v>2304000</v>
      </c>
      <c r="P669" s="3">
        <f>Table1[[#This Row],[Revenue]]-Table1[[#This Row],[COGS]]</f>
        <v>576000</v>
      </c>
      <c r="Q669" s="1">
        <v>668</v>
      </c>
    </row>
    <row r="670" spans="1:17">
      <c r="A670" t="s">
        <v>104</v>
      </c>
      <c r="B670" t="str">
        <f>TEXT(Table1[[#This Row],[Date]],"MMMM")</f>
        <v>March</v>
      </c>
      <c r="C670" t="str">
        <f>TEXT(Table1[[#This Row],[Date]],"DDDD")</f>
        <v>Friday</v>
      </c>
      <c r="D670" t="s">
        <v>35</v>
      </c>
      <c r="E670" t="s">
        <v>36</v>
      </c>
      <c r="F670" t="s">
        <v>29</v>
      </c>
      <c r="G670" t="s">
        <v>30</v>
      </c>
      <c r="H670" t="s">
        <v>54</v>
      </c>
      <c r="I670" t="s">
        <v>39</v>
      </c>
      <c r="J670" s="3">
        <v>180000</v>
      </c>
      <c r="K670">
        <v>1</v>
      </c>
      <c r="L670" t="s">
        <v>65</v>
      </c>
      <c r="M670" s="3">
        <v>144000</v>
      </c>
      <c r="N670" s="3">
        <f>Table1[[#This Row],[Unit Price]]*Table1[[#This Row],[Quantity]]</f>
        <v>180000</v>
      </c>
      <c r="O670" s="3">
        <f>Table1[[#This Row],[Cost Price]]*Table1[[#This Row],[Quantity]]</f>
        <v>144000</v>
      </c>
      <c r="P670" s="3">
        <f>Table1[[#This Row],[Revenue]]-Table1[[#This Row],[COGS]]</f>
        <v>36000</v>
      </c>
      <c r="Q670" s="1">
        <v>669</v>
      </c>
    </row>
    <row r="671" spans="1:17">
      <c r="A671" t="s">
        <v>93</v>
      </c>
      <c r="B671" t="str">
        <f>TEXT(Table1[[#This Row],[Date]],"MMMM")</f>
        <v>April</v>
      </c>
      <c r="C671" t="str">
        <f>TEXT(Table1[[#This Row],[Date]],"DDDD")</f>
        <v>Friday</v>
      </c>
      <c r="D671" t="s">
        <v>44</v>
      </c>
      <c r="E671" t="s">
        <v>28</v>
      </c>
      <c r="F671" t="s">
        <v>29</v>
      </c>
      <c r="G671" t="s">
        <v>30</v>
      </c>
      <c r="H671" t="s">
        <v>38</v>
      </c>
      <c r="I671" t="s">
        <v>39</v>
      </c>
      <c r="J671" s="3">
        <v>30000</v>
      </c>
      <c r="K671">
        <v>7</v>
      </c>
      <c r="L671" t="s">
        <v>47</v>
      </c>
      <c r="M671" s="3">
        <v>24000</v>
      </c>
      <c r="N671" s="3">
        <f>Table1[[#This Row],[Unit Price]]*Table1[[#This Row],[Quantity]]</f>
        <v>210000</v>
      </c>
      <c r="O671" s="3">
        <f>Table1[[#This Row],[Cost Price]]*Table1[[#This Row],[Quantity]]</f>
        <v>168000</v>
      </c>
      <c r="P671" s="3">
        <f>Table1[[#This Row],[Revenue]]-Table1[[#This Row],[COGS]]</f>
        <v>42000</v>
      </c>
      <c r="Q671" s="1">
        <v>670</v>
      </c>
    </row>
    <row r="672" spans="1:17">
      <c r="A672" t="s">
        <v>34</v>
      </c>
      <c r="B672" t="str">
        <f>TEXT(Table1[[#This Row],[Date]],"MMMM")</f>
        <v>April</v>
      </c>
      <c r="C672" t="str">
        <f>TEXT(Table1[[#This Row],[Date]],"DDDD")</f>
        <v>Tuesday</v>
      </c>
      <c r="D672" t="s">
        <v>49</v>
      </c>
      <c r="E672" t="s">
        <v>53</v>
      </c>
      <c r="F672" t="s">
        <v>41</v>
      </c>
      <c r="G672" t="s">
        <v>37</v>
      </c>
      <c r="H672" t="s">
        <v>73</v>
      </c>
      <c r="I672" t="s">
        <v>39</v>
      </c>
      <c r="J672" s="3">
        <v>220000</v>
      </c>
      <c r="K672">
        <v>5</v>
      </c>
      <c r="L672" t="s">
        <v>58</v>
      </c>
      <c r="M672" s="3">
        <v>176000</v>
      </c>
      <c r="N672" s="3">
        <f>Table1[[#This Row],[Unit Price]]*Table1[[#This Row],[Quantity]]</f>
        <v>1100000</v>
      </c>
      <c r="O672" s="3">
        <f>Table1[[#This Row],[Cost Price]]*Table1[[#This Row],[Quantity]]</f>
        <v>880000</v>
      </c>
      <c r="P672" s="3">
        <f>Table1[[#This Row],[Revenue]]-Table1[[#This Row],[COGS]]</f>
        <v>220000</v>
      </c>
      <c r="Q672" s="1">
        <v>671</v>
      </c>
    </row>
    <row r="673" spans="1:17">
      <c r="A673" t="s">
        <v>79</v>
      </c>
      <c r="B673" t="str">
        <f>TEXT(Table1[[#This Row],[Date]],"MMMM")</f>
        <v>February</v>
      </c>
      <c r="C673" t="str">
        <f>TEXT(Table1[[#This Row],[Date]],"DDDD")</f>
        <v>Wednesday</v>
      </c>
      <c r="D673" t="s">
        <v>49</v>
      </c>
      <c r="E673" t="s">
        <v>53</v>
      </c>
      <c r="F673" t="s">
        <v>41</v>
      </c>
      <c r="G673" t="s">
        <v>30</v>
      </c>
      <c r="H673" t="s">
        <v>54</v>
      </c>
      <c r="I673" t="s">
        <v>39</v>
      </c>
      <c r="J673" s="3">
        <v>180000</v>
      </c>
      <c r="K673">
        <v>4</v>
      </c>
      <c r="L673" t="s">
        <v>69</v>
      </c>
      <c r="M673" s="3">
        <v>144000</v>
      </c>
      <c r="N673" s="3">
        <f>Table1[[#This Row],[Unit Price]]*Table1[[#This Row],[Quantity]]</f>
        <v>720000</v>
      </c>
      <c r="O673" s="3">
        <f>Table1[[#This Row],[Cost Price]]*Table1[[#This Row],[Quantity]]</f>
        <v>576000</v>
      </c>
      <c r="P673" s="3">
        <f>Table1[[#This Row],[Revenue]]-Table1[[#This Row],[COGS]]</f>
        <v>144000</v>
      </c>
      <c r="Q673" s="1">
        <v>672</v>
      </c>
    </row>
    <row r="674" spans="1:17">
      <c r="A674" t="s">
        <v>87</v>
      </c>
      <c r="B674" t="str">
        <f>TEXT(Table1[[#This Row],[Date]],"MMMM")</f>
        <v>March</v>
      </c>
      <c r="C674" t="str">
        <f>TEXT(Table1[[#This Row],[Date]],"DDDD")</f>
        <v>Thursday</v>
      </c>
      <c r="D674" t="s">
        <v>44</v>
      </c>
      <c r="E674" t="s">
        <v>28</v>
      </c>
      <c r="F674" t="s">
        <v>41</v>
      </c>
      <c r="G674" t="s">
        <v>30</v>
      </c>
      <c r="H674" t="s">
        <v>54</v>
      </c>
      <c r="I674" t="s">
        <v>39</v>
      </c>
      <c r="J674" s="3">
        <v>180000</v>
      </c>
      <c r="K674">
        <v>2</v>
      </c>
      <c r="L674" t="s">
        <v>47</v>
      </c>
      <c r="M674" s="3">
        <v>144000</v>
      </c>
      <c r="N674" s="3">
        <f>Table1[[#This Row],[Unit Price]]*Table1[[#This Row],[Quantity]]</f>
        <v>360000</v>
      </c>
      <c r="O674" s="3">
        <f>Table1[[#This Row],[Cost Price]]*Table1[[#This Row],[Quantity]]</f>
        <v>288000</v>
      </c>
      <c r="P674" s="3">
        <f>Table1[[#This Row],[Revenue]]-Table1[[#This Row],[COGS]]</f>
        <v>72000</v>
      </c>
      <c r="Q674" s="1">
        <v>673</v>
      </c>
    </row>
    <row r="675" spans="1:17">
      <c r="A675" t="s">
        <v>72</v>
      </c>
      <c r="B675" t="str">
        <f>TEXT(Table1[[#This Row],[Date]],"MMMM")</f>
        <v>February</v>
      </c>
      <c r="C675" t="str">
        <f>TEXT(Table1[[#This Row],[Date]],"DDDD")</f>
        <v>Wednesday</v>
      </c>
      <c r="D675" t="s">
        <v>27</v>
      </c>
      <c r="E675" t="s">
        <v>45</v>
      </c>
      <c r="F675" t="s">
        <v>41</v>
      </c>
      <c r="G675" t="s">
        <v>30</v>
      </c>
      <c r="H675" t="s">
        <v>73</v>
      </c>
      <c r="I675" t="s">
        <v>39</v>
      </c>
      <c r="J675" s="3">
        <v>220000</v>
      </c>
      <c r="K675">
        <v>2</v>
      </c>
      <c r="L675" t="s">
        <v>65</v>
      </c>
      <c r="M675" s="3">
        <v>176000</v>
      </c>
      <c r="N675" s="3">
        <f>Table1[[#This Row],[Unit Price]]*Table1[[#This Row],[Quantity]]</f>
        <v>440000</v>
      </c>
      <c r="O675" s="3">
        <f>Table1[[#This Row],[Cost Price]]*Table1[[#This Row],[Quantity]]</f>
        <v>352000</v>
      </c>
      <c r="P675" s="3">
        <f>Table1[[#This Row],[Revenue]]-Table1[[#This Row],[COGS]]</f>
        <v>88000</v>
      </c>
      <c r="Q675" s="1">
        <v>674</v>
      </c>
    </row>
    <row r="676" spans="1:17">
      <c r="A676" t="s">
        <v>143</v>
      </c>
      <c r="B676" t="str">
        <f>TEXT(Table1[[#This Row],[Date]],"MMMM")</f>
        <v>April</v>
      </c>
      <c r="C676" t="str">
        <f>TEXT(Table1[[#This Row],[Date]],"DDDD")</f>
        <v>Thursday</v>
      </c>
      <c r="D676" t="s">
        <v>27</v>
      </c>
      <c r="E676" t="s">
        <v>36</v>
      </c>
      <c r="F676" t="s">
        <v>41</v>
      </c>
      <c r="G676" t="s">
        <v>37</v>
      </c>
      <c r="H676" t="s">
        <v>46</v>
      </c>
      <c r="I676" t="s">
        <v>39</v>
      </c>
      <c r="J676" s="3">
        <v>60000</v>
      </c>
      <c r="K676">
        <v>10</v>
      </c>
      <c r="L676" t="s">
        <v>65</v>
      </c>
      <c r="M676" s="3">
        <v>48000</v>
      </c>
      <c r="N676" s="3">
        <f>Table1[[#This Row],[Unit Price]]*Table1[[#This Row],[Quantity]]</f>
        <v>600000</v>
      </c>
      <c r="O676" s="3">
        <f>Table1[[#This Row],[Cost Price]]*Table1[[#This Row],[Quantity]]</f>
        <v>480000</v>
      </c>
      <c r="P676" s="3">
        <f>Table1[[#This Row],[Revenue]]-Table1[[#This Row],[COGS]]</f>
        <v>120000</v>
      </c>
      <c r="Q676" s="1">
        <v>675</v>
      </c>
    </row>
    <row r="677" spans="1:17">
      <c r="A677" t="s">
        <v>111</v>
      </c>
      <c r="B677" t="str">
        <f>TEXT(Table1[[#This Row],[Date]],"MMMM")</f>
        <v>February</v>
      </c>
      <c r="C677" t="str">
        <f>TEXT(Table1[[#This Row],[Date]],"DDDD")</f>
        <v>Wednesday</v>
      </c>
      <c r="D677" t="s">
        <v>49</v>
      </c>
      <c r="E677" t="s">
        <v>28</v>
      </c>
      <c r="F677" t="s">
        <v>29</v>
      </c>
      <c r="G677" t="s">
        <v>37</v>
      </c>
      <c r="H677" t="s">
        <v>38</v>
      </c>
      <c r="I677" t="s">
        <v>39</v>
      </c>
      <c r="J677" s="3">
        <v>30000</v>
      </c>
      <c r="K677">
        <v>2</v>
      </c>
      <c r="L677" t="s">
        <v>69</v>
      </c>
      <c r="M677" s="3">
        <v>24000</v>
      </c>
      <c r="N677" s="3">
        <f>Table1[[#This Row],[Unit Price]]*Table1[[#This Row],[Quantity]]</f>
        <v>60000</v>
      </c>
      <c r="O677" s="3">
        <f>Table1[[#This Row],[Cost Price]]*Table1[[#This Row],[Quantity]]</f>
        <v>48000</v>
      </c>
      <c r="P677" s="3">
        <f>Table1[[#This Row],[Revenue]]-Table1[[#This Row],[COGS]]</f>
        <v>12000</v>
      </c>
      <c r="Q677" s="1">
        <v>676</v>
      </c>
    </row>
    <row r="678" spans="1:17">
      <c r="A678" t="s">
        <v>158</v>
      </c>
      <c r="B678" t="str">
        <f>TEXT(Table1[[#This Row],[Date]],"MMMM")</f>
        <v>January</v>
      </c>
      <c r="C678" t="str">
        <f>TEXT(Table1[[#This Row],[Date]],"DDDD")</f>
        <v>Saturday</v>
      </c>
      <c r="D678" t="s">
        <v>35</v>
      </c>
      <c r="E678" t="s">
        <v>36</v>
      </c>
      <c r="F678" t="s">
        <v>41</v>
      </c>
      <c r="G678" t="s">
        <v>30</v>
      </c>
      <c r="H678" t="s">
        <v>50</v>
      </c>
      <c r="I678" t="s">
        <v>51</v>
      </c>
      <c r="J678" s="3">
        <v>300000</v>
      </c>
      <c r="K678">
        <v>3</v>
      </c>
      <c r="L678" t="s">
        <v>42</v>
      </c>
      <c r="M678" s="3">
        <v>240000</v>
      </c>
      <c r="N678" s="3">
        <f>Table1[[#This Row],[Unit Price]]*Table1[[#This Row],[Quantity]]</f>
        <v>900000</v>
      </c>
      <c r="O678" s="3">
        <f>Table1[[#This Row],[Cost Price]]*Table1[[#This Row],[Quantity]]</f>
        <v>720000</v>
      </c>
      <c r="P678" s="3">
        <f>Table1[[#This Row],[Revenue]]-Table1[[#This Row],[COGS]]</f>
        <v>180000</v>
      </c>
      <c r="Q678" s="1">
        <v>677</v>
      </c>
    </row>
    <row r="679" spans="1:17">
      <c r="A679" t="s">
        <v>87</v>
      </c>
      <c r="B679" t="str">
        <f>TEXT(Table1[[#This Row],[Date]],"MMMM")</f>
        <v>March</v>
      </c>
      <c r="C679" t="str">
        <f>TEXT(Table1[[#This Row],[Date]],"DDDD")</f>
        <v>Thursday</v>
      </c>
      <c r="D679" t="s">
        <v>44</v>
      </c>
      <c r="E679" t="s">
        <v>45</v>
      </c>
      <c r="F679" t="s">
        <v>29</v>
      </c>
      <c r="G679" t="s">
        <v>37</v>
      </c>
      <c r="H679" t="s">
        <v>38</v>
      </c>
      <c r="I679" t="s">
        <v>39</v>
      </c>
      <c r="J679" s="3">
        <v>30000</v>
      </c>
      <c r="K679">
        <v>8</v>
      </c>
      <c r="L679" t="s">
        <v>33</v>
      </c>
      <c r="M679" s="3">
        <v>24000</v>
      </c>
      <c r="N679" s="3">
        <f>Table1[[#This Row],[Unit Price]]*Table1[[#This Row],[Quantity]]</f>
        <v>240000</v>
      </c>
      <c r="O679" s="3">
        <f>Table1[[#This Row],[Cost Price]]*Table1[[#This Row],[Quantity]]</f>
        <v>192000</v>
      </c>
      <c r="P679" s="3">
        <f>Table1[[#This Row],[Revenue]]-Table1[[#This Row],[COGS]]</f>
        <v>48000</v>
      </c>
      <c r="Q679" s="1">
        <v>678</v>
      </c>
    </row>
    <row r="680" spans="1:17">
      <c r="A680" t="s">
        <v>75</v>
      </c>
      <c r="B680" t="str">
        <f>TEXT(Table1[[#This Row],[Date]],"MMMM")</f>
        <v>March</v>
      </c>
      <c r="C680" t="str">
        <f>TEXT(Table1[[#This Row],[Date]],"DDDD")</f>
        <v>Monday</v>
      </c>
      <c r="D680" t="s">
        <v>49</v>
      </c>
      <c r="E680" t="s">
        <v>28</v>
      </c>
      <c r="F680" t="s">
        <v>29</v>
      </c>
      <c r="G680" t="s">
        <v>30</v>
      </c>
      <c r="H680" t="s">
        <v>50</v>
      </c>
      <c r="I680" t="s">
        <v>51</v>
      </c>
      <c r="J680" s="3">
        <v>300000</v>
      </c>
      <c r="K680">
        <v>7</v>
      </c>
      <c r="L680" t="s">
        <v>33</v>
      </c>
      <c r="M680" s="3">
        <v>240000</v>
      </c>
      <c r="N680" s="3">
        <f>Table1[[#This Row],[Unit Price]]*Table1[[#This Row],[Quantity]]</f>
        <v>2100000</v>
      </c>
      <c r="O680" s="3">
        <f>Table1[[#This Row],[Cost Price]]*Table1[[#This Row],[Quantity]]</f>
        <v>1680000</v>
      </c>
      <c r="P680" s="3">
        <f>Table1[[#This Row],[Revenue]]-Table1[[#This Row],[COGS]]</f>
        <v>420000</v>
      </c>
      <c r="Q680" s="1">
        <v>679</v>
      </c>
    </row>
    <row r="681" spans="1:17">
      <c r="A681" t="s">
        <v>132</v>
      </c>
      <c r="B681" t="str">
        <f>TEXT(Table1[[#This Row],[Date]],"MMMM")</f>
        <v>April</v>
      </c>
      <c r="C681" t="str">
        <f>TEXT(Table1[[#This Row],[Date]],"DDDD")</f>
        <v>Saturday</v>
      </c>
      <c r="D681" t="s">
        <v>35</v>
      </c>
      <c r="E681" t="s">
        <v>28</v>
      </c>
      <c r="F681" t="s">
        <v>29</v>
      </c>
      <c r="G681" t="s">
        <v>30</v>
      </c>
      <c r="H681" t="s">
        <v>38</v>
      </c>
      <c r="I681" t="s">
        <v>39</v>
      </c>
      <c r="J681" s="3">
        <v>30000</v>
      </c>
      <c r="K681">
        <v>2</v>
      </c>
      <c r="L681" t="s">
        <v>58</v>
      </c>
      <c r="M681" s="3">
        <v>24000</v>
      </c>
      <c r="N681" s="3">
        <f>Table1[[#This Row],[Unit Price]]*Table1[[#This Row],[Quantity]]</f>
        <v>60000</v>
      </c>
      <c r="O681" s="3">
        <f>Table1[[#This Row],[Cost Price]]*Table1[[#This Row],[Quantity]]</f>
        <v>48000</v>
      </c>
      <c r="P681" s="3">
        <f>Table1[[#This Row],[Revenue]]-Table1[[#This Row],[COGS]]</f>
        <v>12000</v>
      </c>
      <c r="Q681" s="1">
        <v>680</v>
      </c>
    </row>
    <row r="682" spans="1:17">
      <c r="A682" t="s">
        <v>104</v>
      </c>
      <c r="B682" t="str">
        <f>TEXT(Table1[[#This Row],[Date]],"MMMM")</f>
        <v>March</v>
      </c>
      <c r="C682" t="str">
        <f>TEXT(Table1[[#This Row],[Date]],"DDDD")</f>
        <v>Friday</v>
      </c>
      <c r="D682" t="s">
        <v>35</v>
      </c>
      <c r="E682" t="s">
        <v>28</v>
      </c>
      <c r="F682" t="s">
        <v>41</v>
      </c>
      <c r="G682" t="s">
        <v>37</v>
      </c>
      <c r="H682" t="s">
        <v>73</v>
      </c>
      <c r="I682" t="s">
        <v>39</v>
      </c>
      <c r="J682" s="3">
        <v>220000</v>
      </c>
      <c r="K682">
        <v>8</v>
      </c>
      <c r="L682" t="s">
        <v>47</v>
      </c>
      <c r="M682" s="3">
        <v>176000</v>
      </c>
      <c r="N682" s="3">
        <f>Table1[[#This Row],[Unit Price]]*Table1[[#This Row],[Quantity]]</f>
        <v>1760000</v>
      </c>
      <c r="O682" s="3">
        <f>Table1[[#This Row],[Cost Price]]*Table1[[#This Row],[Quantity]]</f>
        <v>1408000</v>
      </c>
      <c r="P682" s="3">
        <f>Table1[[#This Row],[Revenue]]-Table1[[#This Row],[COGS]]</f>
        <v>352000</v>
      </c>
      <c r="Q682" s="1">
        <v>681</v>
      </c>
    </row>
    <row r="683" spans="1:17">
      <c r="A683" t="s">
        <v>165</v>
      </c>
      <c r="B683" t="str">
        <f>TEXT(Table1[[#This Row],[Date]],"MMMM")</f>
        <v>April</v>
      </c>
      <c r="C683" t="str">
        <f>TEXT(Table1[[#This Row],[Date]],"DDDD")</f>
        <v>Sunday</v>
      </c>
      <c r="D683" t="s">
        <v>27</v>
      </c>
      <c r="E683" t="s">
        <v>45</v>
      </c>
      <c r="F683" t="s">
        <v>29</v>
      </c>
      <c r="G683" t="s">
        <v>30</v>
      </c>
      <c r="H683" t="s">
        <v>46</v>
      </c>
      <c r="I683" t="s">
        <v>39</v>
      </c>
      <c r="J683" s="3">
        <v>60000</v>
      </c>
      <c r="K683">
        <v>1</v>
      </c>
      <c r="L683" t="s">
        <v>33</v>
      </c>
      <c r="M683" s="3">
        <v>48000</v>
      </c>
      <c r="N683" s="3">
        <f>Table1[[#This Row],[Unit Price]]*Table1[[#This Row],[Quantity]]</f>
        <v>60000</v>
      </c>
      <c r="O683" s="3">
        <f>Table1[[#This Row],[Cost Price]]*Table1[[#This Row],[Quantity]]</f>
        <v>48000</v>
      </c>
      <c r="P683" s="3">
        <f>Table1[[#This Row],[Revenue]]-Table1[[#This Row],[COGS]]</f>
        <v>12000</v>
      </c>
      <c r="Q683" s="1">
        <v>682</v>
      </c>
    </row>
    <row r="684" spans="1:17">
      <c r="A684" t="s">
        <v>82</v>
      </c>
      <c r="B684" t="str">
        <f>TEXT(Table1[[#This Row],[Date]],"MMMM")</f>
        <v>March</v>
      </c>
      <c r="C684" t="str">
        <f>TEXT(Table1[[#This Row],[Date]],"DDDD")</f>
        <v>Saturday</v>
      </c>
      <c r="D684" t="s">
        <v>44</v>
      </c>
      <c r="E684" t="s">
        <v>45</v>
      </c>
      <c r="F684" t="s">
        <v>41</v>
      </c>
      <c r="G684" t="s">
        <v>30</v>
      </c>
      <c r="H684" t="s">
        <v>31</v>
      </c>
      <c r="I684" t="s">
        <v>32</v>
      </c>
      <c r="J684" s="3">
        <v>85000</v>
      </c>
      <c r="K684">
        <v>9</v>
      </c>
      <c r="L684" t="s">
        <v>65</v>
      </c>
      <c r="M684" s="3">
        <v>68000</v>
      </c>
      <c r="N684" s="3">
        <f>Table1[[#This Row],[Unit Price]]*Table1[[#This Row],[Quantity]]</f>
        <v>765000</v>
      </c>
      <c r="O684" s="3">
        <f>Table1[[#This Row],[Cost Price]]*Table1[[#This Row],[Quantity]]</f>
        <v>612000</v>
      </c>
      <c r="P684" s="3">
        <f>Table1[[#This Row],[Revenue]]-Table1[[#This Row],[COGS]]</f>
        <v>153000</v>
      </c>
      <c r="Q684" s="1">
        <v>683</v>
      </c>
    </row>
    <row r="685" spans="1:17">
      <c r="A685" t="s">
        <v>79</v>
      </c>
      <c r="B685" t="str">
        <f>TEXT(Table1[[#This Row],[Date]],"MMMM")</f>
        <v>February</v>
      </c>
      <c r="C685" t="str">
        <f>TEXT(Table1[[#This Row],[Date]],"DDDD")</f>
        <v>Wednesday</v>
      </c>
      <c r="D685" t="s">
        <v>35</v>
      </c>
      <c r="E685" t="s">
        <v>36</v>
      </c>
      <c r="F685" t="s">
        <v>29</v>
      </c>
      <c r="G685" t="s">
        <v>37</v>
      </c>
      <c r="H685" t="s">
        <v>31</v>
      </c>
      <c r="I685" t="s">
        <v>32</v>
      </c>
      <c r="J685" s="3">
        <v>85000</v>
      </c>
      <c r="K685">
        <v>4</v>
      </c>
      <c r="L685" t="s">
        <v>58</v>
      </c>
      <c r="M685" s="3">
        <v>68000</v>
      </c>
      <c r="N685" s="3">
        <f>Table1[[#This Row],[Unit Price]]*Table1[[#This Row],[Quantity]]</f>
        <v>340000</v>
      </c>
      <c r="O685" s="3">
        <f>Table1[[#This Row],[Cost Price]]*Table1[[#This Row],[Quantity]]</f>
        <v>272000</v>
      </c>
      <c r="P685" s="3">
        <f>Table1[[#This Row],[Revenue]]-Table1[[#This Row],[COGS]]</f>
        <v>68000</v>
      </c>
      <c r="Q685" s="1">
        <v>684</v>
      </c>
    </row>
    <row r="686" spans="1:17">
      <c r="A686" t="s">
        <v>152</v>
      </c>
      <c r="B686" t="str">
        <f>TEXT(Table1[[#This Row],[Date]],"MMMM")</f>
        <v>January</v>
      </c>
      <c r="C686" t="str">
        <f>TEXT(Table1[[#This Row],[Date]],"DDDD")</f>
        <v>Friday</v>
      </c>
      <c r="D686" t="s">
        <v>35</v>
      </c>
      <c r="E686" t="s">
        <v>53</v>
      </c>
      <c r="F686" t="s">
        <v>41</v>
      </c>
      <c r="G686" t="s">
        <v>37</v>
      </c>
      <c r="H686" t="s">
        <v>54</v>
      </c>
      <c r="I686" t="s">
        <v>39</v>
      </c>
      <c r="J686" s="3">
        <v>180000</v>
      </c>
      <c r="K686">
        <v>6</v>
      </c>
      <c r="L686" t="s">
        <v>33</v>
      </c>
      <c r="M686" s="3">
        <v>144000</v>
      </c>
      <c r="N686" s="3">
        <f>Table1[[#This Row],[Unit Price]]*Table1[[#This Row],[Quantity]]</f>
        <v>1080000</v>
      </c>
      <c r="O686" s="3">
        <f>Table1[[#This Row],[Cost Price]]*Table1[[#This Row],[Quantity]]</f>
        <v>864000</v>
      </c>
      <c r="P686" s="3">
        <f>Table1[[#This Row],[Revenue]]-Table1[[#This Row],[COGS]]</f>
        <v>216000</v>
      </c>
      <c r="Q686" s="1">
        <v>685</v>
      </c>
    </row>
    <row r="687" spans="1:17">
      <c r="A687" t="s">
        <v>81</v>
      </c>
      <c r="B687" t="str">
        <f>TEXT(Table1[[#This Row],[Date]],"MMMM")</f>
        <v>March</v>
      </c>
      <c r="C687" t="str">
        <f>TEXT(Table1[[#This Row],[Date]],"DDDD")</f>
        <v>Sunday</v>
      </c>
      <c r="D687" t="s">
        <v>27</v>
      </c>
      <c r="E687" t="s">
        <v>53</v>
      </c>
      <c r="F687" t="s">
        <v>29</v>
      </c>
      <c r="G687" t="s">
        <v>30</v>
      </c>
      <c r="H687" t="s">
        <v>54</v>
      </c>
      <c r="I687" t="s">
        <v>39</v>
      </c>
      <c r="J687" s="3">
        <v>180000</v>
      </c>
      <c r="K687">
        <v>2</v>
      </c>
      <c r="L687" t="s">
        <v>69</v>
      </c>
      <c r="M687" s="3">
        <v>144000</v>
      </c>
      <c r="N687" s="3">
        <f>Table1[[#This Row],[Unit Price]]*Table1[[#This Row],[Quantity]]</f>
        <v>360000</v>
      </c>
      <c r="O687" s="3">
        <f>Table1[[#This Row],[Cost Price]]*Table1[[#This Row],[Quantity]]</f>
        <v>288000</v>
      </c>
      <c r="P687" s="3">
        <f>Table1[[#This Row],[Revenue]]-Table1[[#This Row],[COGS]]</f>
        <v>72000</v>
      </c>
      <c r="Q687" s="1">
        <v>686</v>
      </c>
    </row>
    <row r="688" spans="1:17">
      <c r="A688" t="s">
        <v>146</v>
      </c>
      <c r="B688" t="str">
        <f>TEXT(Table1[[#This Row],[Date]],"MMMM")</f>
        <v>January</v>
      </c>
      <c r="C688" t="str">
        <f>TEXT(Table1[[#This Row],[Date]],"DDDD")</f>
        <v>Tuesday</v>
      </c>
      <c r="D688" t="s">
        <v>49</v>
      </c>
      <c r="E688" t="s">
        <v>28</v>
      </c>
      <c r="F688" t="s">
        <v>29</v>
      </c>
      <c r="G688" t="s">
        <v>30</v>
      </c>
      <c r="H688" t="s">
        <v>46</v>
      </c>
      <c r="I688" t="s">
        <v>39</v>
      </c>
      <c r="J688" s="3">
        <v>60000</v>
      </c>
      <c r="K688">
        <v>8</v>
      </c>
      <c r="L688" t="s">
        <v>47</v>
      </c>
      <c r="M688" s="3">
        <v>48000</v>
      </c>
      <c r="N688" s="3">
        <f>Table1[[#This Row],[Unit Price]]*Table1[[#This Row],[Quantity]]</f>
        <v>480000</v>
      </c>
      <c r="O688" s="3">
        <f>Table1[[#This Row],[Cost Price]]*Table1[[#This Row],[Quantity]]</f>
        <v>384000</v>
      </c>
      <c r="P688" s="3">
        <f>Table1[[#This Row],[Revenue]]-Table1[[#This Row],[COGS]]</f>
        <v>96000</v>
      </c>
      <c r="Q688" s="1">
        <v>687</v>
      </c>
    </row>
    <row r="689" spans="1:17">
      <c r="A689" t="s">
        <v>84</v>
      </c>
      <c r="B689" t="str">
        <f>TEXT(Table1[[#This Row],[Date]],"MMMM")</f>
        <v>January</v>
      </c>
      <c r="C689" t="str">
        <f>TEXT(Table1[[#This Row],[Date]],"DDDD")</f>
        <v>Wednesday</v>
      </c>
      <c r="D689" t="s">
        <v>49</v>
      </c>
      <c r="E689" t="s">
        <v>53</v>
      </c>
      <c r="F689" t="s">
        <v>29</v>
      </c>
      <c r="G689" t="s">
        <v>30</v>
      </c>
      <c r="H689" t="s">
        <v>56</v>
      </c>
      <c r="I689" t="s">
        <v>32</v>
      </c>
      <c r="J689" s="3">
        <v>320000</v>
      </c>
      <c r="K689">
        <v>4</v>
      </c>
      <c r="L689" t="s">
        <v>58</v>
      </c>
      <c r="M689" s="3">
        <v>256000</v>
      </c>
      <c r="N689" s="3">
        <f>Table1[[#This Row],[Unit Price]]*Table1[[#This Row],[Quantity]]</f>
        <v>1280000</v>
      </c>
      <c r="O689" s="3">
        <f>Table1[[#This Row],[Cost Price]]*Table1[[#This Row],[Quantity]]</f>
        <v>1024000</v>
      </c>
      <c r="P689" s="3">
        <f>Table1[[#This Row],[Revenue]]-Table1[[#This Row],[COGS]]</f>
        <v>256000</v>
      </c>
      <c r="Q689" s="1">
        <v>688</v>
      </c>
    </row>
    <row r="690" spans="1:17">
      <c r="A690" t="s">
        <v>137</v>
      </c>
      <c r="B690" t="str">
        <f>TEXT(Table1[[#This Row],[Date]],"MMMM")</f>
        <v>April</v>
      </c>
      <c r="C690" t="str">
        <f>TEXT(Table1[[#This Row],[Date]],"DDDD")</f>
        <v>Wednesday</v>
      </c>
      <c r="D690" t="s">
        <v>35</v>
      </c>
      <c r="E690" t="s">
        <v>36</v>
      </c>
      <c r="F690" t="s">
        <v>41</v>
      </c>
      <c r="G690" t="s">
        <v>30</v>
      </c>
      <c r="H690" t="s">
        <v>54</v>
      </c>
      <c r="I690" t="s">
        <v>39</v>
      </c>
      <c r="J690" s="3">
        <v>180000</v>
      </c>
      <c r="K690">
        <v>3</v>
      </c>
      <c r="L690" t="s">
        <v>42</v>
      </c>
      <c r="M690" s="3">
        <v>144000</v>
      </c>
      <c r="N690" s="3">
        <f>Table1[[#This Row],[Unit Price]]*Table1[[#This Row],[Quantity]]</f>
        <v>540000</v>
      </c>
      <c r="O690" s="3">
        <f>Table1[[#This Row],[Cost Price]]*Table1[[#This Row],[Quantity]]</f>
        <v>432000</v>
      </c>
      <c r="P690" s="3">
        <f>Table1[[#This Row],[Revenue]]-Table1[[#This Row],[COGS]]</f>
        <v>108000</v>
      </c>
      <c r="Q690" s="1">
        <v>689</v>
      </c>
    </row>
    <row r="691" spans="1:17">
      <c r="A691" t="s">
        <v>122</v>
      </c>
      <c r="B691" t="str">
        <f>TEXT(Table1[[#This Row],[Date]],"MMMM")</f>
        <v>March</v>
      </c>
      <c r="C691" t="str">
        <f>TEXT(Table1[[#This Row],[Date]],"DDDD")</f>
        <v>Thursday</v>
      </c>
      <c r="D691" t="s">
        <v>35</v>
      </c>
      <c r="E691" t="s">
        <v>28</v>
      </c>
      <c r="F691" t="s">
        <v>29</v>
      </c>
      <c r="G691" t="s">
        <v>37</v>
      </c>
      <c r="H691" t="s">
        <v>62</v>
      </c>
      <c r="I691" t="s">
        <v>51</v>
      </c>
      <c r="J691" s="3">
        <v>150000</v>
      </c>
      <c r="K691">
        <v>9</v>
      </c>
      <c r="L691" t="s">
        <v>47</v>
      </c>
      <c r="M691" s="3">
        <v>120000</v>
      </c>
      <c r="N691" s="3">
        <f>Table1[[#This Row],[Unit Price]]*Table1[[#This Row],[Quantity]]</f>
        <v>1350000</v>
      </c>
      <c r="O691" s="3">
        <f>Table1[[#This Row],[Cost Price]]*Table1[[#This Row],[Quantity]]</f>
        <v>1080000</v>
      </c>
      <c r="P691" s="3">
        <f>Table1[[#This Row],[Revenue]]-Table1[[#This Row],[COGS]]</f>
        <v>270000</v>
      </c>
      <c r="Q691" s="1">
        <v>690</v>
      </c>
    </row>
    <row r="692" spans="1:17">
      <c r="A692" t="s">
        <v>140</v>
      </c>
      <c r="B692" t="str">
        <f>TEXT(Table1[[#This Row],[Date]],"MMMM")</f>
        <v>April</v>
      </c>
      <c r="C692" t="str">
        <f>TEXT(Table1[[#This Row],[Date]],"DDDD")</f>
        <v>Thursday</v>
      </c>
      <c r="D692" t="s">
        <v>35</v>
      </c>
      <c r="E692" t="s">
        <v>36</v>
      </c>
      <c r="F692" t="s">
        <v>41</v>
      </c>
      <c r="G692" t="s">
        <v>37</v>
      </c>
      <c r="H692" t="s">
        <v>31</v>
      </c>
      <c r="I692" t="s">
        <v>32</v>
      </c>
      <c r="J692" s="3">
        <v>85000</v>
      </c>
      <c r="K692">
        <v>4</v>
      </c>
      <c r="L692" t="s">
        <v>33</v>
      </c>
      <c r="M692" s="3">
        <v>68000</v>
      </c>
      <c r="N692" s="3">
        <f>Table1[[#This Row],[Unit Price]]*Table1[[#This Row],[Quantity]]</f>
        <v>340000</v>
      </c>
      <c r="O692" s="3">
        <f>Table1[[#This Row],[Cost Price]]*Table1[[#This Row],[Quantity]]</f>
        <v>272000</v>
      </c>
      <c r="P692" s="3">
        <f>Table1[[#This Row],[Revenue]]-Table1[[#This Row],[COGS]]</f>
        <v>68000</v>
      </c>
      <c r="Q692" s="1">
        <v>691</v>
      </c>
    </row>
    <row r="693" spans="1:17">
      <c r="A693" t="s">
        <v>143</v>
      </c>
      <c r="B693" t="str">
        <f>TEXT(Table1[[#This Row],[Date]],"MMMM")</f>
        <v>April</v>
      </c>
      <c r="C693" t="str">
        <f>TEXT(Table1[[#This Row],[Date]],"DDDD")</f>
        <v>Thursday</v>
      </c>
      <c r="D693" t="s">
        <v>44</v>
      </c>
      <c r="E693" t="s">
        <v>45</v>
      </c>
      <c r="F693" t="s">
        <v>29</v>
      </c>
      <c r="G693" t="s">
        <v>30</v>
      </c>
      <c r="H693" t="s">
        <v>73</v>
      </c>
      <c r="I693" t="s">
        <v>39</v>
      </c>
      <c r="J693" s="3">
        <v>220000</v>
      </c>
      <c r="K693">
        <v>4</v>
      </c>
      <c r="L693" t="s">
        <v>33</v>
      </c>
      <c r="M693" s="3">
        <v>176000</v>
      </c>
      <c r="N693" s="3">
        <f>Table1[[#This Row],[Unit Price]]*Table1[[#This Row],[Quantity]]</f>
        <v>880000</v>
      </c>
      <c r="O693" s="3">
        <f>Table1[[#This Row],[Cost Price]]*Table1[[#This Row],[Quantity]]</f>
        <v>704000</v>
      </c>
      <c r="P693" s="3">
        <f>Table1[[#This Row],[Revenue]]-Table1[[#This Row],[COGS]]</f>
        <v>176000</v>
      </c>
      <c r="Q693" s="1">
        <v>692</v>
      </c>
    </row>
    <row r="694" spans="1:17">
      <c r="A694" t="s">
        <v>90</v>
      </c>
      <c r="B694" t="str">
        <f>TEXT(Table1[[#This Row],[Date]],"MMMM")</f>
        <v>February</v>
      </c>
      <c r="C694" t="str">
        <f>TEXT(Table1[[#This Row],[Date]],"DDDD")</f>
        <v>Tuesday</v>
      </c>
      <c r="D694" t="s">
        <v>49</v>
      </c>
      <c r="E694" t="s">
        <v>28</v>
      </c>
      <c r="F694" t="s">
        <v>29</v>
      </c>
      <c r="G694" t="s">
        <v>30</v>
      </c>
      <c r="H694" t="s">
        <v>38</v>
      </c>
      <c r="I694" t="s">
        <v>39</v>
      </c>
      <c r="J694" s="3">
        <v>30000</v>
      </c>
      <c r="K694">
        <v>8</v>
      </c>
      <c r="L694" t="s">
        <v>65</v>
      </c>
      <c r="M694" s="3">
        <v>24000</v>
      </c>
      <c r="N694" s="3">
        <f>Table1[[#This Row],[Unit Price]]*Table1[[#This Row],[Quantity]]</f>
        <v>240000</v>
      </c>
      <c r="O694" s="3">
        <f>Table1[[#This Row],[Cost Price]]*Table1[[#This Row],[Quantity]]</f>
        <v>192000</v>
      </c>
      <c r="P694" s="3">
        <f>Table1[[#This Row],[Revenue]]-Table1[[#This Row],[COGS]]</f>
        <v>48000</v>
      </c>
      <c r="Q694" s="1">
        <v>693</v>
      </c>
    </row>
    <row r="695" spans="1:17">
      <c r="A695" t="s">
        <v>158</v>
      </c>
      <c r="B695" t="str">
        <f>TEXT(Table1[[#This Row],[Date]],"MMMM")</f>
        <v>January</v>
      </c>
      <c r="C695" t="str">
        <f>TEXT(Table1[[#This Row],[Date]],"DDDD")</f>
        <v>Saturday</v>
      </c>
      <c r="D695" t="s">
        <v>44</v>
      </c>
      <c r="E695" t="s">
        <v>28</v>
      </c>
      <c r="F695" t="s">
        <v>29</v>
      </c>
      <c r="G695" t="s">
        <v>30</v>
      </c>
      <c r="H695" t="s">
        <v>31</v>
      </c>
      <c r="I695" t="s">
        <v>32</v>
      </c>
      <c r="J695" s="3">
        <v>85000</v>
      </c>
      <c r="K695">
        <v>4</v>
      </c>
      <c r="L695" t="s">
        <v>33</v>
      </c>
      <c r="M695" s="3">
        <v>68000</v>
      </c>
      <c r="N695" s="3">
        <f>Table1[[#This Row],[Unit Price]]*Table1[[#This Row],[Quantity]]</f>
        <v>340000</v>
      </c>
      <c r="O695" s="3">
        <f>Table1[[#This Row],[Cost Price]]*Table1[[#This Row],[Quantity]]</f>
        <v>272000</v>
      </c>
      <c r="P695" s="3">
        <f>Table1[[#This Row],[Revenue]]-Table1[[#This Row],[COGS]]</f>
        <v>68000</v>
      </c>
      <c r="Q695" s="1">
        <v>694</v>
      </c>
    </row>
    <row r="696" spans="1:17">
      <c r="A696" t="s">
        <v>89</v>
      </c>
      <c r="B696" t="str">
        <f>TEXT(Table1[[#This Row],[Date]],"MMMM")</f>
        <v>February</v>
      </c>
      <c r="C696" t="str">
        <f>TEXT(Table1[[#This Row],[Date]],"DDDD")</f>
        <v>Tuesday</v>
      </c>
      <c r="D696" t="s">
        <v>49</v>
      </c>
      <c r="E696" t="s">
        <v>28</v>
      </c>
      <c r="F696" t="s">
        <v>29</v>
      </c>
      <c r="G696" t="s">
        <v>30</v>
      </c>
      <c r="H696" t="s">
        <v>50</v>
      </c>
      <c r="I696" t="s">
        <v>51</v>
      </c>
      <c r="J696" s="3">
        <v>300000</v>
      </c>
      <c r="K696">
        <v>2</v>
      </c>
      <c r="L696" t="s">
        <v>47</v>
      </c>
      <c r="M696" s="3">
        <v>240000</v>
      </c>
      <c r="N696" s="3">
        <f>Table1[[#This Row],[Unit Price]]*Table1[[#This Row],[Quantity]]</f>
        <v>600000</v>
      </c>
      <c r="O696" s="3">
        <f>Table1[[#This Row],[Cost Price]]*Table1[[#This Row],[Quantity]]</f>
        <v>480000</v>
      </c>
      <c r="P696" s="3">
        <f>Table1[[#This Row],[Revenue]]-Table1[[#This Row],[COGS]]</f>
        <v>120000</v>
      </c>
      <c r="Q696" s="1">
        <v>695</v>
      </c>
    </row>
    <row r="697" spans="1:17">
      <c r="A697" t="s">
        <v>172</v>
      </c>
      <c r="B697" t="str">
        <f>TEXT(Table1[[#This Row],[Date]],"MMMM")</f>
        <v>March</v>
      </c>
      <c r="C697" t="str">
        <f>TEXT(Table1[[#This Row],[Date]],"DDDD")</f>
        <v>Saturday</v>
      </c>
      <c r="D697" t="s">
        <v>27</v>
      </c>
      <c r="E697" t="s">
        <v>45</v>
      </c>
      <c r="F697" t="s">
        <v>41</v>
      </c>
      <c r="G697" t="s">
        <v>37</v>
      </c>
      <c r="H697" t="s">
        <v>31</v>
      </c>
      <c r="I697" t="s">
        <v>32</v>
      </c>
      <c r="J697" s="3">
        <v>85000</v>
      </c>
      <c r="K697">
        <v>2</v>
      </c>
      <c r="L697" t="s">
        <v>65</v>
      </c>
      <c r="M697" s="3">
        <v>68000</v>
      </c>
      <c r="N697" s="3">
        <f>Table1[[#This Row],[Unit Price]]*Table1[[#This Row],[Quantity]]</f>
        <v>170000</v>
      </c>
      <c r="O697" s="3">
        <f>Table1[[#This Row],[Cost Price]]*Table1[[#This Row],[Quantity]]</f>
        <v>136000</v>
      </c>
      <c r="P697" s="3">
        <f>Table1[[#This Row],[Revenue]]-Table1[[#This Row],[COGS]]</f>
        <v>34000</v>
      </c>
      <c r="Q697" s="1">
        <v>696</v>
      </c>
    </row>
    <row r="698" spans="1:17">
      <c r="A698" t="s">
        <v>43</v>
      </c>
      <c r="B698" t="str">
        <f>TEXT(Table1[[#This Row],[Date]],"MMMM")</f>
        <v>April</v>
      </c>
      <c r="C698" t="str">
        <f>TEXT(Table1[[#This Row],[Date]],"DDDD")</f>
        <v>Friday</v>
      </c>
      <c r="D698" t="s">
        <v>27</v>
      </c>
      <c r="E698" t="s">
        <v>28</v>
      </c>
      <c r="F698" t="s">
        <v>41</v>
      </c>
      <c r="G698" t="s">
        <v>30</v>
      </c>
      <c r="H698" t="s">
        <v>67</v>
      </c>
      <c r="I698" t="s">
        <v>51</v>
      </c>
      <c r="J698" s="3">
        <v>420000</v>
      </c>
      <c r="K698">
        <v>5</v>
      </c>
      <c r="L698" t="s">
        <v>33</v>
      </c>
      <c r="M698" s="3">
        <v>336000</v>
      </c>
      <c r="N698" s="3">
        <f>Table1[[#This Row],[Unit Price]]*Table1[[#This Row],[Quantity]]</f>
        <v>2100000</v>
      </c>
      <c r="O698" s="3">
        <f>Table1[[#This Row],[Cost Price]]*Table1[[#This Row],[Quantity]]</f>
        <v>1680000</v>
      </c>
      <c r="P698" s="3">
        <f>Table1[[#This Row],[Revenue]]-Table1[[#This Row],[COGS]]</f>
        <v>420000</v>
      </c>
      <c r="Q698" s="1">
        <v>697</v>
      </c>
    </row>
    <row r="699" spans="1:17">
      <c r="A699" t="s">
        <v>142</v>
      </c>
      <c r="B699" t="str">
        <f>TEXT(Table1[[#This Row],[Date]],"MMMM")</f>
        <v>April</v>
      </c>
      <c r="C699" t="str">
        <f>TEXT(Table1[[#This Row],[Date]],"DDDD")</f>
        <v>Monday</v>
      </c>
      <c r="D699" t="s">
        <v>44</v>
      </c>
      <c r="E699" t="s">
        <v>45</v>
      </c>
      <c r="F699" t="s">
        <v>41</v>
      </c>
      <c r="G699" t="s">
        <v>30</v>
      </c>
      <c r="H699" t="s">
        <v>50</v>
      </c>
      <c r="I699" t="s">
        <v>51</v>
      </c>
      <c r="J699" s="3">
        <v>300000</v>
      </c>
      <c r="K699">
        <v>8</v>
      </c>
      <c r="L699" t="s">
        <v>42</v>
      </c>
      <c r="M699" s="3">
        <v>240000</v>
      </c>
      <c r="N699" s="3">
        <f>Table1[[#This Row],[Unit Price]]*Table1[[#This Row],[Quantity]]</f>
        <v>2400000</v>
      </c>
      <c r="O699" s="3">
        <f>Table1[[#This Row],[Cost Price]]*Table1[[#This Row],[Quantity]]</f>
        <v>1920000</v>
      </c>
      <c r="P699" s="3">
        <f>Table1[[#This Row],[Revenue]]-Table1[[#This Row],[COGS]]</f>
        <v>480000</v>
      </c>
      <c r="Q699" s="1">
        <v>698</v>
      </c>
    </row>
    <row r="700" spans="1:17">
      <c r="A700" t="s">
        <v>143</v>
      </c>
      <c r="B700" t="str">
        <f>TEXT(Table1[[#This Row],[Date]],"MMMM")</f>
        <v>April</v>
      </c>
      <c r="C700" t="str">
        <f>TEXT(Table1[[#This Row],[Date]],"DDDD")</f>
        <v>Thursday</v>
      </c>
      <c r="D700" t="s">
        <v>27</v>
      </c>
      <c r="E700" t="s">
        <v>36</v>
      </c>
      <c r="F700" t="s">
        <v>41</v>
      </c>
      <c r="G700" t="s">
        <v>37</v>
      </c>
      <c r="H700" t="s">
        <v>46</v>
      </c>
      <c r="I700" t="s">
        <v>39</v>
      </c>
      <c r="J700" s="3">
        <v>60000</v>
      </c>
      <c r="K700">
        <v>1</v>
      </c>
      <c r="L700" t="s">
        <v>33</v>
      </c>
      <c r="M700" s="3">
        <v>48000</v>
      </c>
      <c r="N700" s="3">
        <f>Table1[[#This Row],[Unit Price]]*Table1[[#This Row],[Quantity]]</f>
        <v>60000</v>
      </c>
      <c r="O700" s="3">
        <f>Table1[[#This Row],[Cost Price]]*Table1[[#This Row],[Quantity]]</f>
        <v>48000</v>
      </c>
      <c r="P700" s="3">
        <f>Table1[[#This Row],[Revenue]]-Table1[[#This Row],[COGS]]</f>
        <v>12000</v>
      </c>
      <c r="Q700" s="1">
        <v>699</v>
      </c>
    </row>
    <row r="701" spans="1:17">
      <c r="A701" t="s">
        <v>40</v>
      </c>
      <c r="B701" t="str">
        <f>TEXT(Table1[[#This Row],[Date]],"MMMM")</f>
        <v>February</v>
      </c>
      <c r="C701" t="str">
        <f>TEXT(Table1[[#This Row],[Date]],"DDDD")</f>
        <v>Thursday</v>
      </c>
      <c r="D701" t="s">
        <v>27</v>
      </c>
      <c r="E701" t="s">
        <v>45</v>
      </c>
      <c r="F701" t="s">
        <v>29</v>
      </c>
      <c r="G701" t="s">
        <v>30</v>
      </c>
      <c r="H701" t="s">
        <v>71</v>
      </c>
      <c r="I701" t="s">
        <v>51</v>
      </c>
      <c r="J701" s="3">
        <v>250000</v>
      </c>
      <c r="K701">
        <v>8</v>
      </c>
      <c r="L701" t="s">
        <v>33</v>
      </c>
      <c r="M701" s="3">
        <v>200000</v>
      </c>
      <c r="N701" s="3">
        <f>Table1[[#This Row],[Unit Price]]*Table1[[#This Row],[Quantity]]</f>
        <v>2000000</v>
      </c>
      <c r="O701" s="3">
        <f>Table1[[#This Row],[Cost Price]]*Table1[[#This Row],[Quantity]]</f>
        <v>1600000</v>
      </c>
      <c r="P701" s="3">
        <f>Table1[[#This Row],[Revenue]]-Table1[[#This Row],[COGS]]</f>
        <v>400000</v>
      </c>
      <c r="Q701" s="1">
        <v>700</v>
      </c>
    </row>
    <row r="702" spans="1:17">
      <c r="A702" t="s">
        <v>138</v>
      </c>
      <c r="B702" t="str">
        <f>TEXT(Table1[[#This Row],[Date]],"MMMM")</f>
        <v>April</v>
      </c>
      <c r="C702" t="str">
        <f>TEXT(Table1[[#This Row],[Date]],"DDDD")</f>
        <v>Monday</v>
      </c>
      <c r="D702" t="s">
        <v>27</v>
      </c>
      <c r="E702" t="s">
        <v>36</v>
      </c>
      <c r="F702" t="s">
        <v>41</v>
      </c>
      <c r="G702" t="s">
        <v>30</v>
      </c>
      <c r="H702" t="s">
        <v>50</v>
      </c>
      <c r="I702" t="s">
        <v>51</v>
      </c>
      <c r="J702" s="3">
        <v>300000</v>
      </c>
      <c r="K702">
        <v>4</v>
      </c>
      <c r="L702" t="s">
        <v>33</v>
      </c>
      <c r="M702" s="3">
        <v>240000</v>
      </c>
      <c r="N702" s="3">
        <f>Table1[[#This Row],[Unit Price]]*Table1[[#This Row],[Quantity]]</f>
        <v>1200000</v>
      </c>
      <c r="O702" s="3">
        <f>Table1[[#This Row],[Cost Price]]*Table1[[#This Row],[Quantity]]</f>
        <v>960000</v>
      </c>
      <c r="P702" s="3">
        <f>Table1[[#This Row],[Revenue]]-Table1[[#This Row],[COGS]]</f>
        <v>240000</v>
      </c>
      <c r="Q702" s="1">
        <v>701</v>
      </c>
    </row>
    <row r="703" spans="1:17">
      <c r="A703" t="s">
        <v>136</v>
      </c>
      <c r="B703" t="str">
        <f>TEXT(Table1[[#This Row],[Date]],"MMMM")</f>
        <v>February</v>
      </c>
      <c r="C703" t="str">
        <f>TEXT(Table1[[#This Row],[Date]],"DDDD")</f>
        <v>Saturday</v>
      </c>
      <c r="D703" t="s">
        <v>35</v>
      </c>
      <c r="E703" t="s">
        <v>45</v>
      </c>
      <c r="F703" t="s">
        <v>41</v>
      </c>
      <c r="G703" t="s">
        <v>30</v>
      </c>
      <c r="H703" t="s">
        <v>50</v>
      </c>
      <c r="I703" t="s">
        <v>51</v>
      </c>
      <c r="J703" s="3">
        <v>300000</v>
      </c>
      <c r="K703">
        <v>10</v>
      </c>
      <c r="L703" t="s">
        <v>65</v>
      </c>
      <c r="M703" s="3">
        <v>240000</v>
      </c>
      <c r="N703" s="3">
        <f>Table1[[#This Row],[Unit Price]]*Table1[[#This Row],[Quantity]]</f>
        <v>3000000</v>
      </c>
      <c r="O703" s="3">
        <f>Table1[[#This Row],[Cost Price]]*Table1[[#This Row],[Quantity]]</f>
        <v>2400000</v>
      </c>
      <c r="P703" s="3">
        <f>Table1[[#This Row],[Revenue]]-Table1[[#This Row],[COGS]]</f>
        <v>600000</v>
      </c>
      <c r="Q703" s="1">
        <v>702</v>
      </c>
    </row>
    <row r="704" spans="1:17">
      <c r="A704" t="s">
        <v>146</v>
      </c>
      <c r="B704" t="str">
        <f>TEXT(Table1[[#This Row],[Date]],"MMMM")</f>
        <v>January</v>
      </c>
      <c r="C704" t="str">
        <f>TEXT(Table1[[#This Row],[Date]],"DDDD")</f>
        <v>Tuesday</v>
      </c>
      <c r="D704" t="s">
        <v>44</v>
      </c>
      <c r="E704" t="s">
        <v>36</v>
      </c>
      <c r="F704" t="s">
        <v>29</v>
      </c>
      <c r="G704" t="s">
        <v>30</v>
      </c>
      <c r="H704" t="s">
        <v>50</v>
      </c>
      <c r="I704" t="s">
        <v>51</v>
      </c>
      <c r="J704" s="3">
        <v>300000</v>
      </c>
      <c r="K704">
        <v>2</v>
      </c>
      <c r="L704" t="s">
        <v>69</v>
      </c>
      <c r="M704" s="3">
        <v>240000</v>
      </c>
      <c r="N704" s="3">
        <f>Table1[[#This Row],[Unit Price]]*Table1[[#This Row],[Quantity]]</f>
        <v>600000</v>
      </c>
      <c r="O704" s="3">
        <f>Table1[[#This Row],[Cost Price]]*Table1[[#This Row],[Quantity]]</f>
        <v>480000</v>
      </c>
      <c r="P704" s="3">
        <f>Table1[[#This Row],[Revenue]]-Table1[[#This Row],[COGS]]</f>
        <v>120000</v>
      </c>
      <c r="Q704" s="1">
        <v>703</v>
      </c>
    </row>
    <row r="705" spans="1:17">
      <c r="A705" t="s">
        <v>174</v>
      </c>
      <c r="B705" t="str">
        <f>TEXT(Table1[[#This Row],[Date]],"MMMM")</f>
        <v>February</v>
      </c>
      <c r="C705" t="str">
        <f>TEXT(Table1[[#This Row],[Date]],"DDDD")</f>
        <v>Friday</v>
      </c>
      <c r="D705" t="s">
        <v>27</v>
      </c>
      <c r="E705" t="s">
        <v>53</v>
      </c>
      <c r="F705" t="s">
        <v>29</v>
      </c>
      <c r="G705" t="s">
        <v>37</v>
      </c>
      <c r="H705" t="s">
        <v>31</v>
      </c>
      <c r="I705" t="s">
        <v>32</v>
      </c>
      <c r="J705" s="3">
        <v>85000</v>
      </c>
      <c r="K705">
        <v>2</v>
      </c>
      <c r="L705" t="s">
        <v>58</v>
      </c>
      <c r="M705" s="3">
        <v>68000</v>
      </c>
      <c r="N705" s="3">
        <f>Table1[[#This Row],[Unit Price]]*Table1[[#This Row],[Quantity]]</f>
        <v>170000</v>
      </c>
      <c r="O705" s="3">
        <f>Table1[[#This Row],[Cost Price]]*Table1[[#This Row],[Quantity]]</f>
        <v>136000</v>
      </c>
      <c r="P705" s="3">
        <f>Table1[[#This Row],[Revenue]]-Table1[[#This Row],[COGS]]</f>
        <v>34000</v>
      </c>
      <c r="Q705" s="1">
        <v>704</v>
      </c>
    </row>
    <row r="706" spans="1:17">
      <c r="A706" t="s">
        <v>99</v>
      </c>
      <c r="B706" t="str">
        <f>TEXT(Table1[[#This Row],[Date]],"MMMM")</f>
        <v>April</v>
      </c>
      <c r="C706" t="str">
        <f>TEXT(Table1[[#This Row],[Date]],"DDDD")</f>
        <v>Sunday</v>
      </c>
      <c r="D706" t="s">
        <v>49</v>
      </c>
      <c r="E706" t="s">
        <v>36</v>
      </c>
      <c r="F706" t="s">
        <v>29</v>
      </c>
      <c r="G706" t="s">
        <v>30</v>
      </c>
      <c r="H706" t="s">
        <v>56</v>
      </c>
      <c r="I706" t="s">
        <v>32</v>
      </c>
      <c r="J706" s="3">
        <v>320000</v>
      </c>
      <c r="K706">
        <v>3</v>
      </c>
      <c r="L706" t="s">
        <v>47</v>
      </c>
      <c r="M706" s="3">
        <v>256000</v>
      </c>
      <c r="N706" s="3">
        <f>Table1[[#This Row],[Unit Price]]*Table1[[#This Row],[Quantity]]</f>
        <v>960000</v>
      </c>
      <c r="O706" s="3">
        <f>Table1[[#This Row],[Cost Price]]*Table1[[#This Row],[Quantity]]</f>
        <v>768000</v>
      </c>
      <c r="P706" s="3">
        <f>Table1[[#This Row],[Revenue]]-Table1[[#This Row],[COGS]]</f>
        <v>192000</v>
      </c>
      <c r="Q706" s="1">
        <v>705</v>
      </c>
    </row>
    <row r="707" spans="1:17">
      <c r="A707" t="s">
        <v>124</v>
      </c>
      <c r="B707" t="str">
        <f>TEXT(Table1[[#This Row],[Date]],"MMMM")</f>
        <v>February</v>
      </c>
      <c r="C707" t="str">
        <f>TEXT(Table1[[#This Row],[Date]],"DDDD")</f>
        <v>Monday</v>
      </c>
      <c r="D707" t="s">
        <v>27</v>
      </c>
      <c r="E707" t="s">
        <v>45</v>
      </c>
      <c r="F707" t="s">
        <v>29</v>
      </c>
      <c r="G707" t="s">
        <v>37</v>
      </c>
      <c r="H707" t="s">
        <v>62</v>
      </c>
      <c r="I707" t="s">
        <v>51</v>
      </c>
      <c r="J707" s="3">
        <v>150000</v>
      </c>
      <c r="K707">
        <v>4</v>
      </c>
      <c r="L707" t="s">
        <v>33</v>
      </c>
      <c r="M707" s="3">
        <v>120000</v>
      </c>
      <c r="N707" s="3">
        <f>Table1[[#This Row],[Unit Price]]*Table1[[#This Row],[Quantity]]</f>
        <v>600000</v>
      </c>
      <c r="O707" s="3">
        <f>Table1[[#This Row],[Cost Price]]*Table1[[#This Row],[Quantity]]</f>
        <v>480000</v>
      </c>
      <c r="P707" s="3">
        <f>Table1[[#This Row],[Revenue]]-Table1[[#This Row],[COGS]]</f>
        <v>120000</v>
      </c>
      <c r="Q707" s="1">
        <v>706</v>
      </c>
    </row>
    <row r="708" spans="1:17">
      <c r="A708" t="s">
        <v>147</v>
      </c>
      <c r="B708" t="str">
        <f>TEXT(Table1[[#This Row],[Date]],"MMMM")</f>
        <v>January</v>
      </c>
      <c r="C708" t="str">
        <f>TEXT(Table1[[#This Row],[Date]],"DDDD")</f>
        <v>Saturday</v>
      </c>
      <c r="D708" t="s">
        <v>27</v>
      </c>
      <c r="E708" t="s">
        <v>45</v>
      </c>
      <c r="F708" t="s">
        <v>41</v>
      </c>
      <c r="G708" t="s">
        <v>37</v>
      </c>
      <c r="H708" t="s">
        <v>46</v>
      </c>
      <c r="I708" t="s">
        <v>39</v>
      </c>
      <c r="J708" s="3">
        <v>60000</v>
      </c>
      <c r="K708">
        <v>8</v>
      </c>
      <c r="L708" t="s">
        <v>47</v>
      </c>
      <c r="M708" s="3">
        <v>48000</v>
      </c>
      <c r="N708" s="3">
        <f>Table1[[#This Row],[Unit Price]]*Table1[[#This Row],[Quantity]]</f>
        <v>480000</v>
      </c>
      <c r="O708" s="3">
        <f>Table1[[#This Row],[Cost Price]]*Table1[[#This Row],[Quantity]]</f>
        <v>384000</v>
      </c>
      <c r="P708" s="3">
        <f>Table1[[#This Row],[Revenue]]-Table1[[#This Row],[COGS]]</f>
        <v>96000</v>
      </c>
      <c r="Q708" s="1">
        <v>707</v>
      </c>
    </row>
    <row r="709" spans="1:17">
      <c r="A709" t="s">
        <v>81</v>
      </c>
      <c r="B709" t="str">
        <f>TEXT(Table1[[#This Row],[Date]],"MMMM")</f>
        <v>March</v>
      </c>
      <c r="C709" t="str">
        <f>TEXT(Table1[[#This Row],[Date]],"DDDD")</f>
        <v>Sunday</v>
      </c>
      <c r="D709" t="s">
        <v>49</v>
      </c>
      <c r="E709" t="s">
        <v>28</v>
      </c>
      <c r="F709" t="s">
        <v>41</v>
      </c>
      <c r="G709" t="s">
        <v>37</v>
      </c>
      <c r="H709" t="s">
        <v>31</v>
      </c>
      <c r="I709" t="s">
        <v>32</v>
      </c>
      <c r="J709" s="3">
        <v>85000</v>
      </c>
      <c r="K709">
        <v>2</v>
      </c>
      <c r="L709" t="s">
        <v>33</v>
      </c>
      <c r="M709" s="3">
        <v>68000</v>
      </c>
      <c r="N709" s="3">
        <f>Table1[[#This Row],[Unit Price]]*Table1[[#This Row],[Quantity]]</f>
        <v>170000</v>
      </c>
      <c r="O709" s="3">
        <f>Table1[[#This Row],[Cost Price]]*Table1[[#This Row],[Quantity]]</f>
        <v>136000</v>
      </c>
      <c r="P709" s="3">
        <f>Table1[[#This Row],[Revenue]]-Table1[[#This Row],[COGS]]</f>
        <v>34000</v>
      </c>
      <c r="Q709" s="1">
        <v>708</v>
      </c>
    </row>
    <row r="710" spans="1:17">
      <c r="A710" t="s">
        <v>34</v>
      </c>
      <c r="B710" t="str">
        <f>TEXT(Table1[[#This Row],[Date]],"MMMM")</f>
        <v>April</v>
      </c>
      <c r="C710" t="str">
        <f>TEXT(Table1[[#This Row],[Date]],"DDDD")</f>
        <v>Tuesday</v>
      </c>
      <c r="D710" t="s">
        <v>49</v>
      </c>
      <c r="E710" t="s">
        <v>36</v>
      </c>
      <c r="F710" t="s">
        <v>41</v>
      </c>
      <c r="G710" t="s">
        <v>37</v>
      </c>
      <c r="H710" t="s">
        <v>50</v>
      </c>
      <c r="I710" t="s">
        <v>51</v>
      </c>
      <c r="J710" s="3">
        <v>300000</v>
      </c>
      <c r="K710">
        <v>8</v>
      </c>
      <c r="L710" t="s">
        <v>42</v>
      </c>
      <c r="M710" s="3">
        <v>240000</v>
      </c>
      <c r="N710" s="3">
        <f>Table1[[#This Row],[Unit Price]]*Table1[[#This Row],[Quantity]]</f>
        <v>2400000</v>
      </c>
      <c r="O710" s="3">
        <f>Table1[[#This Row],[Cost Price]]*Table1[[#This Row],[Quantity]]</f>
        <v>1920000</v>
      </c>
      <c r="P710" s="3">
        <f>Table1[[#This Row],[Revenue]]-Table1[[#This Row],[COGS]]</f>
        <v>480000</v>
      </c>
      <c r="Q710" s="1">
        <v>709</v>
      </c>
    </row>
    <row r="711" spans="1:17">
      <c r="A711" t="s">
        <v>123</v>
      </c>
      <c r="B711" t="str">
        <f>TEXT(Table1[[#This Row],[Date]],"MMMM")</f>
        <v>April</v>
      </c>
      <c r="C711" t="str">
        <f>TEXT(Table1[[#This Row],[Date]],"DDDD")</f>
        <v>Monday</v>
      </c>
      <c r="D711" t="s">
        <v>49</v>
      </c>
      <c r="E711" t="s">
        <v>28</v>
      </c>
      <c r="F711" t="s">
        <v>29</v>
      </c>
      <c r="G711" t="s">
        <v>30</v>
      </c>
      <c r="H711" t="s">
        <v>56</v>
      </c>
      <c r="I711" t="s">
        <v>32</v>
      </c>
      <c r="J711" s="3">
        <v>320000</v>
      </c>
      <c r="K711">
        <v>5</v>
      </c>
      <c r="L711" t="s">
        <v>65</v>
      </c>
      <c r="M711" s="3">
        <v>256000</v>
      </c>
      <c r="N711" s="3">
        <f>Table1[[#This Row],[Unit Price]]*Table1[[#This Row],[Quantity]]</f>
        <v>1600000</v>
      </c>
      <c r="O711" s="3">
        <f>Table1[[#This Row],[Cost Price]]*Table1[[#This Row],[Quantity]]</f>
        <v>1280000</v>
      </c>
      <c r="P711" s="3">
        <f>Table1[[#This Row],[Revenue]]-Table1[[#This Row],[COGS]]</f>
        <v>320000</v>
      </c>
      <c r="Q711" s="1">
        <v>710</v>
      </c>
    </row>
    <row r="712" spans="1:17">
      <c r="A712" t="s">
        <v>146</v>
      </c>
      <c r="B712" t="str">
        <f>TEXT(Table1[[#This Row],[Date]],"MMMM")</f>
        <v>January</v>
      </c>
      <c r="C712" t="str">
        <f>TEXT(Table1[[#This Row],[Date]],"DDDD")</f>
        <v>Tuesday</v>
      </c>
      <c r="D712" t="s">
        <v>27</v>
      </c>
      <c r="E712" t="s">
        <v>36</v>
      </c>
      <c r="F712" t="s">
        <v>41</v>
      </c>
      <c r="G712" t="s">
        <v>37</v>
      </c>
      <c r="H712" t="s">
        <v>38</v>
      </c>
      <c r="I712" t="s">
        <v>39</v>
      </c>
      <c r="J712" s="3">
        <v>30000</v>
      </c>
      <c r="K712">
        <v>3</v>
      </c>
      <c r="L712" t="s">
        <v>42</v>
      </c>
      <c r="M712" s="3">
        <v>24000</v>
      </c>
      <c r="N712" s="3">
        <f>Table1[[#This Row],[Unit Price]]*Table1[[#This Row],[Quantity]]</f>
        <v>90000</v>
      </c>
      <c r="O712" s="3">
        <f>Table1[[#This Row],[Cost Price]]*Table1[[#This Row],[Quantity]]</f>
        <v>72000</v>
      </c>
      <c r="P712" s="3">
        <f>Table1[[#This Row],[Revenue]]-Table1[[#This Row],[COGS]]</f>
        <v>18000</v>
      </c>
      <c r="Q712" s="1">
        <v>711</v>
      </c>
    </row>
    <row r="713" spans="1:17">
      <c r="A713" t="s">
        <v>76</v>
      </c>
      <c r="B713" t="str">
        <f>TEXT(Table1[[#This Row],[Date]],"MMMM")</f>
        <v>May</v>
      </c>
      <c r="C713" t="str">
        <f>TEXT(Table1[[#This Row],[Date]],"DDDD")</f>
        <v>Thursday</v>
      </c>
      <c r="D713" t="s">
        <v>44</v>
      </c>
      <c r="E713" t="s">
        <v>28</v>
      </c>
      <c r="F713" t="s">
        <v>29</v>
      </c>
      <c r="G713" t="s">
        <v>37</v>
      </c>
      <c r="H713" t="s">
        <v>38</v>
      </c>
      <c r="I713" t="s">
        <v>39</v>
      </c>
      <c r="J713" s="3">
        <v>30000</v>
      </c>
      <c r="K713">
        <v>1</v>
      </c>
      <c r="L713" t="s">
        <v>42</v>
      </c>
      <c r="M713" s="3">
        <v>24000</v>
      </c>
      <c r="N713" s="3">
        <f>Table1[[#This Row],[Unit Price]]*Table1[[#This Row],[Quantity]]</f>
        <v>30000</v>
      </c>
      <c r="O713" s="3">
        <f>Table1[[#This Row],[Cost Price]]*Table1[[#This Row],[Quantity]]</f>
        <v>24000</v>
      </c>
      <c r="P713" s="3">
        <f>Table1[[#This Row],[Revenue]]-Table1[[#This Row],[COGS]]</f>
        <v>6000</v>
      </c>
      <c r="Q713" s="1">
        <v>712</v>
      </c>
    </row>
    <row r="714" spans="1:17">
      <c r="A714" t="s">
        <v>87</v>
      </c>
      <c r="B714" t="str">
        <f>TEXT(Table1[[#This Row],[Date]],"MMMM")</f>
        <v>March</v>
      </c>
      <c r="C714" t="str">
        <f>TEXT(Table1[[#This Row],[Date]],"DDDD")</f>
        <v>Thursday</v>
      </c>
      <c r="D714" t="s">
        <v>44</v>
      </c>
      <c r="E714" t="s">
        <v>53</v>
      </c>
      <c r="F714" t="s">
        <v>41</v>
      </c>
      <c r="G714" t="s">
        <v>37</v>
      </c>
      <c r="H714" t="s">
        <v>62</v>
      </c>
      <c r="I714" t="s">
        <v>51</v>
      </c>
      <c r="J714" s="3">
        <v>150000</v>
      </c>
      <c r="K714">
        <v>3</v>
      </c>
      <c r="L714" t="s">
        <v>42</v>
      </c>
      <c r="M714" s="3">
        <v>120000</v>
      </c>
      <c r="N714" s="3">
        <f>Table1[[#This Row],[Unit Price]]*Table1[[#This Row],[Quantity]]</f>
        <v>450000</v>
      </c>
      <c r="O714" s="3">
        <f>Table1[[#This Row],[Cost Price]]*Table1[[#This Row],[Quantity]]</f>
        <v>360000</v>
      </c>
      <c r="P714" s="3">
        <f>Table1[[#This Row],[Revenue]]-Table1[[#This Row],[COGS]]</f>
        <v>90000</v>
      </c>
      <c r="Q714" s="1">
        <v>713</v>
      </c>
    </row>
    <row r="715" spans="1:17">
      <c r="A715" t="s">
        <v>77</v>
      </c>
      <c r="B715" t="str">
        <f>TEXT(Table1[[#This Row],[Date]],"MMMM")</f>
        <v>April</v>
      </c>
      <c r="C715" t="str">
        <f>TEXT(Table1[[#This Row],[Date]],"DDDD")</f>
        <v>Friday</v>
      </c>
      <c r="D715" t="s">
        <v>44</v>
      </c>
      <c r="E715" t="s">
        <v>45</v>
      </c>
      <c r="F715" t="s">
        <v>29</v>
      </c>
      <c r="G715" t="s">
        <v>30</v>
      </c>
      <c r="H715" t="s">
        <v>38</v>
      </c>
      <c r="I715" t="s">
        <v>39</v>
      </c>
      <c r="J715" s="3">
        <v>30000</v>
      </c>
      <c r="K715">
        <v>5</v>
      </c>
      <c r="L715" t="s">
        <v>58</v>
      </c>
      <c r="M715" s="3">
        <v>24000</v>
      </c>
      <c r="N715" s="3">
        <f>Table1[[#This Row],[Unit Price]]*Table1[[#This Row],[Quantity]]</f>
        <v>150000</v>
      </c>
      <c r="O715" s="3">
        <f>Table1[[#This Row],[Cost Price]]*Table1[[#This Row],[Quantity]]</f>
        <v>120000</v>
      </c>
      <c r="P715" s="3">
        <f>Table1[[#This Row],[Revenue]]-Table1[[#This Row],[COGS]]</f>
        <v>30000</v>
      </c>
      <c r="Q715" s="1">
        <v>714</v>
      </c>
    </row>
    <row r="716" spans="1:17">
      <c r="A716" t="s">
        <v>57</v>
      </c>
      <c r="B716" t="str">
        <f>TEXT(Table1[[#This Row],[Date]],"MMMM")</f>
        <v>February</v>
      </c>
      <c r="C716" t="str">
        <f>TEXT(Table1[[#This Row],[Date]],"DDDD")</f>
        <v>Thursday</v>
      </c>
      <c r="D716" t="s">
        <v>49</v>
      </c>
      <c r="E716" t="s">
        <v>53</v>
      </c>
      <c r="F716" t="s">
        <v>41</v>
      </c>
      <c r="G716" t="s">
        <v>37</v>
      </c>
      <c r="H716" t="s">
        <v>54</v>
      </c>
      <c r="I716" t="s">
        <v>39</v>
      </c>
      <c r="J716" s="3">
        <v>180000</v>
      </c>
      <c r="K716">
        <v>4</v>
      </c>
      <c r="L716" t="s">
        <v>42</v>
      </c>
      <c r="M716" s="3">
        <v>144000</v>
      </c>
      <c r="N716" s="3">
        <f>Table1[[#This Row],[Unit Price]]*Table1[[#This Row],[Quantity]]</f>
        <v>720000</v>
      </c>
      <c r="O716" s="3">
        <f>Table1[[#This Row],[Cost Price]]*Table1[[#This Row],[Quantity]]</f>
        <v>576000</v>
      </c>
      <c r="P716" s="3">
        <f>Table1[[#This Row],[Revenue]]-Table1[[#This Row],[COGS]]</f>
        <v>144000</v>
      </c>
      <c r="Q716" s="1">
        <v>715</v>
      </c>
    </row>
    <row r="717" spans="1:17">
      <c r="A717" t="s">
        <v>160</v>
      </c>
      <c r="B717" t="str">
        <f>TEXT(Table1[[#This Row],[Date]],"MMMM")</f>
        <v>January</v>
      </c>
      <c r="C717" t="str">
        <f>TEXT(Table1[[#This Row],[Date]],"DDDD")</f>
        <v>Saturday</v>
      </c>
      <c r="D717" t="s">
        <v>44</v>
      </c>
      <c r="E717" t="s">
        <v>45</v>
      </c>
      <c r="F717" t="s">
        <v>41</v>
      </c>
      <c r="G717" t="s">
        <v>37</v>
      </c>
      <c r="H717" t="s">
        <v>54</v>
      </c>
      <c r="I717" t="s">
        <v>39</v>
      </c>
      <c r="J717" s="3">
        <v>180000</v>
      </c>
      <c r="K717">
        <v>3</v>
      </c>
      <c r="L717" t="s">
        <v>69</v>
      </c>
      <c r="M717" s="3">
        <v>144000</v>
      </c>
      <c r="N717" s="3">
        <f>Table1[[#This Row],[Unit Price]]*Table1[[#This Row],[Quantity]]</f>
        <v>540000</v>
      </c>
      <c r="O717" s="3">
        <f>Table1[[#This Row],[Cost Price]]*Table1[[#This Row],[Quantity]]</f>
        <v>432000</v>
      </c>
      <c r="P717" s="3">
        <f>Table1[[#This Row],[Revenue]]-Table1[[#This Row],[COGS]]</f>
        <v>108000</v>
      </c>
      <c r="Q717" s="1">
        <v>716</v>
      </c>
    </row>
    <row r="718" spans="1:17">
      <c r="A718" t="s">
        <v>125</v>
      </c>
      <c r="B718" t="str">
        <f>TEXT(Table1[[#This Row],[Date]],"MMMM")</f>
        <v>February</v>
      </c>
      <c r="C718" t="str">
        <f>TEXT(Table1[[#This Row],[Date]],"DDDD")</f>
        <v>Tuesday</v>
      </c>
      <c r="D718" t="s">
        <v>35</v>
      </c>
      <c r="E718" t="s">
        <v>36</v>
      </c>
      <c r="F718" t="s">
        <v>41</v>
      </c>
      <c r="G718" t="s">
        <v>37</v>
      </c>
      <c r="H718" t="s">
        <v>50</v>
      </c>
      <c r="I718" t="s">
        <v>51</v>
      </c>
      <c r="J718" s="3">
        <v>300000</v>
      </c>
      <c r="K718">
        <v>8</v>
      </c>
      <c r="L718" t="s">
        <v>33</v>
      </c>
      <c r="M718" s="3">
        <v>240000</v>
      </c>
      <c r="N718" s="3">
        <f>Table1[[#This Row],[Unit Price]]*Table1[[#This Row],[Quantity]]</f>
        <v>2400000</v>
      </c>
      <c r="O718" s="3">
        <f>Table1[[#This Row],[Cost Price]]*Table1[[#This Row],[Quantity]]</f>
        <v>1920000</v>
      </c>
      <c r="P718" s="3">
        <f>Table1[[#This Row],[Revenue]]-Table1[[#This Row],[COGS]]</f>
        <v>480000</v>
      </c>
      <c r="Q718" s="1">
        <v>717</v>
      </c>
    </row>
    <row r="719" spans="1:17">
      <c r="A719" t="s">
        <v>79</v>
      </c>
      <c r="B719" t="str">
        <f>TEXT(Table1[[#This Row],[Date]],"MMMM")</f>
        <v>February</v>
      </c>
      <c r="C719" t="str">
        <f>TEXT(Table1[[#This Row],[Date]],"DDDD")</f>
        <v>Wednesday</v>
      </c>
      <c r="D719" t="s">
        <v>35</v>
      </c>
      <c r="E719" t="s">
        <v>53</v>
      </c>
      <c r="F719" t="s">
        <v>41</v>
      </c>
      <c r="G719" t="s">
        <v>30</v>
      </c>
      <c r="H719" t="s">
        <v>31</v>
      </c>
      <c r="I719" t="s">
        <v>32</v>
      </c>
      <c r="J719" s="3">
        <v>85000</v>
      </c>
      <c r="K719">
        <v>8</v>
      </c>
      <c r="L719" t="s">
        <v>42</v>
      </c>
      <c r="M719" s="3">
        <v>68000</v>
      </c>
      <c r="N719" s="3">
        <f>Table1[[#This Row],[Unit Price]]*Table1[[#This Row],[Quantity]]</f>
        <v>680000</v>
      </c>
      <c r="O719" s="3">
        <f>Table1[[#This Row],[Cost Price]]*Table1[[#This Row],[Quantity]]</f>
        <v>544000</v>
      </c>
      <c r="P719" s="3">
        <f>Table1[[#This Row],[Revenue]]-Table1[[#This Row],[COGS]]</f>
        <v>136000</v>
      </c>
      <c r="Q719" s="1">
        <v>718</v>
      </c>
    </row>
    <row r="720" spans="1:17">
      <c r="A720" t="s">
        <v>90</v>
      </c>
      <c r="B720" t="str">
        <f>TEXT(Table1[[#This Row],[Date]],"MMMM")</f>
        <v>February</v>
      </c>
      <c r="C720" t="str">
        <f>TEXT(Table1[[#This Row],[Date]],"DDDD")</f>
        <v>Tuesday</v>
      </c>
      <c r="D720" t="s">
        <v>49</v>
      </c>
      <c r="E720" t="s">
        <v>36</v>
      </c>
      <c r="F720" t="s">
        <v>29</v>
      </c>
      <c r="G720" t="s">
        <v>37</v>
      </c>
      <c r="H720" t="s">
        <v>54</v>
      </c>
      <c r="I720" t="s">
        <v>39</v>
      </c>
      <c r="J720" s="3">
        <v>180000</v>
      </c>
      <c r="K720">
        <v>1</v>
      </c>
      <c r="L720" t="s">
        <v>33</v>
      </c>
      <c r="M720" s="3">
        <v>144000</v>
      </c>
      <c r="N720" s="3">
        <f>Table1[[#This Row],[Unit Price]]*Table1[[#This Row],[Quantity]]</f>
        <v>180000</v>
      </c>
      <c r="O720" s="3">
        <f>Table1[[#This Row],[Cost Price]]*Table1[[#This Row],[Quantity]]</f>
        <v>144000</v>
      </c>
      <c r="P720" s="3">
        <f>Table1[[#This Row],[Revenue]]-Table1[[#This Row],[COGS]]</f>
        <v>36000</v>
      </c>
      <c r="Q720" s="1">
        <v>719</v>
      </c>
    </row>
    <row r="721" spans="1:17">
      <c r="A721" t="s">
        <v>108</v>
      </c>
      <c r="B721" t="str">
        <f>TEXT(Table1[[#This Row],[Date]],"MMMM")</f>
        <v>April</v>
      </c>
      <c r="C721" t="str">
        <f>TEXT(Table1[[#This Row],[Date]],"DDDD")</f>
        <v>Thursday</v>
      </c>
      <c r="D721" t="s">
        <v>44</v>
      </c>
      <c r="E721" t="s">
        <v>28</v>
      </c>
      <c r="F721" t="s">
        <v>41</v>
      </c>
      <c r="G721" t="s">
        <v>30</v>
      </c>
      <c r="H721" t="s">
        <v>67</v>
      </c>
      <c r="I721" t="s">
        <v>51</v>
      </c>
      <c r="J721" s="3">
        <v>420000</v>
      </c>
      <c r="K721">
        <v>6</v>
      </c>
      <c r="L721" t="s">
        <v>42</v>
      </c>
      <c r="M721" s="3">
        <v>336000</v>
      </c>
      <c r="N721" s="3">
        <f>Table1[[#This Row],[Unit Price]]*Table1[[#This Row],[Quantity]]</f>
        <v>2520000</v>
      </c>
      <c r="O721" s="3">
        <f>Table1[[#This Row],[Cost Price]]*Table1[[#This Row],[Quantity]]</f>
        <v>2016000</v>
      </c>
      <c r="P721" s="3">
        <f>Table1[[#This Row],[Revenue]]-Table1[[#This Row],[COGS]]</f>
        <v>504000</v>
      </c>
      <c r="Q721" s="1">
        <v>720</v>
      </c>
    </row>
    <row r="722" spans="1:17">
      <c r="A722" t="s">
        <v>140</v>
      </c>
      <c r="B722" t="str">
        <f>TEXT(Table1[[#This Row],[Date]],"MMMM")</f>
        <v>April</v>
      </c>
      <c r="C722" t="str">
        <f>TEXT(Table1[[#This Row],[Date]],"DDDD")</f>
        <v>Thursday</v>
      </c>
      <c r="D722" t="s">
        <v>27</v>
      </c>
      <c r="E722" t="s">
        <v>53</v>
      </c>
      <c r="F722" t="s">
        <v>29</v>
      </c>
      <c r="G722" t="s">
        <v>37</v>
      </c>
      <c r="H722" t="s">
        <v>67</v>
      </c>
      <c r="I722" t="s">
        <v>51</v>
      </c>
      <c r="J722" s="3">
        <v>420000</v>
      </c>
      <c r="K722">
        <v>4</v>
      </c>
      <c r="L722" t="s">
        <v>65</v>
      </c>
      <c r="M722" s="3">
        <v>336000</v>
      </c>
      <c r="N722" s="3">
        <f>Table1[[#This Row],[Unit Price]]*Table1[[#This Row],[Quantity]]</f>
        <v>1680000</v>
      </c>
      <c r="O722" s="3">
        <f>Table1[[#This Row],[Cost Price]]*Table1[[#This Row],[Quantity]]</f>
        <v>1344000</v>
      </c>
      <c r="P722" s="3">
        <f>Table1[[#This Row],[Revenue]]-Table1[[#This Row],[COGS]]</f>
        <v>336000</v>
      </c>
      <c r="Q722" s="1">
        <v>721</v>
      </c>
    </row>
    <row r="723" spans="1:17">
      <c r="A723" t="s">
        <v>102</v>
      </c>
      <c r="B723" t="str">
        <f>TEXT(Table1[[#This Row],[Date]],"MMMM")</f>
        <v>March</v>
      </c>
      <c r="C723" t="str">
        <f>TEXT(Table1[[#This Row],[Date]],"DDDD")</f>
        <v>Wednesday</v>
      </c>
      <c r="D723" t="s">
        <v>35</v>
      </c>
      <c r="E723" t="s">
        <v>53</v>
      </c>
      <c r="F723" t="s">
        <v>41</v>
      </c>
      <c r="G723" t="s">
        <v>37</v>
      </c>
      <c r="H723" t="s">
        <v>54</v>
      </c>
      <c r="I723" t="s">
        <v>39</v>
      </c>
      <c r="J723" s="3">
        <v>180000</v>
      </c>
      <c r="K723">
        <v>3</v>
      </c>
      <c r="L723" t="s">
        <v>42</v>
      </c>
      <c r="M723" s="3">
        <v>144000</v>
      </c>
      <c r="N723" s="3">
        <f>Table1[[#This Row],[Unit Price]]*Table1[[#This Row],[Quantity]]</f>
        <v>540000</v>
      </c>
      <c r="O723" s="3">
        <f>Table1[[#This Row],[Cost Price]]*Table1[[#This Row],[Quantity]]</f>
        <v>432000</v>
      </c>
      <c r="P723" s="3">
        <f>Table1[[#This Row],[Revenue]]-Table1[[#This Row],[COGS]]</f>
        <v>108000</v>
      </c>
      <c r="Q723" s="1">
        <v>722</v>
      </c>
    </row>
    <row r="724" spans="1:17">
      <c r="A724" t="s">
        <v>66</v>
      </c>
      <c r="B724" t="str">
        <f>TEXT(Table1[[#This Row],[Date]],"MMMM")</f>
        <v>March</v>
      </c>
      <c r="C724" t="str">
        <f>TEXT(Table1[[#This Row],[Date]],"DDDD")</f>
        <v>Saturday</v>
      </c>
      <c r="D724" t="s">
        <v>44</v>
      </c>
      <c r="E724" t="s">
        <v>36</v>
      </c>
      <c r="F724" t="s">
        <v>29</v>
      </c>
      <c r="G724" t="s">
        <v>30</v>
      </c>
      <c r="H724" t="s">
        <v>46</v>
      </c>
      <c r="I724" t="s">
        <v>39</v>
      </c>
      <c r="J724" s="3">
        <v>60000</v>
      </c>
      <c r="K724">
        <v>3</v>
      </c>
      <c r="L724" t="s">
        <v>42</v>
      </c>
      <c r="M724" s="3">
        <v>48000</v>
      </c>
      <c r="N724" s="3">
        <f>Table1[[#This Row],[Unit Price]]*Table1[[#This Row],[Quantity]]</f>
        <v>180000</v>
      </c>
      <c r="O724" s="3">
        <f>Table1[[#This Row],[Cost Price]]*Table1[[#This Row],[Quantity]]</f>
        <v>144000</v>
      </c>
      <c r="P724" s="3">
        <f>Table1[[#This Row],[Revenue]]-Table1[[#This Row],[COGS]]</f>
        <v>36000</v>
      </c>
      <c r="Q724" s="1">
        <v>723</v>
      </c>
    </row>
    <row r="725" spans="1:17">
      <c r="A725" t="s">
        <v>98</v>
      </c>
      <c r="B725" t="str">
        <f>TEXT(Table1[[#This Row],[Date]],"MMMM")</f>
        <v>January</v>
      </c>
      <c r="C725" t="str">
        <f>TEXT(Table1[[#This Row],[Date]],"DDDD")</f>
        <v>Friday</v>
      </c>
      <c r="D725" t="s">
        <v>35</v>
      </c>
      <c r="E725" t="s">
        <v>53</v>
      </c>
      <c r="F725" t="s">
        <v>29</v>
      </c>
      <c r="G725" t="s">
        <v>37</v>
      </c>
      <c r="H725" t="s">
        <v>62</v>
      </c>
      <c r="I725" t="s">
        <v>51</v>
      </c>
      <c r="J725" s="3">
        <v>150000</v>
      </c>
      <c r="K725">
        <v>1</v>
      </c>
      <c r="L725" t="s">
        <v>47</v>
      </c>
      <c r="M725" s="3">
        <v>120000</v>
      </c>
      <c r="N725" s="3">
        <f>Table1[[#This Row],[Unit Price]]*Table1[[#This Row],[Quantity]]</f>
        <v>150000</v>
      </c>
      <c r="O725" s="3">
        <f>Table1[[#This Row],[Cost Price]]*Table1[[#This Row],[Quantity]]</f>
        <v>120000</v>
      </c>
      <c r="P725" s="3">
        <f>Table1[[#This Row],[Revenue]]-Table1[[#This Row],[COGS]]</f>
        <v>30000</v>
      </c>
      <c r="Q725" s="1">
        <v>724</v>
      </c>
    </row>
    <row r="726" spans="1:17">
      <c r="A726" t="s">
        <v>133</v>
      </c>
      <c r="B726" t="str">
        <f>TEXT(Table1[[#This Row],[Date]],"MMMM")</f>
        <v>January</v>
      </c>
      <c r="C726" t="str">
        <f>TEXT(Table1[[#This Row],[Date]],"DDDD")</f>
        <v>Wednesday</v>
      </c>
      <c r="D726" t="s">
        <v>44</v>
      </c>
      <c r="E726" t="s">
        <v>28</v>
      </c>
      <c r="F726" t="s">
        <v>41</v>
      </c>
      <c r="G726" t="s">
        <v>30</v>
      </c>
      <c r="H726" t="s">
        <v>67</v>
      </c>
      <c r="I726" t="s">
        <v>51</v>
      </c>
      <c r="J726" s="3">
        <v>420000</v>
      </c>
      <c r="K726">
        <v>4</v>
      </c>
      <c r="L726" t="s">
        <v>42</v>
      </c>
      <c r="M726" s="3">
        <v>336000</v>
      </c>
      <c r="N726" s="3">
        <f>Table1[[#This Row],[Unit Price]]*Table1[[#This Row],[Quantity]]</f>
        <v>1680000</v>
      </c>
      <c r="O726" s="3">
        <f>Table1[[#This Row],[Cost Price]]*Table1[[#This Row],[Quantity]]</f>
        <v>1344000</v>
      </c>
      <c r="P726" s="3">
        <f>Table1[[#This Row],[Revenue]]-Table1[[#This Row],[COGS]]</f>
        <v>336000</v>
      </c>
      <c r="Q726" s="1">
        <v>725</v>
      </c>
    </row>
    <row r="727" spans="1:17">
      <c r="A727" t="s">
        <v>114</v>
      </c>
      <c r="B727" t="str">
        <f>TEXT(Table1[[#This Row],[Date]],"MMMM")</f>
        <v>April</v>
      </c>
      <c r="C727" t="str">
        <f>TEXT(Table1[[#This Row],[Date]],"DDDD")</f>
        <v>Sunday</v>
      </c>
      <c r="D727" t="s">
        <v>49</v>
      </c>
      <c r="E727" t="s">
        <v>36</v>
      </c>
      <c r="F727" t="s">
        <v>41</v>
      </c>
      <c r="G727" t="s">
        <v>30</v>
      </c>
      <c r="H727" t="s">
        <v>71</v>
      </c>
      <c r="I727" t="s">
        <v>51</v>
      </c>
      <c r="J727" s="3">
        <v>250000</v>
      </c>
      <c r="K727">
        <v>6</v>
      </c>
      <c r="L727" t="s">
        <v>47</v>
      </c>
      <c r="M727" s="3">
        <v>200000</v>
      </c>
      <c r="N727" s="3">
        <f>Table1[[#This Row],[Unit Price]]*Table1[[#This Row],[Quantity]]</f>
        <v>1500000</v>
      </c>
      <c r="O727" s="3">
        <f>Table1[[#This Row],[Cost Price]]*Table1[[#This Row],[Quantity]]</f>
        <v>1200000</v>
      </c>
      <c r="P727" s="3">
        <f>Table1[[#This Row],[Revenue]]-Table1[[#This Row],[COGS]]</f>
        <v>300000</v>
      </c>
      <c r="Q727" s="1">
        <v>726</v>
      </c>
    </row>
    <row r="728" spans="1:17">
      <c r="A728" t="s">
        <v>118</v>
      </c>
      <c r="B728" t="str">
        <f>TEXT(Table1[[#This Row],[Date]],"MMMM")</f>
        <v>March</v>
      </c>
      <c r="C728" t="str">
        <f>TEXT(Table1[[#This Row],[Date]],"DDDD")</f>
        <v>Tuesday</v>
      </c>
      <c r="D728" t="s">
        <v>44</v>
      </c>
      <c r="E728" t="s">
        <v>28</v>
      </c>
      <c r="F728" t="s">
        <v>41</v>
      </c>
      <c r="G728" t="s">
        <v>37</v>
      </c>
      <c r="H728" t="s">
        <v>56</v>
      </c>
      <c r="I728" t="s">
        <v>32</v>
      </c>
      <c r="J728" s="3">
        <v>320000</v>
      </c>
      <c r="K728">
        <v>1</v>
      </c>
      <c r="L728" t="s">
        <v>58</v>
      </c>
      <c r="M728" s="3">
        <v>256000</v>
      </c>
      <c r="N728" s="3">
        <f>Table1[[#This Row],[Unit Price]]*Table1[[#This Row],[Quantity]]</f>
        <v>320000</v>
      </c>
      <c r="O728" s="3">
        <f>Table1[[#This Row],[Cost Price]]*Table1[[#This Row],[Quantity]]</f>
        <v>256000</v>
      </c>
      <c r="P728" s="3">
        <f>Table1[[#This Row],[Revenue]]-Table1[[#This Row],[COGS]]</f>
        <v>64000</v>
      </c>
      <c r="Q728" s="1">
        <v>727</v>
      </c>
    </row>
    <row r="729" spans="1:17">
      <c r="A729" t="s">
        <v>115</v>
      </c>
      <c r="B729" t="str">
        <f>TEXT(Table1[[#This Row],[Date]],"MMMM")</f>
        <v>January</v>
      </c>
      <c r="C729" t="str">
        <f>TEXT(Table1[[#This Row],[Date]],"DDDD")</f>
        <v>Thursday</v>
      </c>
      <c r="D729" t="s">
        <v>49</v>
      </c>
      <c r="E729" t="s">
        <v>53</v>
      </c>
      <c r="F729" t="s">
        <v>41</v>
      </c>
      <c r="G729" t="s">
        <v>37</v>
      </c>
      <c r="H729" t="s">
        <v>73</v>
      </c>
      <c r="I729" t="s">
        <v>39</v>
      </c>
      <c r="J729" s="3">
        <v>220000</v>
      </c>
      <c r="K729">
        <v>10</v>
      </c>
      <c r="L729" t="s">
        <v>69</v>
      </c>
      <c r="M729" s="3">
        <v>176000</v>
      </c>
      <c r="N729" s="3">
        <f>Table1[[#This Row],[Unit Price]]*Table1[[#This Row],[Quantity]]</f>
        <v>2200000</v>
      </c>
      <c r="O729" s="3">
        <f>Table1[[#This Row],[Cost Price]]*Table1[[#This Row],[Quantity]]</f>
        <v>1760000</v>
      </c>
      <c r="P729" s="3">
        <f>Table1[[#This Row],[Revenue]]-Table1[[#This Row],[COGS]]</f>
        <v>440000</v>
      </c>
      <c r="Q729" s="1">
        <v>728</v>
      </c>
    </row>
    <row r="730" spans="1:17">
      <c r="A730" t="s">
        <v>78</v>
      </c>
      <c r="B730" t="str">
        <f>TEXT(Table1[[#This Row],[Date]],"MMMM")</f>
        <v>April</v>
      </c>
      <c r="C730" t="str">
        <f>TEXT(Table1[[#This Row],[Date]],"DDDD")</f>
        <v>Tuesday</v>
      </c>
      <c r="D730" t="s">
        <v>49</v>
      </c>
      <c r="E730" t="s">
        <v>36</v>
      </c>
      <c r="F730" t="s">
        <v>29</v>
      </c>
      <c r="G730" t="s">
        <v>30</v>
      </c>
      <c r="H730" t="s">
        <v>73</v>
      </c>
      <c r="I730" t="s">
        <v>39</v>
      </c>
      <c r="J730" s="3">
        <v>220000</v>
      </c>
      <c r="K730">
        <v>5</v>
      </c>
      <c r="L730" t="s">
        <v>42</v>
      </c>
      <c r="M730" s="3">
        <v>176000</v>
      </c>
      <c r="N730" s="3">
        <f>Table1[[#This Row],[Unit Price]]*Table1[[#This Row],[Quantity]]</f>
        <v>1100000</v>
      </c>
      <c r="O730" s="3">
        <f>Table1[[#This Row],[Cost Price]]*Table1[[#This Row],[Quantity]]</f>
        <v>880000</v>
      </c>
      <c r="P730" s="3">
        <f>Table1[[#This Row],[Revenue]]-Table1[[#This Row],[COGS]]</f>
        <v>220000</v>
      </c>
      <c r="Q730" s="1">
        <v>729</v>
      </c>
    </row>
    <row r="731" spans="1:17">
      <c r="A731" t="s">
        <v>110</v>
      </c>
      <c r="B731" t="str">
        <f>TEXT(Table1[[#This Row],[Date]],"MMMM")</f>
        <v>January</v>
      </c>
      <c r="C731" t="str">
        <f>TEXT(Table1[[#This Row],[Date]],"DDDD")</f>
        <v>Thursday</v>
      </c>
      <c r="D731" t="s">
        <v>44</v>
      </c>
      <c r="E731" t="s">
        <v>45</v>
      </c>
      <c r="F731" t="s">
        <v>41</v>
      </c>
      <c r="G731" t="s">
        <v>37</v>
      </c>
      <c r="H731" t="s">
        <v>73</v>
      </c>
      <c r="I731" t="s">
        <v>39</v>
      </c>
      <c r="J731" s="3">
        <v>220000</v>
      </c>
      <c r="K731">
        <v>8</v>
      </c>
      <c r="L731" t="s">
        <v>69</v>
      </c>
      <c r="M731" s="3">
        <v>176000</v>
      </c>
      <c r="N731" s="3">
        <f>Table1[[#This Row],[Unit Price]]*Table1[[#This Row],[Quantity]]</f>
        <v>1760000</v>
      </c>
      <c r="O731" s="3">
        <f>Table1[[#This Row],[Cost Price]]*Table1[[#This Row],[Quantity]]</f>
        <v>1408000</v>
      </c>
      <c r="P731" s="3">
        <f>Table1[[#This Row],[Revenue]]-Table1[[#This Row],[COGS]]</f>
        <v>352000</v>
      </c>
      <c r="Q731" s="1">
        <v>730</v>
      </c>
    </row>
    <row r="732" spans="1:17">
      <c r="A732" t="s">
        <v>164</v>
      </c>
      <c r="B732" t="str">
        <f>TEXT(Table1[[#This Row],[Date]],"MMMM")</f>
        <v>March</v>
      </c>
      <c r="C732" t="str">
        <f>TEXT(Table1[[#This Row],[Date]],"DDDD")</f>
        <v>Tuesday</v>
      </c>
      <c r="D732" t="s">
        <v>35</v>
      </c>
      <c r="E732" t="s">
        <v>28</v>
      </c>
      <c r="F732" t="s">
        <v>29</v>
      </c>
      <c r="G732" t="s">
        <v>30</v>
      </c>
      <c r="H732" t="s">
        <v>73</v>
      </c>
      <c r="I732" t="s">
        <v>39</v>
      </c>
      <c r="J732" s="3">
        <v>220000</v>
      </c>
      <c r="K732">
        <v>9</v>
      </c>
      <c r="L732" t="s">
        <v>47</v>
      </c>
      <c r="M732" s="3">
        <v>176000</v>
      </c>
      <c r="N732" s="3">
        <f>Table1[[#This Row],[Unit Price]]*Table1[[#This Row],[Quantity]]</f>
        <v>1980000</v>
      </c>
      <c r="O732" s="3">
        <f>Table1[[#This Row],[Cost Price]]*Table1[[#This Row],[Quantity]]</f>
        <v>1584000</v>
      </c>
      <c r="P732" s="3">
        <f>Table1[[#This Row],[Revenue]]-Table1[[#This Row],[COGS]]</f>
        <v>396000</v>
      </c>
      <c r="Q732" s="1">
        <v>731</v>
      </c>
    </row>
    <row r="733" spans="1:17">
      <c r="A733" t="s">
        <v>120</v>
      </c>
      <c r="B733" t="str">
        <f>TEXT(Table1[[#This Row],[Date]],"MMMM")</f>
        <v>March</v>
      </c>
      <c r="C733" t="str">
        <f>TEXT(Table1[[#This Row],[Date]],"DDDD")</f>
        <v>Thursday</v>
      </c>
      <c r="D733" t="s">
        <v>49</v>
      </c>
      <c r="E733" t="s">
        <v>45</v>
      </c>
      <c r="F733" t="s">
        <v>41</v>
      </c>
      <c r="G733" t="s">
        <v>30</v>
      </c>
      <c r="H733" t="s">
        <v>50</v>
      </c>
      <c r="I733" t="s">
        <v>51</v>
      </c>
      <c r="J733" s="3">
        <v>300000</v>
      </c>
      <c r="K733">
        <v>7</v>
      </c>
      <c r="L733" t="s">
        <v>69</v>
      </c>
      <c r="M733" s="3">
        <v>240000</v>
      </c>
      <c r="N733" s="3">
        <f>Table1[[#This Row],[Unit Price]]*Table1[[#This Row],[Quantity]]</f>
        <v>2100000</v>
      </c>
      <c r="O733" s="3">
        <f>Table1[[#This Row],[Cost Price]]*Table1[[#This Row],[Quantity]]</f>
        <v>1680000</v>
      </c>
      <c r="P733" s="3">
        <f>Table1[[#This Row],[Revenue]]-Table1[[#This Row],[COGS]]</f>
        <v>420000</v>
      </c>
      <c r="Q733" s="1">
        <v>732</v>
      </c>
    </row>
    <row r="734" spans="1:17">
      <c r="A734" t="s">
        <v>104</v>
      </c>
      <c r="B734" t="str">
        <f>TEXT(Table1[[#This Row],[Date]],"MMMM")</f>
        <v>March</v>
      </c>
      <c r="C734" t="str">
        <f>TEXT(Table1[[#This Row],[Date]],"DDDD")</f>
        <v>Friday</v>
      </c>
      <c r="D734" t="s">
        <v>27</v>
      </c>
      <c r="E734" t="s">
        <v>53</v>
      </c>
      <c r="F734" t="s">
        <v>29</v>
      </c>
      <c r="G734" t="s">
        <v>30</v>
      </c>
      <c r="H734" t="s">
        <v>67</v>
      </c>
      <c r="I734" t="s">
        <v>51</v>
      </c>
      <c r="J734" s="3">
        <v>420000</v>
      </c>
      <c r="K734">
        <v>1</v>
      </c>
      <c r="L734" t="s">
        <v>47</v>
      </c>
      <c r="M734" s="3">
        <v>336000</v>
      </c>
      <c r="N734" s="3">
        <f>Table1[[#This Row],[Unit Price]]*Table1[[#This Row],[Quantity]]</f>
        <v>420000</v>
      </c>
      <c r="O734" s="3">
        <f>Table1[[#This Row],[Cost Price]]*Table1[[#This Row],[Quantity]]</f>
        <v>336000</v>
      </c>
      <c r="P734" s="3">
        <f>Table1[[#This Row],[Revenue]]-Table1[[#This Row],[COGS]]</f>
        <v>84000</v>
      </c>
      <c r="Q734" s="1">
        <v>733</v>
      </c>
    </row>
    <row r="735" spans="1:17">
      <c r="A735" t="s">
        <v>89</v>
      </c>
      <c r="B735" t="str">
        <f>TEXT(Table1[[#This Row],[Date]],"MMMM")</f>
        <v>February</v>
      </c>
      <c r="C735" t="str">
        <f>TEXT(Table1[[#This Row],[Date]],"DDDD")</f>
        <v>Tuesday</v>
      </c>
      <c r="D735" t="s">
        <v>27</v>
      </c>
      <c r="E735" t="s">
        <v>36</v>
      </c>
      <c r="F735" t="s">
        <v>41</v>
      </c>
      <c r="G735" t="s">
        <v>37</v>
      </c>
      <c r="H735" t="s">
        <v>54</v>
      </c>
      <c r="I735" t="s">
        <v>39</v>
      </c>
      <c r="J735" s="3">
        <v>180000</v>
      </c>
      <c r="K735">
        <v>6</v>
      </c>
      <c r="L735" t="s">
        <v>47</v>
      </c>
      <c r="M735" s="3">
        <v>144000</v>
      </c>
      <c r="N735" s="3">
        <f>Table1[[#This Row],[Unit Price]]*Table1[[#This Row],[Quantity]]</f>
        <v>1080000</v>
      </c>
      <c r="O735" s="3">
        <f>Table1[[#This Row],[Cost Price]]*Table1[[#This Row],[Quantity]]</f>
        <v>864000</v>
      </c>
      <c r="P735" s="3">
        <f>Table1[[#This Row],[Revenue]]-Table1[[#This Row],[COGS]]</f>
        <v>216000</v>
      </c>
      <c r="Q735" s="1">
        <v>734</v>
      </c>
    </row>
    <row r="736" spans="1:17">
      <c r="A736" t="s">
        <v>99</v>
      </c>
      <c r="B736" t="str">
        <f>TEXT(Table1[[#This Row],[Date]],"MMMM")</f>
        <v>April</v>
      </c>
      <c r="C736" t="str">
        <f>TEXT(Table1[[#This Row],[Date]],"DDDD")</f>
        <v>Sunday</v>
      </c>
      <c r="D736" t="s">
        <v>49</v>
      </c>
      <c r="E736" t="s">
        <v>28</v>
      </c>
      <c r="F736" t="s">
        <v>29</v>
      </c>
      <c r="G736" t="s">
        <v>30</v>
      </c>
      <c r="H736" t="s">
        <v>71</v>
      </c>
      <c r="I736" t="s">
        <v>51</v>
      </c>
      <c r="J736" s="3">
        <v>250000</v>
      </c>
      <c r="K736">
        <v>3</v>
      </c>
      <c r="L736" t="s">
        <v>47</v>
      </c>
      <c r="M736" s="3">
        <v>200000</v>
      </c>
      <c r="N736" s="3">
        <f>Table1[[#This Row],[Unit Price]]*Table1[[#This Row],[Quantity]]</f>
        <v>750000</v>
      </c>
      <c r="O736" s="3">
        <f>Table1[[#This Row],[Cost Price]]*Table1[[#This Row],[Quantity]]</f>
        <v>600000</v>
      </c>
      <c r="P736" s="3">
        <f>Table1[[#This Row],[Revenue]]-Table1[[#This Row],[COGS]]</f>
        <v>150000</v>
      </c>
      <c r="Q736" s="1">
        <v>735</v>
      </c>
    </row>
    <row r="737" spans="1:17">
      <c r="A737" t="s">
        <v>138</v>
      </c>
      <c r="B737" t="str">
        <f>TEXT(Table1[[#This Row],[Date]],"MMMM")</f>
        <v>April</v>
      </c>
      <c r="C737" t="str">
        <f>TEXT(Table1[[#This Row],[Date]],"DDDD")</f>
        <v>Monday</v>
      </c>
      <c r="D737" t="s">
        <v>49</v>
      </c>
      <c r="E737" t="s">
        <v>53</v>
      </c>
      <c r="F737" t="s">
        <v>29</v>
      </c>
      <c r="G737" t="s">
        <v>30</v>
      </c>
      <c r="H737" t="s">
        <v>56</v>
      </c>
      <c r="I737" t="s">
        <v>32</v>
      </c>
      <c r="J737" s="3">
        <v>320000</v>
      </c>
      <c r="K737">
        <v>2</v>
      </c>
      <c r="L737" t="s">
        <v>33</v>
      </c>
      <c r="M737" s="3">
        <v>256000</v>
      </c>
      <c r="N737" s="3">
        <f>Table1[[#This Row],[Unit Price]]*Table1[[#This Row],[Quantity]]</f>
        <v>640000</v>
      </c>
      <c r="O737" s="3">
        <f>Table1[[#This Row],[Cost Price]]*Table1[[#This Row],[Quantity]]</f>
        <v>512000</v>
      </c>
      <c r="P737" s="3">
        <f>Table1[[#This Row],[Revenue]]-Table1[[#This Row],[COGS]]</f>
        <v>128000</v>
      </c>
      <c r="Q737" s="1">
        <v>736</v>
      </c>
    </row>
    <row r="738" spans="1:17">
      <c r="A738" t="s">
        <v>64</v>
      </c>
      <c r="B738" t="str">
        <f>TEXT(Table1[[#This Row],[Date]],"MMMM")</f>
        <v>April</v>
      </c>
      <c r="C738" t="str">
        <f>TEXT(Table1[[#This Row],[Date]],"DDDD")</f>
        <v>Saturday</v>
      </c>
      <c r="D738" t="s">
        <v>35</v>
      </c>
      <c r="E738" t="s">
        <v>36</v>
      </c>
      <c r="F738" t="s">
        <v>41</v>
      </c>
      <c r="G738" t="s">
        <v>30</v>
      </c>
      <c r="H738" t="s">
        <v>46</v>
      </c>
      <c r="I738" t="s">
        <v>39</v>
      </c>
      <c r="J738" s="3">
        <v>60000</v>
      </c>
      <c r="K738">
        <v>3</v>
      </c>
      <c r="L738" t="s">
        <v>42</v>
      </c>
      <c r="M738" s="3">
        <v>48000</v>
      </c>
      <c r="N738" s="3">
        <f>Table1[[#This Row],[Unit Price]]*Table1[[#This Row],[Quantity]]</f>
        <v>180000</v>
      </c>
      <c r="O738" s="3">
        <f>Table1[[#This Row],[Cost Price]]*Table1[[#This Row],[Quantity]]</f>
        <v>144000</v>
      </c>
      <c r="P738" s="3">
        <f>Table1[[#This Row],[Revenue]]-Table1[[#This Row],[COGS]]</f>
        <v>36000</v>
      </c>
      <c r="Q738" s="1">
        <v>737</v>
      </c>
    </row>
    <row r="739" spans="1:17">
      <c r="A739" t="s">
        <v>143</v>
      </c>
      <c r="B739" t="str">
        <f>TEXT(Table1[[#This Row],[Date]],"MMMM")</f>
        <v>April</v>
      </c>
      <c r="C739" t="str">
        <f>TEXT(Table1[[#This Row],[Date]],"DDDD")</f>
        <v>Thursday</v>
      </c>
      <c r="D739" t="s">
        <v>44</v>
      </c>
      <c r="E739" t="s">
        <v>53</v>
      </c>
      <c r="F739" t="s">
        <v>41</v>
      </c>
      <c r="G739" t="s">
        <v>37</v>
      </c>
      <c r="H739" t="s">
        <v>38</v>
      </c>
      <c r="I739" t="s">
        <v>39</v>
      </c>
      <c r="J739" s="3">
        <v>30000</v>
      </c>
      <c r="K739">
        <v>9</v>
      </c>
      <c r="L739" t="s">
        <v>42</v>
      </c>
      <c r="M739" s="3">
        <v>24000</v>
      </c>
      <c r="N739" s="3">
        <f>Table1[[#This Row],[Unit Price]]*Table1[[#This Row],[Quantity]]</f>
        <v>270000</v>
      </c>
      <c r="O739" s="3">
        <f>Table1[[#This Row],[Cost Price]]*Table1[[#This Row],[Quantity]]</f>
        <v>216000</v>
      </c>
      <c r="P739" s="3">
        <f>Table1[[#This Row],[Revenue]]-Table1[[#This Row],[COGS]]</f>
        <v>54000</v>
      </c>
      <c r="Q739" s="1">
        <v>738</v>
      </c>
    </row>
    <row r="740" spans="1:17">
      <c r="A740" t="s">
        <v>57</v>
      </c>
      <c r="B740" t="str">
        <f>TEXT(Table1[[#This Row],[Date]],"MMMM")</f>
        <v>February</v>
      </c>
      <c r="C740" t="str">
        <f>TEXT(Table1[[#This Row],[Date]],"DDDD")</f>
        <v>Thursday</v>
      </c>
      <c r="D740" t="s">
        <v>35</v>
      </c>
      <c r="E740" t="s">
        <v>45</v>
      </c>
      <c r="F740" t="s">
        <v>41</v>
      </c>
      <c r="G740" t="s">
        <v>37</v>
      </c>
      <c r="H740" t="s">
        <v>54</v>
      </c>
      <c r="I740" t="s">
        <v>39</v>
      </c>
      <c r="J740" s="3">
        <v>180000</v>
      </c>
      <c r="K740">
        <v>6</v>
      </c>
      <c r="L740" t="s">
        <v>42</v>
      </c>
      <c r="M740" s="3">
        <v>144000</v>
      </c>
      <c r="N740" s="3">
        <f>Table1[[#This Row],[Unit Price]]*Table1[[#This Row],[Quantity]]</f>
        <v>1080000</v>
      </c>
      <c r="O740" s="3">
        <f>Table1[[#This Row],[Cost Price]]*Table1[[#This Row],[Quantity]]</f>
        <v>864000</v>
      </c>
      <c r="P740" s="3">
        <f>Table1[[#This Row],[Revenue]]-Table1[[#This Row],[COGS]]</f>
        <v>216000</v>
      </c>
      <c r="Q740" s="1">
        <v>739</v>
      </c>
    </row>
    <row r="741" spans="1:17">
      <c r="A741" t="s">
        <v>99</v>
      </c>
      <c r="B741" t="str">
        <f>TEXT(Table1[[#This Row],[Date]],"MMMM")</f>
        <v>April</v>
      </c>
      <c r="C741" t="str">
        <f>TEXT(Table1[[#This Row],[Date]],"DDDD")</f>
        <v>Sunday</v>
      </c>
      <c r="D741" t="s">
        <v>44</v>
      </c>
      <c r="E741" t="s">
        <v>45</v>
      </c>
      <c r="F741" t="s">
        <v>41</v>
      </c>
      <c r="G741" t="s">
        <v>30</v>
      </c>
      <c r="H741" t="s">
        <v>46</v>
      </c>
      <c r="I741" t="s">
        <v>39</v>
      </c>
      <c r="J741" s="3">
        <v>60000</v>
      </c>
      <c r="K741">
        <v>8</v>
      </c>
      <c r="L741" t="s">
        <v>65</v>
      </c>
      <c r="M741" s="3">
        <v>48000</v>
      </c>
      <c r="N741" s="3">
        <f>Table1[[#This Row],[Unit Price]]*Table1[[#This Row],[Quantity]]</f>
        <v>480000</v>
      </c>
      <c r="O741" s="3">
        <f>Table1[[#This Row],[Cost Price]]*Table1[[#This Row],[Quantity]]</f>
        <v>384000</v>
      </c>
      <c r="P741" s="3">
        <f>Table1[[#This Row],[Revenue]]-Table1[[#This Row],[COGS]]</f>
        <v>96000</v>
      </c>
      <c r="Q741" s="1">
        <v>740</v>
      </c>
    </row>
    <row r="742" spans="1:17">
      <c r="A742" t="s">
        <v>97</v>
      </c>
      <c r="B742" t="str">
        <f>TEXT(Table1[[#This Row],[Date]],"MMMM")</f>
        <v>January</v>
      </c>
      <c r="C742" t="str">
        <f>TEXT(Table1[[#This Row],[Date]],"DDDD")</f>
        <v>Sunday</v>
      </c>
      <c r="D742" t="s">
        <v>44</v>
      </c>
      <c r="E742" t="s">
        <v>45</v>
      </c>
      <c r="F742" t="s">
        <v>41</v>
      </c>
      <c r="G742" t="s">
        <v>30</v>
      </c>
      <c r="H742" t="s">
        <v>46</v>
      </c>
      <c r="I742" t="s">
        <v>39</v>
      </c>
      <c r="J742" s="3">
        <v>60000</v>
      </c>
      <c r="K742">
        <v>8</v>
      </c>
      <c r="L742" t="s">
        <v>69</v>
      </c>
      <c r="M742" s="3">
        <v>48000</v>
      </c>
      <c r="N742" s="3">
        <f>Table1[[#This Row],[Unit Price]]*Table1[[#This Row],[Quantity]]</f>
        <v>480000</v>
      </c>
      <c r="O742" s="3">
        <f>Table1[[#This Row],[Cost Price]]*Table1[[#This Row],[Quantity]]</f>
        <v>384000</v>
      </c>
      <c r="P742" s="3">
        <f>Table1[[#This Row],[Revenue]]-Table1[[#This Row],[COGS]]</f>
        <v>96000</v>
      </c>
      <c r="Q742" s="1">
        <v>741</v>
      </c>
    </row>
    <row r="743" spans="1:17">
      <c r="A743" t="s">
        <v>106</v>
      </c>
      <c r="B743" t="str">
        <f>TEXT(Table1[[#This Row],[Date]],"MMMM")</f>
        <v>April</v>
      </c>
      <c r="C743" t="str">
        <f>TEXT(Table1[[#This Row],[Date]],"DDDD")</f>
        <v>Wednesday</v>
      </c>
      <c r="D743" t="s">
        <v>44</v>
      </c>
      <c r="E743" t="s">
        <v>45</v>
      </c>
      <c r="F743" t="s">
        <v>41</v>
      </c>
      <c r="G743" t="s">
        <v>37</v>
      </c>
      <c r="H743" t="s">
        <v>71</v>
      </c>
      <c r="I743" t="s">
        <v>51</v>
      </c>
      <c r="J743" s="3">
        <v>250000</v>
      </c>
      <c r="K743">
        <v>3</v>
      </c>
      <c r="L743" t="s">
        <v>58</v>
      </c>
      <c r="M743" s="3">
        <v>200000</v>
      </c>
      <c r="N743" s="3">
        <f>Table1[[#This Row],[Unit Price]]*Table1[[#This Row],[Quantity]]</f>
        <v>750000</v>
      </c>
      <c r="O743" s="3">
        <f>Table1[[#This Row],[Cost Price]]*Table1[[#This Row],[Quantity]]</f>
        <v>600000</v>
      </c>
      <c r="P743" s="3">
        <f>Table1[[#This Row],[Revenue]]-Table1[[#This Row],[COGS]]</f>
        <v>150000</v>
      </c>
      <c r="Q743" s="1">
        <v>742</v>
      </c>
    </row>
    <row r="744" spans="1:17">
      <c r="A744" t="s">
        <v>133</v>
      </c>
      <c r="B744" t="str">
        <f>TEXT(Table1[[#This Row],[Date]],"MMMM")</f>
        <v>January</v>
      </c>
      <c r="C744" t="str">
        <f>TEXT(Table1[[#This Row],[Date]],"DDDD")</f>
        <v>Wednesday</v>
      </c>
      <c r="D744" t="s">
        <v>49</v>
      </c>
      <c r="E744" t="s">
        <v>45</v>
      </c>
      <c r="F744" t="s">
        <v>41</v>
      </c>
      <c r="G744" t="s">
        <v>37</v>
      </c>
      <c r="H744" t="s">
        <v>31</v>
      </c>
      <c r="I744" t="s">
        <v>32</v>
      </c>
      <c r="J744" s="3">
        <v>85000</v>
      </c>
      <c r="K744">
        <v>6</v>
      </c>
      <c r="L744" t="s">
        <v>65</v>
      </c>
      <c r="M744" s="3">
        <v>68000</v>
      </c>
      <c r="N744" s="3">
        <f>Table1[[#This Row],[Unit Price]]*Table1[[#This Row],[Quantity]]</f>
        <v>510000</v>
      </c>
      <c r="O744" s="3">
        <f>Table1[[#This Row],[Cost Price]]*Table1[[#This Row],[Quantity]]</f>
        <v>408000</v>
      </c>
      <c r="P744" s="3">
        <f>Table1[[#This Row],[Revenue]]-Table1[[#This Row],[COGS]]</f>
        <v>102000</v>
      </c>
      <c r="Q744" s="1">
        <v>743</v>
      </c>
    </row>
    <row r="745" spans="1:17">
      <c r="A745" t="s">
        <v>117</v>
      </c>
      <c r="B745" t="str">
        <f>TEXT(Table1[[#This Row],[Date]],"MMMM")</f>
        <v>January</v>
      </c>
      <c r="C745" t="str">
        <f>TEXT(Table1[[#This Row],[Date]],"DDDD")</f>
        <v>Wednesday</v>
      </c>
      <c r="D745" t="s">
        <v>35</v>
      </c>
      <c r="E745" t="s">
        <v>53</v>
      </c>
      <c r="F745" t="s">
        <v>41</v>
      </c>
      <c r="G745" t="s">
        <v>30</v>
      </c>
      <c r="H745" t="s">
        <v>73</v>
      </c>
      <c r="I745" t="s">
        <v>39</v>
      </c>
      <c r="J745" s="3">
        <v>220000</v>
      </c>
      <c r="K745">
        <v>9</v>
      </c>
      <c r="L745" t="s">
        <v>47</v>
      </c>
      <c r="M745" s="3">
        <v>176000</v>
      </c>
      <c r="N745" s="3">
        <f>Table1[[#This Row],[Unit Price]]*Table1[[#This Row],[Quantity]]</f>
        <v>1980000</v>
      </c>
      <c r="O745" s="3">
        <f>Table1[[#This Row],[Cost Price]]*Table1[[#This Row],[Quantity]]</f>
        <v>1584000</v>
      </c>
      <c r="P745" s="3">
        <f>Table1[[#This Row],[Revenue]]-Table1[[#This Row],[COGS]]</f>
        <v>396000</v>
      </c>
      <c r="Q745" s="1">
        <v>744</v>
      </c>
    </row>
    <row r="746" spans="1:17">
      <c r="A746" t="s">
        <v>94</v>
      </c>
      <c r="B746" t="str">
        <f>TEXT(Table1[[#This Row],[Date]],"MMMM")</f>
        <v>January</v>
      </c>
      <c r="C746" t="str">
        <f>TEXT(Table1[[#This Row],[Date]],"DDDD")</f>
        <v>Friday</v>
      </c>
      <c r="D746" t="s">
        <v>49</v>
      </c>
      <c r="E746" t="s">
        <v>53</v>
      </c>
      <c r="F746" t="s">
        <v>41</v>
      </c>
      <c r="G746" t="s">
        <v>37</v>
      </c>
      <c r="H746" t="s">
        <v>71</v>
      </c>
      <c r="I746" t="s">
        <v>51</v>
      </c>
      <c r="J746" s="3">
        <v>250000</v>
      </c>
      <c r="K746">
        <v>4</v>
      </c>
      <c r="L746" t="s">
        <v>47</v>
      </c>
      <c r="M746" s="3">
        <v>200000</v>
      </c>
      <c r="N746" s="3">
        <f>Table1[[#This Row],[Unit Price]]*Table1[[#This Row],[Quantity]]</f>
        <v>1000000</v>
      </c>
      <c r="O746" s="3">
        <f>Table1[[#This Row],[Cost Price]]*Table1[[#This Row],[Quantity]]</f>
        <v>800000</v>
      </c>
      <c r="P746" s="3">
        <f>Table1[[#This Row],[Revenue]]-Table1[[#This Row],[COGS]]</f>
        <v>200000</v>
      </c>
      <c r="Q746" s="1">
        <v>745</v>
      </c>
    </row>
    <row r="747" spans="1:17">
      <c r="A747" t="s">
        <v>68</v>
      </c>
      <c r="B747" t="str">
        <f>TEXT(Table1[[#This Row],[Date]],"MMMM")</f>
        <v>March</v>
      </c>
      <c r="C747" t="str">
        <f>TEXT(Table1[[#This Row],[Date]],"DDDD")</f>
        <v>Monday</v>
      </c>
      <c r="D747" t="s">
        <v>44</v>
      </c>
      <c r="E747" t="s">
        <v>45</v>
      </c>
      <c r="F747" t="s">
        <v>41</v>
      </c>
      <c r="G747" t="s">
        <v>37</v>
      </c>
      <c r="H747" t="s">
        <v>71</v>
      </c>
      <c r="I747" t="s">
        <v>51</v>
      </c>
      <c r="J747" s="3">
        <v>250000</v>
      </c>
      <c r="K747">
        <v>3</v>
      </c>
      <c r="L747" t="s">
        <v>33</v>
      </c>
      <c r="M747" s="3">
        <v>200000</v>
      </c>
      <c r="N747" s="3">
        <f>Table1[[#This Row],[Unit Price]]*Table1[[#This Row],[Quantity]]</f>
        <v>750000</v>
      </c>
      <c r="O747" s="3">
        <f>Table1[[#This Row],[Cost Price]]*Table1[[#This Row],[Quantity]]</f>
        <v>600000</v>
      </c>
      <c r="P747" s="3">
        <f>Table1[[#This Row],[Revenue]]-Table1[[#This Row],[COGS]]</f>
        <v>150000</v>
      </c>
      <c r="Q747" s="1">
        <v>746</v>
      </c>
    </row>
    <row r="748" spans="1:17">
      <c r="A748" t="s">
        <v>61</v>
      </c>
      <c r="B748" t="str">
        <f>TEXT(Table1[[#This Row],[Date]],"MMMM")</f>
        <v>January</v>
      </c>
      <c r="C748" t="str">
        <f>TEXT(Table1[[#This Row],[Date]],"DDDD")</f>
        <v>Friday</v>
      </c>
      <c r="D748" t="s">
        <v>44</v>
      </c>
      <c r="E748" t="s">
        <v>53</v>
      </c>
      <c r="F748" t="s">
        <v>41</v>
      </c>
      <c r="G748" t="s">
        <v>37</v>
      </c>
      <c r="H748" t="s">
        <v>38</v>
      </c>
      <c r="I748" t="s">
        <v>39</v>
      </c>
      <c r="J748" s="3">
        <v>30000</v>
      </c>
      <c r="K748">
        <v>10</v>
      </c>
      <c r="L748" t="s">
        <v>33</v>
      </c>
      <c r="M748" s="3">
        <v>24000</v>
      </c>
      <c r="N748" s="3">
        <f>Table1[[#This Row],[Unit Price]]*Table1[[#This Row],[Quantity]]</f>
        <v>300000</v>
      </c>
      <c r="O748" s="3">
        <f>Table1[[#This Row],[Cost Price]]*Table1[[#This Row],[Quantity]]</f>
        <v>240000</v>
      </c>
      <c r="P748" s="3">
        <f>Table1[[#This Row],[Revenue]]-Table1[[#This Row],[COGS]]</f>
        <v>60000</v>
      </c>
      <c r="Q748" s="1">
        <v>747</v>
      </c>
    </row>
    <row r="749" spans="1:17">
      <c r="A749" t="s">
        <v>76</v>
      </c>
      <c r="B749" t="str">
        <f>TEXT(Table1[[#This Row],[Date]],"MMMM")</f>
        <v>May</v>
      </c>
      <c r="C749" t="str">
        <f>TEXT(Table1[[#This Row],[Date]],"DDDD")</f>
        <v>Thursday</v>
      </c>
      <c r="D749" t="s">
        <v>49</v>
      </c>
      <c r="E749" t="s">
        <v>45</v>
      </c>
      <c r="F749" t="s">
        <v>41</v>
      </c>
      <c r="G749" t="s">
        <v>37</v>
      </c>
      <c r="H749" t="s">
        <v>50</v>
      </c>
      <c r="I749" t="s">
        <v>51</v>
      </c>
      <c r="J749" s="3">
        <v>300000</v>
      </c>
      <c r="K749">
        <v>4</v>
      </c>
      <c r="L749" t="s">
        <v>69</v>
      </c>
      <c r="M749" s="3">
        <v>240000</v>
      </c>
      <c r="N749" s="3">
        <f>Table1[[#This Row],[Unit Price]]*Table1[[#This Row],[Quantity]]</f>
        <v>1200000</v>
      </c>
      <c r="O749" s="3">
        <f>Table1[[#This Row],[Cost Price]]*Table1[[#This Row],[Quantity]]</f>
        <v>960000</v>
      </c>
      <c r="P749" s="3">
        <f>Table1[[#This Row],[Revenue]]-Table1[[#This Row],[COGS]]</f>
        <v>240000</v>
      </c>
      <c r="Q749" s="1">
        <v>748</v>
      </c>
    </row>
    <row r="750" spans="1:17">
      <c r="A750" t="s">
        <v>106</v>
      </c>
      <c r="B750" t="str">
        <f>TEXT(Table1[[#This Row],[Date]],"MMMM")</f>
        <v>April</v>
      </c>
      <c r="C750" t="str">
        <f>TEXT(Table1[[#This Row],[Date]],"DDDD")</f>
        <v>Wednesday</v>
      </c>
      <c r="D750" t="s">
        <v>44</v>
      </c>
      <c r="E750" t="s">
        <v>28</v>
      </c>
      <c r="F750" t="s">
        <v>41</v>
      </c>
      <c r="G750" t="s">
        <v>37</v>
      </c>
      <c r="H750" t="s">
        <v>56</v>
      </c>
      <c r="I750" t="s">
        <v>32</v>
      </c>
      <c r="J750" s="3">
        <v>320000</v>
      </c>
      <c r="K750">
        <v>2</v>
      </c>
      <c r="L750" t="s">
        <v>58</v>
      </c>
      <c r="M750" s="3">
        <v>256000</v>
      </c>
      <c r="N750" s="3">
        <f>Table1[[#This Row],[Unit Price]]*Table1[[#This Row],[Quantity]]</f>
        <v>640000</v>
      </c>
      <c r="O750" s="3">
        <f>Table1[[#This Row],[Cost Price]]*Table1[[#This Row],[Quantity]]</f>
        <v>512000</v>
      </c>
      <c r="P750" s="3">
        <f>Table1[[#This Row],[Revenue]]-Table1[[#This Row],[COGS]]</f>
        <v>128000</v>
      </c>
      <c r="Q750" s="1">
        <v>749</v>
      </c>
    </row>
    <row r="751" spans="1:17">
      <c r="A751" t="s">
        <v>100</v>
      </c>
      <c r="B751" t="str">
        <f>TEXT(Table1[[#This Row],[Date]],"MMMM")</f>
        <v>January</v>
      </c>
      <c r="C751" t="str">
        <f>TEXT(Table1[[#This Row],[Date]],"DDDD")</f>
        <v>Monday</v>
      </c>
      <c r="D751" t="s">
        <v>44</v>
      </c>
      <c r="E751" t="s">
        <v>53</v>
      </c>
      <c r="F751" t="s">
        <v>41</v>
      </c>
      <c r="G751" t="s">
        <v>37</v>
      </c>
      <c r="H751" t="s">
        <v>67</v>
      </c>
      <c r="I751" t="s">
        <v>51</v>
      </c>
      <c r="J751" s="3">
        <v>420000</v>
      </c>
      <c r="K751">
        <v>8</v>
      </c>
      <c r="L751" t="s">
        <v>69</v>
      </c>
      <c r="M751" s="3">
        <v>336000</v>
      </c>
      <c r="N751" s="3">
        <f>Table1[[#This Row],[Unit Price]]*Table1[[#This Row],[Quantity]]</f>
        <v>3360000</v>
      </c>
      <c r="O751" s="3">
        <f>Table1[[#This Row],[Cost Price]]*Table1[[#This Row],[Quantity]]</f>
        <v>2688000</v>
      </c>
      <c r="P751" s="3">
        <f>Table1[[#This Row],[Revenue]]-Table1[[#This Row],[COGS]]</f>
        <v>672000</v>
      </c>
      <c r="Q751" s="1">
        <v>750</v>
      </c>
    </row>
    <row r="752" spans="1:17">
      <c r="A752" t="s">
        <v>124</v>
      </c>
      <c r="B752" t="str">
        <f>TEXT(Table1[[#This Row],[Date]],"MMMM")</f>
        <v>February</v>
      </c>
      <c r="C752" t="str">
        <f>TEXT(Table1[[#This Row],[Date]],"DDDD")</f>
        <v>Monday</v>
      </c>
      <c r="D752" t="s">
        <v>44</v>
      </c>
      <c r="E752" t="s">
        <v>53</v>
      </c>
      <c r="F752" t="s">
        <v>41</v>
      </c>
      <c r="G752" t="s">
        <v>37</v>
      </c>
      <c r="H752" t="s">
        <v>38</v>
      </c>
      <c r="I752" t="s">
        <v>39</v>
      </c>
      <c r="J752" s="3">
        <v>30000</v>
      </c>
      <c r="K752">
        <v>2</v>
      </c>
      <c r="L752" t="s">
        <v>42</v>
      </c>
      <c r="M752" s="3">
        <v>24000</v>
      </c>
      <c r="N752" s="3">
        <f>Table1[[#This Row],[Unit Price]]*Table1[[#This Row],[Quantity]]</f>
        <v>60000</v>
      </c>
      <c r="O752" s="3">
        <f>Table1[[#This Row],[Cost Price]]*Table1[[#This Row],[Quantity]]</f>
        <v>48000</v>
      </c>
      <c r="P752" s="3">
        <f>Table1[[#This Row],[Revenue]]-Table1[[#This Row],[COGS]]</f>
        <v>12000</v>
      </c>
      <c r="Q752" s="1">
        <v>751</v>
      </c>
    </row>
    <row r="753" spans="1:17">
      <c r="A753" t="s">
        <v>88</v>
      </c>
      <c r="B753" t="str">
        <f>TEXT(Table1[[#This Row],[Date]],"MMMM")</f>
        <v>February</v>
      </c>
      <c r="C753" t="str">
        <f>TEXT(Table1[[#This Row],[Date]],"DDDD")</f>
        <v>Monday</v>
      </c>
      <c r="D753" t="s">
        <v>49</v>
      </c>
      <c r="E753" t="s">
        <v>53</v>
      </c>
      <c r="F753" t="s">
        <v>41</v>
      </c>
      <c r="G753" t="s">
        <v>37</v>
      </c>
      <c r="H753" t="s">
        <v>62</v>
      </c>
      <c r="I753" t="s">
        <v>51</v>
      </c>
      <c r="J753" s="3">
        <v>150000</v>
      </c>
      <c r="K753">
        <v>3</v>
      </c>
      <c r="L753" t="s">
        <v>33</v>
      </c>
      <c r="M753" s="3">
        <v>120000</v>
      </c>
      <c r="N753" s="3">
        <f>Table1[[#This Row],[Unit Price]]*Table1[[#This Row],[Quantity]]</f>
        <v>450000</v>
      </c>
      <c r="O753" s="3">
        <f>Table1[[#This Row],[Cost Price]]*Table1[[#This Row],[Quantity]]</f>
        <v>360000</v>
      </c>
      <c r="P753" s="3">
        <f>Table1[[#This Row],[Revenue]]-Table1[[#This Row],[COGS]]</f>
        <v>90000</v>
      </c>
      <c r="Q753" s="1">
        <v>752</v>
      </c>
    </row>
    <row r="754" spans="1:17">
      <c r="A754" t="s">
        <v>118</v>
      </c>
      <c r="B754" t="str">
        <f>TEXT(Table1[[#This Row],[Date]],"MMMM")</f>
        <v>March</v>
      </c>
      <c r="C754" t="str">
        <f>TEXT(Table1[[#This Row],[Date]],"DDDD")</f>
        <v>Tuesday</v>
      </c>
      <c r="D754" t="s">
        <v>44</v>
      </c>
      <c r="E754" t="s">
        <v>36</v>
      </c>
      <c r="F754" t="s">
        <v>41</v>
      </c>
      <c r="G754" t="s">
        <v>37</v>
      </c>
      <c r="H754" t="s">
        <v>73</v>
      </c>
      <c r="I754" t="s">
        <v>39</v>
      </c>
      <c r="J754" s="3">
        <v>220000</v>
      </c>
      <c r="K754">
        <v>6</v>
      </c>
      <c r="L754" t="s">
        <v>42</v>
      </c>
      <c r="M754" s="3">
        <v>176000</v>
      </c>
      <c r="N754" s="3">
        <f>Table1[[#This Row],[Unit Price]]*Table1[[#This Row],[Quantity]]</f>
        <v>1320000</v>
      </c>
      <c r="O754" s="3">
        <f>Table1[[#This Row],[Cost Price]]*Table1[[#This Row],[Quantity]]</f>
        <v>1056000</v>
      </c>
      <c r="P754" s="3">
        <f>Table1[[#This Row],[Revenue]]-Table1[[#This Row],[COGS]]</f>
        <v>264000</v>
      </c>
      <c r="Q754" s="1">
        <v>753</v>
      </c>
    </row>
    <row r="755" spans="1:17">
      <c r="A755" t="s">
        <v>99</v>
      </c>
      <c r="B755" t="str">
        <f>TEXT(Table1[[#This Row],[Date]],"MMMM")</f>
        <v>April</v>
      </c>
      <c r="C755" t="str">
        <f>TEXT(Table1[[#This Row],[Date]],"DDDD")</f>
        <v>Sunday</v>
      </c>
      <c r="D755" t="s">
        <v>27</v>
      </c>
      <c r="E755" t="s">
        <v>28</v>
      </c>
      <c r="F755" t="s">
        <v>41</v>
      </c>
      <c r="G755" t="s">
        <v>30</v>
      </c>
      <c r="H755" t="s">
        <v>46</v>
      </c>
      <c r="I755" t="s">
        <v>39</v>
      </c>
      <c r="J755" s="3">
        <v>60000</v>
      </c>
      <c r="K755">
        <v>7</v>
      </c>
      <c r="L755" t="s">
        <v>58</v>
      </c>
      <c r="M755" s="3">
        <v>48000</v>
      </c>
      <c r="N755" s="3">
        <f>Table1[[#This Row],[Unit Price]]*Table1[[#This Row],[Quantity]]</f>
        <v>420000</v>
      </c>
      <c r="O755" s="3">
        <f>Table1[[#This Row],[Cost Price]]*Table1[[#This Row],[Quantity]]</f>
        <v>336000</v>
      </c>
      <c r="P755" s="3">
        <f>Table1[[#This Row],[Revenue]]-Table1[[#This Row],[COGS]]</f>
        <v>84000</v>
      </c>
      <c r="Q755" s="1">
        <v>754</v>
      </c>
    </row>
    <row r="756" spans="1:17">
      <c r="A756" t="s">
        <v>159</v>
      </c>
      <c r="B756" t="str">
        <f>TEXT(Table1[[#This Row],[Date]],"MMMM")</f>
        <v>February</v>
      </c>
      <c r="C756" t="str">
        <f>TEXT(Table1[[#This Row],[Date]],"DDDD")</f>
        <v>Sunday</v>
      </c>
      <c r="D756" t="s">
        <v>44</v>
      </c>
      <c r="E756" t="s">
        <v>28</v>
      </c>
      <c r="F756" t="s">
        <v>29</v>
      </c>
      <c r="G756" t="s">
        <v>30</v>
      </c>
      <c r="H756" t="s">
        <v>31</v>
      </c>
      <c r="I756" t="s">
        <v>32</v>
      </c>
      <c r="J756" s="3">
        <v>85000</v>
      </c>
      <c r="K756">
        <v>7</v>
      </c>
      <c r="L756" t="s">
        <v>58</v>
      </c>
      <c r="M756" s="3">
        <v>68000</v>
      </c>
      <c r="N756" s="3">
        <f>Table1[[#This Row],[Unit Price]]*Table1[[#This Row],[Quantity]]</f>
        <v>595000</v>
      </c>
      <c r="O756" s="3">
        <f>Table1[[#This Row],[Cost Price]]*Table1[[#This Row],[Quantity]]</f>
        <v>476000</v>
      </c>
      <c r="P756" s="3">
        <f>Table1[[#This Row],[Revenue]]-Table1[[#This Row],[COGS]]</f>
        <v>119000</v>
      </c>
      <c r="Q756" s="1">
        <v>755</v>
      </c>
    </row>
    <row r="757" spans="1:17">
      <c r="A757" t="s">
        <v>83</v>
      </c>
      <c r="B757" t="str">
        <f>TEXT(Table1[[#This Row],[Date]],"MMMM")</f>
        <v>January</v>
      </c>
      <c r="C757" t="str">
        <f>TEXT(Table1[[#This Row],[Date]],"DDDD")</f>
        <v>Tuesday</v>
      </c>
      <c r="D757" t="s">
        <v>27</v>
      </c>
      <c r="E757" t="s">
        <v>36</v>
      </c>
      <c r="F757" t="s">
        <v>29</v>
      </c>
      <c r="G757" t="s">
        <v>30</v>
      </c>
      <c r="H757" t="s">
        <v>67</v>
      </c>
      <c r="I757" t="s">
        <v>51</v>
      </c>
      <c r="J757" s="3">
        <v>420000</v>
      </c>
      <c r="K757">
        <v>6</v>
      </c>
      <c r="L757" t="s">
        <v>33</v>
      </c>
      <c r="M757" s="3">
        <v>336000</v>
      </c>
      <c r="N757" s="3">
        <f>Table1[[#This Row],[Unit Price]]*Table1[[#This Row],[Quantity]]</f>
        <v>2520000</v>
      </c>
      <c r="O757" s="3">
        <f>Table1[[#This Row],[Cost Price]]*Table1[[#This Row],[Quantity]]</f>
        <v>2016000</v>
      </c>
      <c r="P757" s="3">
        <f>Table1[[#This Row],[Revenue]]-Table1[[#This Row],[COGS]]</f>
        <v>504000</v>
      </c>
      <c r="Q757" s="1">
        <v>756</v>
      </c>
    </row>
    <row r="758" spans="1:17">
      <c r="A758" t="s">
        <v>78</v>
      </c>
      <c r="B758" t="str">
        <f>TEXT(Table1[[#This Row],[Date]],"MMMM")</f>
        <v>April</v>
      </c>
      <c r="C758" t="str">
        <f>TEXT(Table1[[#This Row],[Date]],"DDDD")</f>
        <v>Tuesday</v>
      </c>
      <c r="D758" t="s">
        <v>27</v>
      </c>
      <c r="E758" t="s">
        <v>28</v>
      </c>
      <c r="F758" t="s">
        <v>29</v>
      </c>
      <c r="G758" t="s">
        <v>37</v>
      </c>
      <c r="H758" t="s">
        <v>50</v>
      </c>
      <c r="I758" t="s">
        <v>51</v>
      </c>
      <c r="J758" s="3">
        <v>300000</v>
      </c>
      <c r="K758">
        <v>3</v>
      </c>
      <c r="L758" t="s">
        <v>47</v>
      </c>
      <c r="M758" s="3">
        <v>240000</v>
      </c>
      <c r="N758" s="3">
        <f>Table1[[#This Row],[Unit Price]]*Table1[[#This Row],[Quantity]]</f>
        <v>900000</v>
      </c>
      <c r="O758" s="3">
        <f>Table1[[#This Row],[Cost Price]]*Table1[[#This Row],[Quantity]]</f>
        <v>720000</v>
      </c>
      <c r="P758" s="3">
        <f>Table1[[#This Row],[Revenue]]-Table1[[#This Row],[COGS]]</f>
        <v>180000</v>
      </c>
      <c r="Q758" s="1">
        <v>757</v>
      </c>
    </row>
    <row r="759" spans="1:17">
      <c r="A759" t="s">
        <v>176</v>
      </c>
      <c r="B759" t="str">
        <f>TEXT(Table1[[#This Row],[Date]],"MMMM")</f>
        <v>January</v>
      </c>
      <c r="C759" t="str">
        <f>TEXT(Table1[[#This Row],[Date]],"DDDD")</f>
        <v>Saturday</v>
      </c>
      <c r="D759" t="s">
        <v>49</v>
      </c>
      <c r="E759" t="s">
        <v>53</v>
      </c>
      <c r="F759" t="s">
        <v>29</v>
      </c>
      <c r="G759" t="s">
        <v>30</v>
      </c>
      <c r="H759" t="s">
        <v>73</v>
      </c>
      <c r="I759" t="s">
        <v>39</v>
      </c>
      <c r="J759" s="3">
        <v>220000</v>
      </c>
      <c r="K759">
        <v>10</v>
      </c>
      <c r="L759" t="s">
        <v>33</v>
      </c>
      <c r="M759" s="3">
        <v>176000</v>
      </c>
      <c r="N759" s="3">
        <f>Table1[[#This Row],[Unit Price]]*Table1[[#This Row],[Quantity]]</f>
        <v>2200000</v>
      </c>
      <c r="O759" s="3">
        <f>Table1[[#This Row],[Cost Price]]*Table1[[#This Row],[Quantity]]</f>
        <v>1760000</v>
      </c>
      <c r="P759" s="3">
        <f>Table1[[#This Row],[Revenue]]-Table1[[#This Row],[COGS]]</f>
        <v>440000</v>
      </c>
      <c r="Q759" s="1">
        <v>758</v>
      </c>
    </row>
    <row r="760" spans="1:17">
      <c r="A760" t="s">
        <v>40</v>
      </c>
      <c r="B760" t="str">
        <f>TEXT(Table1[[#This Row],[Date]],"MMMM")</f>
        <v>February</v>
      </c>
      <c r="C760" t="str">
        <f>TEXT(Table1[[#This Row],[Date]],"DDDD")</f>
        <v>Thursday</v>
      </c>
      <c r="D760" t="s">
        <v>49</v>
      </c>
      <c r="E760" t="s">
        <v>28</v>
      </c>
      <c r="F760" t="s">
        <v>41</v>
      </c>
      <c r="G760" t="s">
        <v>37</v>
      </c>
      <c r="H760" t="s">
        <v>31</v>
      </c>
      <c r="I760" t="s">
        <v>32</v>
      </c>
      <c r="J760" s="3">
        <v>85000</v>
      </c>
      <c r="K760">
        <v>4</v>
      </c>
      <c r="L760" t="s">
        <v>58</v>
      </c>
      <c r="M760" s="3">
        <v>68000</v>
      </c>
      <c r="N760" s="3">
        <f>Table1[[#This Row],[Unit Price]]*Table1[[#This Row],[Quantity]]</f>
        <v>340000</v>
      </c>
      <c r="O760" s="3">
        <f>Table1[[#This Row],[Cost Price]]*Table1[[#This Row],[Quantity]]</f>
        <v>272000</v>
      </c>
      <c r="P760" s="3">
        <f>Table1[[#This Row],[Revenue]]-Table1[[#This Row],[COGS]]</f>
        <v>68000</v>
      </c>
      <c r="Q760" s="1">
        <v>759</v>
      </c>
    </row>
    <row r="761" spans="1:17">
      <c r="A761" t="s">
        <v>171</v>
      </c>
      <c r="B761" t="str">
        <f>TEXT(Table1[[#This Row],[Date]],"MMMM")</f>
        <v>March</v>
      </c>
      <c r="C761" t="str">
        <f>TEXT(Table1[[#This Row],[Date]],"DDDD")</f>
        <v>Monday</v>
      </c>
      <c r="D761" t="s">
        <v>49</v>
      </c>
      <c r="E761" t="s">
        <v>36</v>
      </c>
      <c r="F761" t="s">
        <v>29</v>
      </c>
      <c r="G761" t="s">
        <v>37</v>
      </c>
      <c r="H761" t="s">
        <v>56</v>
      </c>
      <c r="I761" t="s">
        <v>32</v>
      </c>
      <c r="J761" s="3">
        <v>320000</v>
      </c>
      <c r="K761">
        <v>4</v>
      </c>
      <c r="L761" t="s">
        <v>69</v>
      </c>
      <c r="M761" s="3">
        <v>256000</v>
      </c>
      <c r="N761" s="3">
        <f>Table1[[#This Row],[Unit Price]]*Table1[[#This Row],[Quantity]]</f>
        <v>1280000</v>
      </c>
      <c r="O761" s="3">
        <f>Table1[[#This Row],[Cost Price]]*Table1[[#This Row],[Quantity]]</f>
        <v>1024000</v>
      </c>
      <c r="P761" s="3">
        <f>Table1[[#This Row],[Revenue]]-Table1[[#This Row],[COGS]]</f>
        <v>256000</v>
      </c>
      <c r="Q761" s="1">
        <v>760</v>
      </c>
    </row>
    <row r="762" spans="1:17">
      <c r="A762" t="s">
        <v>139</v>
      </c>
      <c r="B762" t="str">
        <f>TEXT(Table1[[#This Row],[Date]],"MMMM")</f>
        <v>January</v>
      </c>
      <c r="C762" t="str">
        <f>TEXT(Table1[[#This Row],[Date]],"DDDD")</f>
        <v>Monday</v>
      </c>
      <c r="D762" t="s">
        <v>44</v>
      </c>
      <c r="E762" t="s">
        <v>53</v>
      </c>
      <c r="F762" t="s">
        <v>29</v>
      </c>
      <c r="G762" t="s">
        <v>37</v>
      </c>
      <c r="H762" t="s">
        <v>62</v>
      </c>
      <c r="I762" t="s">
        <v>51</v>
      </c>
      <c r="J762" s="3">
        <v>150000</v>
      </c>
      <c r="K762">
        <v>6</v>
      </c>
      <c r="L762" t="s">
        <v>69</v>
      </c>
      <c r="M762" s="3">
        <v>120000</v>
      </c>
      <c r="N762" s="3">
        <f>Table1[[#This Row],[Unit Price]]*Table1[[#This Row],[Quantity]]</f>
        <v>900000</v>
      </c>
      <c r="O762" s="3">
        <f>Table1[[#This Row],[Cost Price]]*Table1[[#This Row],[Quantity]]</f>
        <v>720000</v>
      </c>
      <c r="P762" s="3">
        <f>Table1[[#This Row],[Revenue]]-Table1[[#This Row],[COGS]]</f>
        <v>180000</v>
      </c>
      <c r="Q762" s="1">
        <v>761</v>
      </c>
    </row>
    <row r="763" spans="1:17">
      <c r="A763" t="s">
        <v>139</v>
      </c>
      <c r="B763" t="str">
        <f>TEXT(Table1[[#This Row],[Date]],"MMMM")</f>
        <v>January</v>
      </c>
      <c r="C763" t="str">
        <f>TEXT(Table1[[#This Row],[Date]],"DDDD")</f>
        <v>Monday</v>
      </c>
      <c r="D763" t="s">
        <v>27</v>
      </c>
      <c r="E763" t="s">
        <v>36</v>
      </c>
      <c r="F763" t="s">
        <v>29</v>
      </c>
      <c r="G763" t="s">
        <v>37</v>
      </c>
      <c r="H763" t="s">
        <v>56</v>
      </c>
      <c r="I763" t="s">
        <v>32</v>
      </c>
      <c r="J763" s="3">
        <v>320000</v>
      </c>
      <c r="K763">
        <v>2</v>
      </c>
      <c r="L763" t="s">
        <v>69</v>
      </c>
      <c r="M763" s="3">
        <v>256000</v>
      </c>
      <c r="N763" s="3">
        <f>Table1[[#This Row],[Unit Price]]*Table1[[#This Row],[Quantity]]</f>
        <v>640000</v>
      </c>
      <c r="O763" s="3">
        <f>Table1[[#This Row],[Cost Price]]*Table1[[#This Row],[Quantity]]</f>
        <v>512000</v>
      </c>
      <c r="P763" s="3">
        <f>Table1[[#This Row],[Revenue]]-Table1[[#This Row],[COGS]]</f>
        <v>128000</v>
      </c>
      <c r="Q763" s="1">
        <v>762</v>
      </c>
    </row>
    <row r="764" spans="1:17">
      <c r="A764" t="s">
        <v>148</v>
      </c>
      <c r="B764" t="str">
        <f>TEXT(Table1[[#This Row],[Date]],"MMMM")</f>
        <v>February</v>
      </c>
      <c r="C764" t="str">
        <f>TEXT(Table1[[#This Row],[Date]],"DDDD")</f>
        <v>Sunday</v>
      </c>
      <c r="D764" t="s">
        <v>49</v>
      </c>
      <c r="E764" t="s">
        <v>45</v>
      </c>
      <c r="F764" t="s">
        <v>29</v>
      </c>
      <c r="G764" t="s">
        <v>30</v>
      </c>
      <c r="H764" t="s">
        <v>56</v>
      </c>
      <c r="I764" t="s">
        <v>32</v>
      </c>
      <c r="J764" s="3">
        <v>320000</v>
      </c>
      <c r="K764">
        <v>10</v>
      </c>
      <c r="L764" t="s">
        <v>69</v>
      </c>
      <c r="M764" s="3">
        <v>256000</v>
      </c>
      <c r="N764" s="3">
        <f>Table1[[#This Row],[Unit Price]]*Table1[[#This Row],[Quantity]]</f>
        <v>3200000</v>
      </c>
      <c r="O764" s="3">
        <f>Table1[[#This Row],[Cost Price]]*Table1[[#This Row],[Quantity]]</f>
        <v>2560000</v>
      </c>
      <c r="P764" s="3">
        <f>Table1[[#This Row],[Revenue]]-Table1[[#This Row],[COGS]]</f>
        <v>640000</v>
      </c>
      <c r="Q764" s="1">
        <v>763</v>
      </c>
    </row>
    <row r="765" spans="1:17">
      <c r="A765" t="s">
        <v>156</v>
      </c>
      <c r="B765" t="str">
        <f>TEXT(Table1[[#This Row],[Date]],"MMMM")</f>
        <v>February</v>
      </c>
      <c r="C765" t="str">
        <f>TEXT(Table1[[#This Row],[Date]],"DDDD")</f>
        <v>Friday</v>
      </c>
      <c r="D765" t="s">
        <v>44</v>
      </c>
      <c r="E765" t="s">
        <v>36</v>
      </c>
      <c r="F765" t="s">
        <v>41</v>
      </c>
      <c r="G765" t="s">
        <v>30</v>
      </c>
      <c r="H765" t="s">
        <v>67</v>
      </c>
      <c r="I765" t="s">
        <v>51</v>
      </c>
      <c r="J765" s="3">
        <v>420000</v>
      </c>
      <c r="K765">
        <v>8</v>
      </c>
      <c r="L765" t="s">
        <v>33</v>
      </c>
      <c r="M765" s="3">
        <v>336000</v>
      </c>
      <c r="N765" s="3">
        <f>Table1[[#This Row],[Unit Price]]*Table1[[#This Row],[Quantity]]</f>
        <v>3360000</v>
      </c>
      <c r="O765" s="3">
        <f>Table1[[#This Row],[Cost Price]]*Table1[[#This Row],[Quantity]]</f>
        <v>2688000</v>
      </c>
      <c r="P765" s="3">
        <f>Table1[[#This Row],[Revenue]]-Table1[[#This Row],[COGS]]</f>
        <v>672000</v>
      </c>
      <c r="Q765" s="1">
        <v>764</v>
      </c>
    </row>
    <row r="766" spans="1:17">
      <c r="A766" t="s">
        <v>82</v>
      </c>
      <c r="B766" t="str">
        <f>TEXT(Table1[[#This Row],[Date]],"MMMM")</f>
        <v>March</v>
      </c>
      <c r="C766" t="str">
        <f>TEXT(Table1[[#This Row],[Date]],"DDDD")</f>
        <v>Saturday</v>
      </c>
      <c r="D766" t="s">
        <v>49</v>
      </c>
      <c r="E766" t="s">
        <v>28</v>
      </c>
      <c r="F766" t="s">
        <v>41</v>
      </c>
      <c r="G766" t="s">
        <v>30</v>
      </c>
      <c r="H766" t="s">
        <v>62</v>
      </c>
      <c r="I766" t="s">
        <v>51</v>
      </c>
      <c r="J766" s="3">
        <v>150000</v>
      </c>
      <c r="K766">
        <v>5</v>
      </c>
      <c r="L766" t="s">
        <v>65</v>
      </c>
      <c r="M766" s="3">
        <v>120000</v>
      </c>
      <c r="N766" s="3">
        <f>Table1[[#This Row],[Unit Price]]*Table1[[#This Row],[Quantity]]</f>
        <v>750000</v>
      </c>
      <c r="O766" s="3">
        <f>Table1[[#This Row],[Cost Price]]*Table1[[#This Row],[Quantity]]</f>
        <v>600000</v>
      </c>
      <c r="P766" s="3">
        <f>Table1[[#This Row],[Revenue]]-Table1[[#This Row],[COGS]]</f>
        <v>150000</v>
      </c>
      <c r="Q766" s="1">
        <v>765</v>
      </c>
    </row>
    <row r="767" spans="1:17">
      <c r="A767" t="s">
        <v>114</v>
      </c>
      <c r="B767" t="str">
        <f>TEXT(Table1[[#This Row],[Date]],"MMMM")</f>
        <v>April</v>
      </c>
      <c r="C767" t="str">
        <f>TEXT(Table1[[#This Row],[Date]],"DDDD")</f>
        <v>Sunday</v>
      </c>
      <c r="D767" t="s">
        <v>27</v>
      </c>
      <c r="E767" t="s">
        <v>45</v>
      </c>
      <c r="F767" t="s">
        <v>41</v>
      </c>
      <c r="G767" t="s">
        <v>37</v>
      </c>
      <c r="H767" t="s">
        <v>31</v>
      </c>
      <c r="I767" t="s">
        <v>32</v>
      </c>
      <c r="J767" s="3">
        <v>85000</v>
      </c>
      <c r="K767">
        <v>1</v>
      </c>
      <c r="L767" t="s">
        <v>65</v>
      </c>
      <c r="M767" s="3">
        <v>68000</v>
      </c>
      <c r="N767" s="3">
        <f>Table1[[#This Row],[Unit Price]]*Table1[[#This Row],[Quantity]]</f>
        <v>85000</v>
      </c>
      <c r="O767" s="3">
        <f>Table1[[#This Row],[Cost Price]]*Table1[[#This Row],[Quantity]]</f>
        <v>68000</v>
      </c>
      <c r="P767" s="3">
        <f>Table1[[#This Row],[Revenue]]-Table1[[#This Row],[COGS]]</f>
        <v>17000</v>
      </c>
      <c r="Q767" s="1">
        <v>766</v>
      </c>
    </row>
    <row r="768" spans="1:17">
      <c r="A768" t="s">
        <v>113</v>
      </c>
      <c r="B768" t="str">
        <f>TEXT(Table1[[#This Row],[Date]],"MMMM")</f>
        <v>April</v>
      </c>
      <c r="C768" t="str">
        <f>TEXT(Table1[[#This Row],[Date]],"DDDD")</f>
        <v>Monday</v>
      </c>
      <c r="D768" t="s">
        <v>35</v>
      </c>
      <c r="E768" t="s">
        <v>53</v>
      </c>
      <c r="F768" t="s">
        <v>41</v>
      </c>
      <c r="G768" t="s">
        <v>37</v>
      </c>
      <c r="H768" t="s">
        <v>67</v>
      </c>
      <c r="I768" t="s">
        <v>51</v>
      </c>
      <c r="J768" s="3">
        <v>420000</v>
      </c>
      <c r="K768">
        <v>2</v>
      </c>
      <c r="L768" t="s">
        <v>69</v>
      </c>
      <c r="M768" s="3">
        <v>336000</v>
      </c>
      <c r="N768" s="3">
        <f>Table1[[#This Row],[Unit Price]]*Table1[[#This Row],[Quantity]]</f>
        <v>840000</v>
      </c>
      <c r="O768" s="3">
        <f>Table1[[#This Row],[Cost Price]]*Table1[[#This Row],[Quantity]]</f>
        <v>672000</v>
      </c>
      <c r="P768" s="3">
        <f>Table1[[#This Row],[Revenue]]-Table1[[#This Row],[COGS]]</f>
        <v>168000</v>
      </c>
      <c r="Q768" s="1">
        <v>767</v>
      </c>
    </row>
    <row r="769" spans="1:17">
      <c r="A769" t="s">
        <v>115</v>
      </c>
      <c r="B769" t="str">
        <f>TEXT(Table1[[#This Row],[Date]],"MMMM")</f>
        <v>January</v>
      </c>
      <c r="C769" t="str">
        <f>TEXT(Table1[[#This Row],[Date]],"DDDD")</f>
        <v>Thursday</v>
      </c>
      <c r="D769" t="s">
        <v>35</v>
      </c>
      <c r="E769" t="s">
        <v>53</v>
      </c>
      <c r="F769" t="s">
        <v>29</v>
      </c>
      <c r="G769" t="s">
        <v>37</v>
      </c>
      <c r="H769" t="s">
        <v>54</v>
      </c>
      <c r="I769" t="s">
        <v>39</v>
      </c>
      <c r="J769" s="3">
        <v>180000</v>
      </c>
      <c r="K769">
        <v>6</v>
      </c>
      <c r="L769" t="s">
        <v>69</v>
      </c>
      <c r="M769" s="3">
        <v>144000</v>
      </c>
      <c r="N769" s="3">
        <f>Table1[[#This Row],[Unit Price]]*Table1[[#This Row],[Quantity]]</f>
        <v>1080000</v>
      </c>
      <c r="O769" s="3">
        <f>Table1[[#This Row],[Cost Price]]*Table1[[#This Row],[Quantity]]</f>
        <v>864000</v>
      </c>
      <c r="P769" s="3">
        <f>Table1[[#This Row],[Revenue]]-Table1[[#This Row],[COGS]]</f>
        <v>216000</v>
      </c>
      <c r="Q769" s="1">
        <v>768</v>
      </c>
    </row>
    <row r="770" spans="1:17">
      <c r="A770" t="s">
        <v>154</v>
      </c>
      <c r="B770" t="str">
        <f>TEXT(Table1[[#This Row],[Date]],"MMMM")</f>
        <v>February</v>
      </c>
      <c r="C770" t="str">
        <f>TEXT(Table1[[#This Row],[Date]],"DDDD")</f>
        <v>Saturday</v>
      </c>
      <c r="D770" t="s">
        <v>35</v>
      </c>
      <c r="E770" t="s">
        <v>28</v>
      </c>
      <c r="F770" t="s">
        <v>29</v>
      </c>
      <c r="G770" t="s">
        <v>37</v>
      </c>
      <c r="H770" t="s">
        <v>73</v>
      </c>
      <c r="I770" t="s">
        <v>39</v>
      </c>
      <c r="J770" s="3">
        <v>220000</v>
      </c>
      <c r="K770">
        <v>7</v>
      </c>
      <c r="L770" t="s">
        <v>33</v>
      </c>
      <c r="M770" s="3">
        <v>176000</v>
      </c>
      <c r="N770" s="3">
        <f>Table1[[#This Row],[Unit Price]]*Table1[[#This Row],[Quantity]]</f>
        <v>1540000</v>
      </c>
      <c r="O770" s="3">
        <f>Table1[[#This Row],[Cost Price]]*Table1[[#This Row],[Quantity]]</f>
        <v>1232000</v>
      </c>
      <c r="P770" s="3">
        <f>Table1[[#This Row],[Revenue]]-Table1[[#This Row],[COGS]]</f>
        <v>308000</v>
      </c>
      <c r="Q770" s="1">
        <v>769</v>
      </c>
    </row>
    <row r="771" spans="1:17">
      <c r="A771" t="s">
        <v>48</v>
      </c>
      <c r="B771" t="str">
        <f>TEXT(Table1[[#This Row],[Date]],"MMMM")</f>
        <v>April</v>
      </c>
      <c r="C771" t="str">
        <f>TEXT(Table1[[#This Row],[Date]],"DDDD")</f>
        <v>Sunday</v>
      </c>
      <c r="D771" t="s">
        <v>35</v>
      </c>
      <c r="E771" t="s">
        <v>28</v>
      </c>
      <c r="F771" t="s">
        <v>29</v>
      </c>
      <c r="G771" t="s">
        <v>30</v>
      </c>
      <c r="H771" t="s">
        <v>73</v>
      </c>
      <c r="I771" t="s">
        <v>39</v>
      </c>
      <c r="J771" s="3">
        <v>220000</v>
      </c>
      <c r="K771">
        <v>5</v>
      </c>
      <c r="L771" t="s">
        <v>42</v>
      </c>
      <c r="M771" s="3">
        <v>176000</v>
      </c>
      <c r="N771" s="3">
        <f>Table1[[#This Row],[Unit Price]]*Table1[[#This Row],[Quantity]]</f>
        <v>1100000</v>
      </c>
      <c r="O771" s="3">
        <f>Table1[[#This Row],[Cost Price]]*Table1[[#This Row],[Quantity]]</f>
        <v>880000</v>
      </c>
      <c r="P771" s="3">
        <f>Table1[[#This Row],[Revenue]]-Table1[[#This Row],[COGS]]</f>
        <v>220000</v>
      </c>
      <c r="Q771" s="1">
        <v>770</v>
      </c>
    </row>
    <row r="772" spans="1:17">
      <c r="A772" t="s">
        <v>68</v>
      </c>
      <c r="B772" t="str">
        <f>TEXT(Table1[[#This Row],[Date]],"MMMM")</f>
        <v>March</v>
      </c>
      <c r="C772" t="str">
        <f>TEXT(Table1[[#This Row],[Date]],"DDDD")</f>
        <v>Monday</v>
      </c>
      <c r="D772" t="s">
        <v>49</v>
      </c>
      <c r="E772" t="s">
        <v>28</v>
      </c>
      <c r="F772" t="s">
        <v>29</v>
      </c>
      <c r="G772" t="s">
        <v>37</v>
      </c>
      <c r="H772" t="s">
        <v>50</v>
      </c>
      <c r="I772" t="s">
        <v>51</v>
      </c>
      <c r="J772" s="3">
        <v>300000</v>
      </c>
      <c r="K772">
        <v>6</v>
      </c>
      <c r="L772" t="s">
        <v>47</v>
      </c>
      <c r="M772" s="3">
        <v>240000</v>
      </c>
      <c r="N772" s="3">
        <f>Table1[[#This Row],[Unit Price]]*Table1[[#This Row],[Quantity]]</f>
        <v>1800000</v>
      </c>
      <c r="O772" s="3">
        <f>Table1[[#This Row],[Cost Price]]*Table1[[#This Row],[Quantity]]</f>
        <v>1440000</v>
      </c>
      <c r="P772" s="3">
        <f>Table1[[#This Row],[Revenue]]-Table1[[#This Row],[COGS]]</f>
        <v>360000</v>
      </c>
      <c r="Q772" s="1">
        <v>771</v>
      </c>
    </row>
    <row r="773" spans="1:17">
      <c r="A773" t="s">
        <v>155</v>
      </c>
      <c r="B773" t="str">
        <f>TEXT(Table1[[#This Row],[Date]],"MMMM")</f>
        <v>April</v>
      </c>
      <c r="C773" t="str">
        <f>TEXT(Table1[[#This Row],[Date]],"DDDD")</f>
        <v>Thursday</v>
      </c>
      <c r="D773" t="s">
        <v>27</v>
      </c>
      <c r="E773" t="s">
        <v>45</v>
      </c>
      <c r="F773" t="s">
        <v>29</v>
      </c>
      <c r="G773" t="s">
        <v>37</v>
      </c>
      <c r="H773" t="s">
        <v>71</v>
      </c>
      <c r="I773" t="s">
        <v>51</v>
      </c>
      <c r="J773" s="3">
        <v>250000</v>
      </c>
      <c r="K773">
        <v>4</v>
      </c>
      <c r="L773" t="s">
        <v>47</v>
      </c>
      <c r="M773" s="3">
        <v>200000</v>
      </c>
      <c r="N773" s="3">
        <f>Table1[[#This Row],[Unit Price]]*Table1[[#This Row],[Quantity]]</f>
        <v>1000000</v>
      </c>
      <c r="O773" s="3">
        <f>Table1[[#This Row],[Cost Price]]*Table1[[#This Row],[Quantity]]</f>
        <v>800000</v>
      </c>
      <c r="P773" s="3">
        <f>Table1[[#This Row],[Revenue]]-Table1[[#This Row],[COGS]]</f>
        <v>200000</v>
      </c>
      <c r="Q773" s="1">
        <v>772</v>
      </c>
    </row>
    <row r="774" spans="1:17">
      <c r="A774" t="s">
        <v>99</v>
      </c>
      <c r="B774" t="str">
        <f>TEXT(Table1[[#This Row],[Date]],"MMMM")</f>
        <v>April</v>
      </c>
      <c r="C774" t="str">
        <f>TEXT(Table1[[#This Row],[Date]],"DDDD")</f>
        <v>Sunday</v>
      </c>
      <c r="D774" t="s">
        <v>49</v>
      </c>
      <c r="E774" t="s">
        <v>36</v>
      </c>
      <c r="F774" t="s">
        <v>41</v>
      </c>
      <c r="G774" t="s">
        <v>30</v>
      </c>
      <c r="H774" t="s">
        <v>56</v>
      </c>
      <c r="I774" t="s">
        <v>32</v>
      </c>
      <c r="J774" s="3">
        <v>320000</v>
      </c>
      <c r="K774">
        <v>5</v>
      </c>
      <c r="L774" t="s">
        <v>42</v>
      </c>
      <c r="M774" s="3">
        <v>256000</v>
      </c>
      <c r="N774" s="3">
        <f>Table1[[#This Row],[Unit Price]]*Table1[[#This Row],[Quantity]]</f>
        <v>1600000</v>
      </c>
      <c r="O774" s="3">
        <f>Table1[[#This Row],[Cost Price]]*Table1[[#This Row],[Quantity]]</f>
        <v>1280000</v>
      </c>
      <c r="P774" s="3">
        <f>Table1[[#This Row],[Revenue]]-Table1[[#This Row],[COGS]]</f>
        <v>320000</v>
      </c>
      <c r="Q774" s="1">
        <v>773</v>
      </c>
    </row>
    <row r="775" spans="1:17">
      <c r="A775" t="s">
        <v>164</v>
      </c>
      <c r="B775" t="str">
        <f>TEXT(Table1[[#This Row],[Date]],"MMMM")</f>
        <v>March</v>
      </c>
      <c r="C775" t="str">
        <f>TEXT(Table1[[#This Row],[Date]],"DDDD")</f>
        <v>Tuesday</v>
      </c>
      <c r="D775" t="s">
        <v>49</v>
      </c>
      <c r="E775" t="s">
        <v>28</v>
      </c>
      <c r="F775" t="s">
        <v>29</v>
      </c>
      <c r="G775" t="s">
        <v>37</v>
      </c>
      <c r="H775" t="s">
        <v>50</v>
      </c>
      <c r="I775" t="s">
        <v>51</v>
      </c>
      <c r="J775" s="3">
        <v>300000</v>
      </c>
      <c r="K775">
        <v>10</v>
      </c>
      <c r="L775" t="s">
        <v>69</v>
      </c>
      <c r="M775" s="3">
        <v>240000</v>
      </c>
      <c r="N775" s="3">
        <f>Table1[[#This Row],[Unit Price]]*Table1[[#This Row],[Quantity]]</f>
        <v>3000000</v>
      </c>
      <c r="O775" s="3">
        <f>Table1[[#This Row],[Cost Price]]*Table1[[#This Row],[Quantity]]</f>
        <v>2400000</v>
      </c>
      <c r="P775" s="3">
        <f>Table1[[#This Row],[Revenue]]-Table1[[#This Row],[COGS]]</f>
        <v>600000</v>
      </c>
      <c r="Q775" s="1">
        <v>774</v>
      </c>
    </row>
    <row r="776" spans="1:17">
      <c r="A776" t="s">
        <v>87</v>
      </c>
      <c r="B776" t="str">
        <f>TEXT(Table1[[#This Row],[Date]],"MMMM")</f>
        <v>March</v>
      </c>
      <c r="C776" t="str">
        <f>TEXT(Table1[[#This Row],[Date]],"DDDD")</f>
        <v>Thursday</v>
      </c>
      <c r="D776" t="s">
        <v>49</v>
      </c>
      <c r="E776" t="s">
        <v>28</v>
      </c>
      <c r="F776" t="s">
        <v>29</v>
      </c>
      <c r="G776" t="s">
        <v>37</v>
      </c>
      <c r="H776" t="s">
        <v>46</v>
      </c>
      <c r="I776" t="s">
        <v>39</v>
      </c>
      <c r="J776" s="3">
        <v>60000</v>
      </c>
      <c r="K776">
        <v>5</v>
      </c>
      <c r="L776" t="s">
        <v>65</v>
      </c>
      <c r="M776" s="3">
        <v>48000</v>
      </c>
      <c r="N776" s="3">
        <f>Table1[[#This Row],[Unit Price]]*Table1[[#This Row],[Quantity]]</f>
        <v>300000</v>
      </c>
      <c r="O776" s="3">
        <f>Table1[[#This Row],[Cost Price]]*Table1[[#This Row],[Quantity]]</f>
        <v>240000</v>
      </c>
      <c r="P776" s="3">
        <f>Table1[[#This Row],[Revenue]]-Table1[[#This Row],[COGS]]</f>
        <v>60000</v>
      </c>
      <c r="Q776" s="1">
        <v>775</v>
      </c>
    </row>
    <row r="777" spans="1:17">
      <c r="A777" t="s">
        <v>137</v>
      </c>
      <c r="B777" t="str">
        <f>TEXT(Table1[[#This Row],[Date]],"MMMM")</f>
        <v>April</v>
      </c>
      <c r="C777" t="str">
        <f>TEXT(Table1[[#This Row],[Date]],"DDDD")</f>
        <v>Wednesday</v>
      </c>
      <c r="D777" t="s">
        <v>49</v>
      </c>
      <c r="E777" t="s">
        <v>45</v>
      </c>
      <c r="F777" t="s">
        <v>29</v>
      </c>
      <c r="G777" t="s">
        <v>30</v>
      </c>
      <c r="H777" t="s">
        <v>67</v>
      </c>
      <c r="I777" t="s">
        <v>51</v>
      </c>
      <c r="J777" s="3">
        <v>420000</v>
      </c>
      <c r="K777">
        <v>8</v>
      </c>
      <c r="L777" t="s">
        <v>58</v>
      </c>
      <c r="M777" s="3">
        <v>336000</v>
      </c>
      <c r="N777" s="3">
        <f>Table1[[#This Row],[Unit Price]]*Table1[[#This Row],[Quantity]]</f>
        <v>3360000</v>
      </c>
      <c r="O777" s="3">
        <f>Table1[[#This Row],[Cost Price]]*Table1[[#This Row],[Quantity]]</f>
        <v>2688000</v>
      </c>
      <c r="P777" s="3">
        <f>Table1[[#This Row],[Revenue]]-Table1[[#This Row],[COGS]]</f>
        <v>672000</v>
      </c>
      <c r="Q777" s="1">
        <v>776</v>
      </c>
    </row>
    <row r="778" spans="1:17">
      <c r="A778" t="s">
        <v>115</v>
      </c>
      <c r="B778" t="str">
        <f>TEXT(Table1[[#This Row],[Date]],"MMMM")</f>
        <v>January</v>
      </c>
      <c r="C778" t="str">
        <f>TEXT(Table1[[#This Row],[Date]],"DDDD")</f>
        <v>Thursday</v>
      </c>
      <c r="D778" t="s">
        <v>27</v>
      </c>
      <c r="E778" t="s">
        <v>53</v>
      </c>
      <c r="F778" t="s">
        <v>41</v>
      </c>
      <c r="G778" t="s">
        <v>30</v>
      </c>
      <c r="H778" t="s">
        <v>50</v>
      </c>
      <c r="I778" t="s">
        <v>51</v>
      </c>
      <c r="J778" s="3">
        <v>300000</v>
      </c>
      <c r="K778">
        <v>1</v>
      </c>
      <c r="L778" t="s">
        <v>42</v>
      </c>
      <c r="M778" s="3">
        <v>240000</v>
      </c>
      <c r="N778" s="3">
        <f>Table1[[#This Row],[Unit Price]]*Table1[[#This Row],[Quantity]]</f>
        <v>300000</v>
      </c>
      <c r="O778" s="3">
        <f>Table1[[#This Row],[Cost Price]]*Table1[[#This Row],[Quantity]]</f>
        <v>240000</v>
      </c>
      <c r="P778" s="3">
        <f>Table1[[#This Row],[Revenue]]-Table1[[#This Row],[COGS]]</f>
        <v>60000</v>
      </c>
      <c r="Q778" s="1">
        <v>777</v>
      </c>
    </row>
    <row r="779" spans="1:17">
      <c r="A779" t="s">
        <v>87</v>
      </c>
      <c r="B779" t="str">
        <f>TEXT(Table1[[#This Row],[Date]],"MMMM")</f>
        <v>March</v>
      </c>
      <c r="C779" t="str">
        <f>TEXT(Table1[[#This Row],[Date]],"DDDD")</f>
        <v>Thursday</v>
      </c>
      <c r="D779" t="s">
        <v>27</v>
      </c>
      <c r="E779" t="s">
        <v>45</v>
      </c>
      <c r="F779" t="s">
        <v>41</v>
      </c>
      <c r="G779" t="s">
        <v>37</v>
      </c>
      <c r="H779" t="s">
        <v>67</v>
      </c>
      <c r="I779" t="s">
        <v>51</v>
      </c>
      <c r="J779" s="3">
        <v>420000</v>
      </c>
      <c r="K779">
        <v>2</v>
      </c>
      <c r="L779" t="s">
        <v>65</v>
      </c>
      <c r="M779" s="3">
        <v>336000</v>
      </c>
      <c r="N779" s="3">
        <f>Table1[[#This Row],[Unit Price]]*Table1[[#This Row],[Quantity]]</f>
        <v>840000</v>
      </c>
      <c r="O779" s="3">
        <f>Table1[[#This Row],[Cost Price]]*Table1[[#This Row],[Quantity]]</f>
        <v>672000</v>
      </c>
      <c r="P779" s="3">
        <f>Table1[[#This Row],[Revenue]]-Table1[[#This Row],[COGS]]</f>
        <v>168000</v>
      </c>
      <c r="Q779" s="1">
        <v>778</v>
      </c>
    </row>
    <row r="780" spans="1:17">
      <c r="A780" t="s">
        <v>176</v>
      </c>
      <c r="B780" t="str">
        <f>TEXT(Table1[[#This Row],[Date]],"MMMM")</f>
        <v>January</v>
      </c>
      <c r="C780" t="str">
        <f>TEXT(Table1[[#This Row],[Date]],"DDDD")</f>
        <v>Saturday</v>
      </c>
      <c r="D780" t="s">
        <v>44</v>
      </c>
      <c r="E780" t="s">
        <v>36</v>
      </c>
      <c r="F780" t="s">
        <v>41</v>
      </c>
      <c r="G780" t="s">
        <v>30</v>
      </c>
      <c r="H780" t="s">
        <v>67</v>
      </c>
      <c r="I780" t="s">
        <v>51</v>
      </c>
      <c r="J780" s="3">
        <v>420000</v>
      </c>
      <c r="K780">
        <v>7</v>
      </c>
      <c r="L780" t="s">
        <v>58</v>
      </c>
      <c r="M780" s="3">
        <v>336000</v>
      </c>
      <c r="N780" s="3">
        <f>Table1[[#This Row],[Unit Price]]*Table1[[#This Row],[Quantity]]</f>
        <v>2940000</v>
      </c>
      <c r="O780" s="3">
        <f>Table1[[#This Row],[Cost Price]]*Table1[[#This Row],[Quantity]]</f>
        <v>2352000</v>
      </c>
      <c r="P780" s="3">
        <f>Table1[[#This Row],[Revenue]]-Table1[[#This Row],[COGS]]</f>
        <v>588000</v>
      </c>
      <c r="Q780" s="1">
        <v>779</v>
      </c>
    </row>
    <row r="781" spans="1:17">
      <c r="A781" t="s">
        <v>152</v>
      </c>
      <c r="B781" t="str">
        <f>TEXT(Table1[[#This Row],[Date]],"MMMM")</f>
        <v>January</v>
      </c>
      <c r="C781" t="str">
        <f>TEXT(Table1[[#This Row],[Date]],"DDDD")</f>
        <v>Friday</v>
      </c>
      <c r="D781" t="s">
        <v>27</v>
      </c>
      <c r="E781" t="s">
        <v>45</v>
      </c>
      <c r="F781" t="s">
        <v>41</v>
      </c>
      <c r="G781" t="s">
        <v>30</v>
      </c>
      <c r="H781" t="s">
        <v>54</v>
      </c>
      <c r="I781" t="s">
        <v>39</v>
      </c>
      <c r="J781" s="3">
        <v>180000</v>
      </c>
      <c r="K781">
        <v>8</v>
      </c>
      <c r="L781" t="s">
        <v>47</v>
      </c>
      <c r="M781" s="3">
        <v>144000</v>
      </c>
      <c r="N781" s="3">
        <f>Table1[[#This Row],[Unit Price]]*Table1[[#This Row],[Quantity]]</f>
        <v>1440000</v>
      </c>
      <c r="O781" s="3">
        <f>Table1[[#This Row],[Cost Price]]*Table1[[#This Row],[Quantity]]</f>
        <v>1152000</v>
      </c>
      <c r="P781" s="3">
        <f>Table1[[#This Row],[Revenue]]-Table1[[#This Row],[COGS]]</f>
        <v>288000</v>
      </c>
      <c r="Q781" s="1">
        <v>780</v>
      </c>
    </row>
    <row r="782" spans="1:17">
      <c r="A782" t="s">
        <v>134</v>
      </c>
      <c r="B782" t="str">
        <f>TEXT(Table1[[#This Row],[Date]],"MMMM")</f>
        <v>January</v>
      </c>
      <c r="C782" t="str">
        <f>TEXT(Table1[[#This Row],[Date]],"DDDD")</f>
        <v>Wednesday</v>
      </c>
      <c r="D782" t="s">
        <v>27</v>
      </c>
      <c r="E782" t="s">
        <v>45</v>
      </c>
      <c r="F782" t="s">
        <v>29</v>
      </c>
      <c r="G782" t="s">
        <v>30</v>
      </c>
      <c r="H782" t="s">
        <v>46</v>
      </c>
      <c r="I782" t="s">
        <v>39</v>
      </c>
      <c r="J782" s="3">
        <v>60000</v>
      </c>
      <c r="K782">
        <v>7</v>
      </c>
      <c r="L782" t="s">
        <v>47</v>
      </c>
      <c r="M782" s="3">
        <v>48000</v>
      </c>
      <c r="N782" s="3">
        <f>Table1[[#This Row],[Unit Price]]*Table1[[#This Row],[Quantity]]</f>
        <v>420000</v>
      </c>
      <c r="O782" s="3">
        <f>Table1[[#This Row],[Cost Price]]*Table1[[#This Row],[Quantity]]</f>
        <v>336000</v>
      </c>
      <c r="P782" s="3">
        <f>Table1[[#This Row],[Revenue]]-Table1[[#This Row],[COGS]]</f>
        <v>84000</v>
      </c>
      <c r="Q782" s="1">
        <v>781</v>
      </c>
    </row>
    <row r="783" spans="1:17">
      <c r="A783" t="s">
        <v>93</v>
      </c>
      <c r="B783" t="str">
        <f>TEXT(Table1[[#This Row],[Date]],"MMMM")</f>
        <v>April</v>
      </c>
      <c r="C783" t="str">
        <f>TEXT(Table1[[#This Row],[Date]],"DDDD")</f>
        <v>Friday</v>
      </c>
      <c r="D783" t="s">
        <v>35</v>
      </c>
      <c r="E783" t="s">
        <v>36</v>
      </c>
      <c r="F783" t="s">
        <v>41</v>
      </c>
      <c r="G783" t="s">
        <v>30</v>
      </c>
      <c r="H783" t="s">
        <v>67</v>
      </c>
      <c r="I783" t="s">
        <v>51</v>
      </c>
      <c r="J783" s="3">
        <v>420000</v>
      </c>
      <c r="K783">
        <v>7</v>
      </c>
      <c r="L783" t="s">
        <v>47</v>
      </c>
      <c r="M783" s="3">
        <v>336000</v>
      </c>
      <c r="N783" s="3">
        <f>Table1[[#This Row],[Unit Price]]*Table1[[#This Row],[Quantity]]</f>
        <v>2940000</v>
      </c>
      <c r="O783" s="3">
        <f>Table1[[#This Row],[Cost Price]]*Table1[[#This Row],[Quantity]]</f>
        <v>2352000</v>
      </c>
      <c r="P783" s="3">
        <f>Table1[[#This Row],[Revenue]]-Table1[[#This Row],[COGS]]</f>
        <v>588000</v>
      </c>
      <c r="Q783" s="1">
        <v>782</v>
      </c>
    </row>
    <row r="784" spans="1:17">
      <c r="A784" t="s">
        <v>90</v>
      </c>
      <c r="B784" t="str">
        <f>TEXT(Table1[[#This Row],[Date]],"MMMM")</f>
        <v>February</v>
      </c>
      <c r="C784" t="str">
        <f>TEXT(Table1[[#This Row],[Date]],"DDDD")</f>
        <v>Tuesday</v>
      </c>
      <c r="D784" t="s">
        <v>35</v>
      </c>
      <c r="E784" t="s">
        <v>28</v>
      </c>
      <c r="F784" t="s">
        <v>29</v>
      </c>
      <c r="G784" t="s">
        <v>30</v>
      </c>
      <c r="H784" t="s">
        <v>54</v>
      </c>
      <c r="I784" t="s">
        <v>39</v>
      </c>
      <c r="J784" s="3">
        <v>180000</v>
      </c>
      <c r="K784">
        <v>5</v>
      </c>
      <c r="L784" t="s">
        <v>69</v>
      </c>
      <c r="M784" s="3">
        <v>144000</v>
      </c>
      <c r="N784" s="3">
        <f>Table1[[#This Row],[Unit Price]]*Table1[[#This Row],[Quantity]]</f>
        <v>900000</v>
      </c>
      <c r="O784" s="3">
        <f>Table1[[#This Row],[Cost Price]]*Table1[[#This Row],[Quantity]]</f>
        <v>720000</v>
      </c>
      <c r="P784" s="3">
        <f>Table1[[#This Row],[Revenue]]-Table1[[#This Row],[COGS]]</f>
        <v>180000</v>
      </c>
      <c r="Q784" s="1">
        <v>783</v>
      </c>
    </row>
    <row r="785" spans="1:17">
      <c r="A785" t="s">
        <v>161</v>
      </c>
      <c r="B785" t="str">
        <f>TEXT(Table1[[#This Row],[Date]],"MMMM")</f>
        <v>March</v>
      </c>
      <c r="C785" t="str">
        <f>TEXT(Table1[[#This Row],[Date]],"DDDD")</f>
        <v>Thursday</v>
      </c>
      <c r="D785" t="s">
        <v>35</v>
      </c>
      <c r="E785" t="s">
        <v>45</v>
      </c>
      <c r="F785" t="s">
        <v>41</v>
      </c>
      <c r="G785" t="s">
        <v>37</v>
      </c>
      <c r="H785" t="s">
        <v>67</v>
      </c>
      <c r="I785" t="s">
        <v>51</v>
      </c>
      <c r="J785" s="3">
        <v>420000</v>
      </c>
      <c r="K785">
        <v>9</v>
      </c>
      <c r="L785" t="s">
        <v>69</v>
      </c>
      <c r="M785" s="3">
        <v>336000</v>
      </c>
      <c r="N785" s="3">
        <f>Table1[[#This Row],[Unit Price]]*Table1[[#This Row],[Quantity]]</f>
        <v>3780000</v>
      </c>
      <c r="O785" s="3">
        <f>Table1[[#This Row],[Cost Price]]*Table1[[#This Row],[Quantity]]</f>
        <v>3024000</v>
      </c>
      <c r="P785" s="3">
        <f>Table1[[#This Row],[Revenue]]-Table1[[#This Row],[COGS]]</f>
        <v>756000</v>
      </c>
      <c r="Q785" s="1">
        <v>784</v>
      </c>
    </row>
    <row r="786" spans="1:17">
      <c r="A786" t="s">
        <v>74</v>
      </c>
      <c r="B786" t="str">
        <f>TEXT(Table1[[#This Row],[Date]],"MMMM")</f>
        <v>February</v>
      </c>
      <c r="C786" t="str">
        <f>TEXT(Table1[[#This Row],[Date]],"DDDD")</f>
        <v>Monday</v>
      </c>
      <c r="D786" t="s">
        <v>35</v>
      </c>
      <c r="E786" t="s">
        <v>45</v>
      </c>
      <c r="F786" t="s">
        <v>41</v>
      </c>
      <c r="G786" t="s">
        <v>37</v>
      </c>
      <c r="H786" t="s">
        <v>50</v>
      </c>
      <c r="I786" t="s">
        <v>51</v>
      </c>
      <c r="J786" s="3">
        <v>300000</v>
      </c>
      <c r="K786">
        <v>7</v>
      </c>
      <c r="L786" t="s">
        <v>58</v>
      </c>
      <c r="M786" s="3">
        <v>240000</v>
      </c>
      <c r="N786" s="3">
        <f>Table1[[#This Row],[Unit Price]]*Table1[[#This Row],[Quantity]]</f>
        <v>2100000</v>
      </c>
      <c r="O786" s="3">
        <f>Table1[[#This Row],[Cost Price]]*Table1[[#This Row],[Quantity]]</f>
        <v>1680000</v>
      </c>
      <c r="P786" s="3">
        <f>Table1[[#This Row],[Revenue]]-Table1[[#This Row],[COGS]]</f>
        <v>420000</v>
      </c>
      <c r="Q786" s="1">
        <v>785</v>
      </c>
    </row>
    <row r="787" spans="1:17">
      <c r="A787" t="s">
        <v>78</v>
      </c>
      <c r="B787" t="str">
        <f>TEXT(Table1[[#This Row],[Date]],"MMMM")</f>
        <v>April</v>
      </c>
      <c r="C787" t="str">
        <f>TEXT(Table1[[#This Row],[Date]],"DDDD")</f>
        <v>Tuesday</v>
      </c>
      <c r="D787" t="s">
        <v>27</v>
      </c>
      <c r="E787" t="s">
        <v>53</v>
      </c>
      <c r="F787" t="s">
        <v>29</v>
      </c>
      <c r="G787" t="s">
        <v>37</v>
      </c>
      <c r="H787" t="s">
        <v>62</v>
      </c>
      <c r="I787" t="s">
        <v>51</v>
      </c>
      <c r="J787" s="3">
        <v>150000</v>
      </c>
      <c r="K787">
        <v>3</v>
      </c>
      <c r="L787" t="s">
        <v>42</v>
      </c>
      <c r="M787" s="3">
        <v>120000</v>
      </c>
      <c r="N787" s="3">
        <f>Table1[[#This Row],[Unit Price]]*Table1[[#This Row],[Quantity]]</f>
        <v>450000</v>
      </c>
      <c r="O787" s="3">
        <f>Table1[[#This Row],[Cost Price]]*Table1[[#This Row],[Quantity]]</f>
        <v>360000</v>
      </c>
      <c r="P787" s="3">
        <f>Table1[[#This Row],[Revenue]]-Table1[[#This Row],[COGS]]</f>
        <v>90000</v>
      </c>
      <c r="Q787" s="1">
        <v>786</v>
      </c>
    </row>
    <row r="788" spans="1:17">
      <c r="A788" t="s">
        <v>127</v>
      </c>
      <c r="B788" t="str">
        <f>TEXT(Table1[[#This Row],[Date]],"MMMM")</f>
        <v>January</v>
      </c>
      <c r="C788" t="str">
        <f>TEXT(Table1[[#This Row],[Date]],"DDDD")</f>
        <v>Tuesday</v>
      </c>
      <c r="D788" t="s">
        <v>27</v>
      </c>
      <c r="E788" t="s">
        <v>36</v>
      </c>
      <c r="F788" t="s">
        <v>29</v>
      </c>
      <c r="G788" t="s">
        <v>37</v>
      </c>
      <c r="H788" t="s">
        <v>50</v>
      </c>
      <c r="I788" t="s">
        <v>51</v>
      </c>
      <c r="J788" s="3">
        <v>300000</v>
      </c>
      <c r="K788">
        <v>10</v>
      </c>
      <c r="L788" t="s">
        <v>69</v>
      </c>
      <c r="M788" s="3">
        <v>240000</v>
      </c>
      <c r="N788" s="3">
        <f>Table1[[#This Row],[Unit Price]]*Table1[[#This Row],[Quantity]]</f>
        <v>3000000</v>
      </c>
      <c r="O788" s="3">
        <f>Table1[[#This Row],[Cost Price]]*Table1[[#This Row],[Quantity]]</f>
        <v>2400000</v>
      </c>
      <c r="P788" s="3">
        <f>Table1[[#This Row],[Revenue]]-Table1[[#This Row],[COGS]]</f>
        <v>600000</v>
      </c>
      <c r="Q788" s="1">
        <v>787</v>
      </c>
    </row>
    <row r="789" spans="1:17">
      <c r="A789" t="s">
        <v>111</v>
      </c>
      <c r="B789" t="str">
        <f>TEXT(Table1[[#This Row],[Date]],"MMMM")</f>
        <v>February</v>
      </c>
      <c r="C789" t="str">
        <f>TEXT(Table1[[#This Row],[Date]],"DDDD")</f>
        <v>Wednesday</v>
      </c>
      <c r="D789" t="s">
        <v>35</v>
      </c>
      <c r="E789" t="s">
        <v>28</v>
      </c>
      <c r="F789" t="s">
        <v>29</v>
      </c>
      <c r="G789" t="s">
        <v>30</v>
      </c>
      <c r="H789" t="s">
        <v>67</v>
      </c>
      <c r="I789" t="s">
        <v>51</v>
      </c>
      <c r="J789" s="3">
        <v>420000</v>
      </c>
      <c r="K789">
        <v>8</v>
      </c>
      <c r="L789" t="s">
        <v>69</v>
      </c>
      <c r="M789" s="3">
        <v>336000</v>
      </c>
      <c r="N789" s="3">
        <f>Table1[[#This Row],[Unit Price]]*Table1[[#This Row],[Quantity]]</f>
        <v>3360000</v>
      </c>
      <c r="O789" s="3">
        <f>Table1[[#This Row],[Cost Price]]*Table1[[#This Row],[Quantity]]</f>
        <v>2688000</v>
      </c>
      <c r="P789" s="3">
        <f>Table1[[#This Row],[Revenue]]-Table1[[#This Row],[COGS]]</f>
        <v>672000</v>
      </c>
      <c r="Q789" s="1">
        <v>788</v>
      </c>
    </row>
    <row r="790" spans="1:17">
      <c r="A790" t="s">
        <v>171</v>
      </c>
      <c r="B790" t="str">
        <f>TEXT(Table1[[#This Row],[Date]],"MMMM")</f>
        <v>March</v>
      </c>
      <c r="C790" t="str">
        <f>TEXT(Table1[[#This Row],[Date]],"DDDD")</f>
        <v>Monday</v>
      </c>
      <c r="D790" t="s">
        <v>27</v>
      </c>
      <c r="E790" t="s">
        <v>45</v>
      </c>
      <c r="F790" t="s">
        <v>41</v>
      </c>
      <c r="G790" t="s">
        <v>37</v>
      </c>
      <c r="H790" t="s">
        <v>73</v>
      </c>
      <c r="I790" t="s">
        <v>39</v>
      </c>
      <c r="J790" s="3">
        <v>220000</v>
      </c>
      <c r="K790">
        <v>2</v>
      </c>
      <c r="L790" t="s">
        <v>47</v>
      </c>
      <c r="M790" s="3">
        <v>176000</v>
      </c>
      <c r="N790" s="3">
        <f>Table1[[#This Row],[Unit Price]]*Table1[[#This Row],[Quantity]]</f>
        <v>440000</v>
      </c>
      <c r="O790" s="3">
        <f>Table1[[#This Row],[Cost Price]]*Table1[[#This Row],[Quantity]]</f>
        <v>352000</v>
      </c>
      <c r="P790" s="3">
        <f>Table1[[#This Row],[Revenue]]-Table1[[#This Row],[COGS]]</f>
        <v>88000</v>
      </c>
      <c r="Q790" s="1">
        <v>789</v>
      </c>
    </row>
    <row r="791" spans="1:17">
      <c r="A791" t="s">
        <v>148</v>
      </c>
      <c r="B791" t="str">
        <f>TEXT(Table1[[#This Row],[Date]],"MMMM")</f>
        <v>February</v>
      </c>
      <c r="C791" t="str">
        <f>TEXT(Table1[[#This Row],[Date]],"DDDD")</f>
        <v>Sunday</v>
      </c>
      <c r="D791" t="s">
        <v>27</v>
      </c>
      <c r="E791" t="s">
        <v>53</v>
      </c>
      <c r="F791" t="s">
        <v>29</v>
      </c>
      <c r="G791" t="s">
        <v>30</v>
      </c>
      <c r="H791" t="s">
        <v>62</v>
      </c>
      <c r="I791" t="s">
        <v>51</v>
      </c>
      <c r="J791" s="3">
        <v>150000</v>
      </c>
      <c r="K791">
        <v>4</v>
      </c>
      <c r="L791" t="s">
        <v>33</v>
      </c>
      <c r="M791" s="3">
        <v>120000</v>
      </c>
      <c r="N791" s="3">
        <f>Table1[[#This Row],[Unit Price]]*Table1[[#This Row],[Quantity]]</f>
        <v>600000</v>
      </c>
      <c r="O791" s="3">
        <f>Table1[[#This Row],[Cost Price]]*Table1[[#This Row],[Quantity]]</f>
        <v>480000</v>
      </c>
      <c r="P791" s="3">
        <f>Table1[[#This Row],[Revenue]]-Table1[[#This Row],[COGS]]</f>
        <v>120000</v>
      </c>
      <c r="Q791" s="1">
        <v>790</v>
      </c>
    </row>
    <row r="792" spans="1:17">
      <c r="A792" t="s">
        <v>133</v>
      </c>
      <c r="B792" t="str">
        <f>TEXT(Table1[[#This Row],[Date]],"MMMM")</f>
        <v>January</v>
      </c>
      <c r="C792" t="str">
        <f>TEXT(Table1[[#This Row],[Date]],"DDDD")</f>
        <v>Wednesday</v>
      </c>
      <c r="D792" t="s">
        <v>27</v>
      </c>
      <c r="E792" t="s">
        <v>36</v>
      </c>
      <c r="F792" t="s">
        <v>29</v>
      </c>
      <c r="G792" t="s">
        <v>30</v>
      </c>
      <c r="H792" t="s">
        <v>38</v>
      </c>
      <c r="I792" t="s">
        <v>39</v>
      </c>
      <c r="J792" s="3">
        <v>30000</v>
      </c>
      <c r="K792">
        <v>8</v>
      </c>
      <c r="L792" t="s">
        <v>58</v>
      </c>
      <c r="M792" s="3">
        <v>24000</v>
      </c>
      <c r="N792" s="3">
        <f>Table1[[#This Row],[Unit Price]]*Table1[[#This Row],[Quantity]]</f>
        <v>240000</v>
      </c>
      <c r="O792" s="3">
        <f>Table1[[#This Row],[Cost Price]]*Table1[[#This Row],[Quantity]]</f>
        <v>192000</v>
      </c>
      <c r="P792" s="3">
        <f>Table1[[#This Row],[Revenue]]-Table1[[#This Row],[COGS]]</f>
        <v>48000</v>
      </c>
      <c r="Q792" s="1">
        <v>791</v>
      </c>
    </row>
    <row r="793" spans="1:17">
      <c r="A793" t="s">
        <v>95</v>
      </c>
      <c r="B793" t="str">
        <f>TEXT(Table1[[#This Row],[Date]],"MMMM")</f>
        <v>February</v>
      </c>
      <c r="C793" t="str">
        <f>TEXT(Table1[[#This Row],[Date]],"DDDD")</f>
        <v>Saturday</v>
      </c>
      <c r="D793" t="s">
        <v>27</v>
      </c>
      <c r="E793" t="s">
        <v>45</v>
      </c>
      <c r="F793" t="s">
        <v>41</v>
      </c>
      <c r="G793" t="s">
        <v>37</v>
      </c>
      <c r="H793" t="s">
        <v>67</v>
      </c>
      <c r="I793" t="s">
        <v>51</v>
      </c>
      <c r="J793" s="3">
        <v>420000</v>
      </c>
      <c r="K793">
        <v>3</v>
      </c>
      <c r="L793" t="s">
        <v>65</v>
      </c>
      <c r="M793" s="3">
        <v>336000</v>
      </c>
      <c r="N793" s="3">
        <f>Table1[[#This Row],[Unit Price]]*Table1[[#This Row],[Quantity]]</f>
        <v>1260000</v>
      </c>
      <c r="O793" s="3">
        <f>Table1[[#This Row],[Cost Price]]*Table1[[#This Row],[Quantity]]</f>
        <v>1008000</v>
      </c>
      <c r="P793" s="3">
        <f>Table1[[#This Row],[Revenue]]-Table1[[#This Row],[COGS]]</f>
        <v>252000</v>
      </c>
      <c r="Q793" s="1">
        <v>792</v>
      </c>
    </row>
    <row r="794" spans="1:17">
      <c r="A794" t="s">
        <v>127</v>
      </c>
      <c r="B794" t="str">
        <f>TEXT(Table1[[#This Row],[Date]],"MMMM")</f>
        <v>January</v>
      </c>
      <c r="C794" t="str">
        <f>TEXT(Table1[[#This Row],[Date]],"DDDD")</f>
        <v>Tuesday</v>
      </c>
      <c r="D794" t="s">
        <v>27</v>
      </c>
      <c r="E794" t="s">
        <v>28</v>
      </c>
      <c r="F794" t="s">
        <v>41</v>
      </c>
      <c r="G794" t="s">
        <v>37</v>
      </c>
      <c r="H794" t="s">
        <v>50</v>
      </c>
      <c r="I794" t="s">
        <v>51</v>
      </c>
      <c r="J794" s="3">
        <v>300000</v>
      </c>
      <c r="K794">
        <v>4</v>
      </c>
      <c r="L794" t="s">
        <v>69</v>
      </c>
      <c r="M794" s="3">
        <v>240000</v>
      </c>
      <c r="N794" s="3">
        <f>Table1[[#This Row],[Unit Price]]*Table1[[#This Row],[Quantity]]</f>
        <v>1200000</v>
      </c>
      <c r="O794" s="3">
        <f>Table1[[#This Row],[Cost Price]]*Table1[[#This Row],[Quantity]]</f>
        <v>960000</v>
      </c>
      <c r="P794" s="3">
        <f>Table1[[#This Row],[Revenue]]-Table1[[#This Row],[COGS]]</f>
        <v>240000</v>
      </c>
      <c r="Q794" s="1">
        <v>793</v>
      </c>
    </row>
    <row r="795" spans="1:17">
      <c r="A795" t="s">
        <v>122</v>
      </c>
      <c r="B795" t="str">
        <f>TEXT(Table1[[#This Row],[Date]],"MMMM")</f>
        <v>March</v>
      </c>
      <c r="C795" t="str">
        <f>TEXT(Table1[[#This Row],[Date]],"DDDD")</f>
        <v>Thursday</v>
      </c>
      <c r="D795" t="s">
        <v>27</v>
      </c>
      <c r="E795" t="s">
        <v>36</v>
      </c>
      <c r="F795" t="s">
        <v>29</v>
      </c>
      <c r="G795" t="s">
        <v>30</v>
      </c>
      <c r="H795" t="s">
        <v>71</v>
      </c>
      <c r="I795" t="s">
        <v>51</v>
      </c>
      <c r="J795" s="3">
        <v>250000</v>
      </c>
      <c r="K795">
        <v>6</v>
      </c>
      <c r="L795" t="s">
        <v>42</v>
      </c>
      <c r="M795" s="3">
        <v>200000</v>
      </c>
      <c r="N795" s="3">
        <f>Table1[[#This Row],[Unit Price]]*Table1[[#This Row],[Quantity]]</f>
        <v>1500000</v>
      </c>
      <c r="O795" s="3">
        <f>Table1[[#This Row],[Cost Price]]*Table1[[#This Row],[Quantity]]</f>
        <v>1200000</v>
      </c>
      <c r="P795" s="3">
        <f>Table1[[#This Row],[Revenue]]-Table1[[#This Row],[COGS]]</f>
        <v>300000</v>
      </c>
      <c r="Q795" s="1">
        <v>794</v>
      </c>
    </row>
    <row r="796" spans="1:17">
      <c r="A796" t="s">
        <v>155</v>
      </c>
      <c r="B796" t="str">
        <f>TEXT(Table1[[#This Row],[Date]],"MMMM")</f>
        <v>April</v>
      </c>
      <c r="C796" t="str">
        <f>TEXT(Table1[[#This Row],[Date]],"DDDD")</f>
        <v>Thursday</v>
      </c>
      <c r="D796" t="s">
        <v>27</v>
      </c>
      <c r="E796" t="s">
        <v>45</v>
      </c>
      <c r="F796" t="s">
        <v>41</v>
      </c>
      <c r="G796" t="s">
        <v>37</v>
      </c>
      <c r="H796" t="s">
        <v>56</v>
      </c>
      <c r="I796" t="s">
        <v>32</v>
      </c>
      <c r="J796" s="3">
        <v>320000</v>
      </c>
      <c r="K796">
        <v>6</v>
      </c>
      <c r="L796" t="s">
        <v>58</v>
      </c>
      <c r="M796" s="3">
        <v>256000</v>
      </c>
      <c r="N796" s="3">
        <f>Table1[[#This Row],[Unit Price]]*Table1[[#This Row],[Quantity]]</f>
        <v>1920000</v>
      </c>
      <c r="O796" s="3">
        <f>Table1[[#This Row],[Cost Price]]*Table1[[#This Row],[Quantity]]</f>
        <v>1536000</v>
      </c>
      <c r="P796" s="3">
        <f>Table1[[#This Row],[Revenue]]-Table1[[#This Row],[COGS]]</f>
        <v>384000</v>
      </c>
      <c r="Q796" s="1">
        <v>795</v>
      </c>
    </row>
    <row r="797" spans="1:17">
      <c r="A797" t="s">
        <v>158</v>
      </c>
      <c r="B797" t="str">
        <f>TEXT(Table1[[#This Row],[Date]],"MMMM")</f>
        <v>January</v>
      </c>
      <c r="C797" t="str">
        <f>TEXT(Table1[[#This Row],[Date]],"DDDD")</f>
        <v>Saturday</v>
      </c>
      <c r="D797" t="s">
        <v>27</v>
      </c>
      <c r="E797" t="s">
        <v>45</v>
      </c>
      <c r="F797" t="s">
        <v>29</v>
      </c>
      <c r="G797" t="s">
        <v>30</v>
      </c>
      <c r="H797" t="s">
        <v>54</v>
      </c>
      <c r="I797" t="s">
        <v>39</v>
      </c>
      <c r="J797" s="3">
        <v>180000</v>
      </c>
      <c r="K797">
        <v>5</v>
      </c>
      <c r="L797" t="s">
        <v>58</v>
      </c>
      <c r="M797" s="3">
        <v>144000</v>
      </c>
      <c r="N797" s="3">
        <f>Table1[[#This Row],[Unit Price]]*Table1[[#This Row],[Quantity]]</f>
        <v>900000</v>
      </c>
      <c r="O797" s="3">
        <f>Table1[[#This Row],[Cost Price]]*Table1[[#This Row],[Quantity]]</f>
        <v>720000</v>
      </c>
      <c r="P797" s="3">
        <f>Table1[[#This Row],[Revenue]]-Table1[[#This Row],[COGS]]</f>
        <v>180000</v>
      </c>
      <c r="Q797" s="1">
        <v>796</v>
      </c>
    </row>
    <row r="798" spans="1:17">
      <c r="A798" t="s">
        <v>174</v>
      </c>
      <c r="B798" t="str">
        <f>TEXT(Table1[[#This Row],[Date]],"MMMM")</f>
        <v>February</v>
      </c>
      <c r="C798" t="str">
        <f>TEXT(Table1[[#This Row],[Date]],"DDDD")</f>
        <v>Friday</v>
      </c>
      <c r="D798" t="s">
        <v>27</v>
      </c>
      <c r="E798" t="s">
        <v>28</v>
      </c>
      <c r="F798" t="s">
        <v>29</v>
      </c>
      <c r="G798" t="s">
        <v>30</v>
      </c>
      <c r="H798" t="s">
        <v>62</v>
      </c>
      <c r="I798" t="s">
        <v>51</v>
      </c>
      <c r="J798" s="3">
        <v>150000</v>
      </c>
      <c r="K798">
        <v>1</v>
      </c>
      <c r="L798" t="s">
        <v>47</v>
      </c>
      <c r="M798" s="3">
        <v>120000</v>
      </c>
      <c r="N798" s="3">
        <f>Table1[[#This Row],[Unit Price]]*Table1[[#This Row],[Quantity]]</f>
        <v>150000</v>
      </c>
      <c r="O798" s="3">
        <f>Table1[[#This Row],[Cost Price]]*Table1[[#This Row],[Quantity]]</f>
        <v>120000</v>
      </c>
      <c r="P798" s="3">
        <f>Table1[[#This Row],[Revenue]]-Table1[[#This Row],[COGS]]</f>
        <v>30000</v>
      </c>
      <c r="Q798" s="1">
        <v>797</v>
      </c>
    </row>
    <row r="799" spans="1:17">
      <c r="A799" t="s">
        <v>101</v>
      </c>
      <c r="B799" t="str">
        <f>TEXT(Table1[[#This Row],[Date]],"MMMM")</f>
        <v>January</v>
      </c>
      <c r="C799" t="str">
        <f>TEXT(Table1[[#This Row],[Date]],"DDDD")</f>
        <v>Thursday</v>
      </c>
      <c r="D799" t="s">
        <v>27</v>
      </c>
      <c r="E799" t="s">
        <v>28</v>
      </c>
      <c r="F799" t="s">
        <v>29</v>
      </c>
      <c r="G799" t="s">
        <v>37</v>
      </c>
      <c r="H799" t="s">
        <v>46</v>
      </c>
      <c r="I799" t="s">
        <v>39</v>
      </c>
      <c r="J799" s="3">
        <v>60000</v>
      </c>
      <c r="K799">
        <v>3</v>
      </c>
      <c r="L799" t="s">
        <v>69</v>
      </c>
      <c r="M799" s="3">
        <v>48000</v>
      </c>
      <c r="N799" s="3">
        <f>Table1[[#This Row],[Unit Price]]*Table1[[#This Row],[Quantity]]</f>
        <v>180000</v>
      </c>
      <c r="O799" s="3">
        <f>Table1[[#This Row],[Cost Price]]*Table1[[#This Row],[Quantity]]</f>
        <v>144000</v>
      </c>
      <c r="P799" s="3">
        <f>Table1[[#This Row],[Revenue]]-Table1[[#This Row],[COGS]]</f>
        <v>36000</v>
      </c>
      <c r="Q799" s="1">
        <v>798</v>
      </c>
    </row>
    <row r="800" spans="1:17">
      <c r="A800" t="s">
        <v>103</v>
      </c>
      <c r="B800" t="str">
        <f>TEXT(Table1[[#This Row],[Date]],"MMMM")</f>
        <v>March</v>
      </c>
      <c r="C800" t="str">
        <f>TEXT(Table1[[#This Row],[Date]],"DDDD")</f>
        <v>Wednesday</v>
      </c>
      <c r="D800" t="s">
        <v>35</v>
      </c>
      <c r="E800" t="s">
        <v>53</v>
      </c>
      <c r="F800" t="s">
        <v>41</v>
      </c>
      <c r="G800" t="s">
        <v>30</v>
      </c>
      <c r="H800" t="s">
        <v>31</v>
      </c>
      <c r="I800" t="s">
        <v>32</v>
      </c>
      <c r="J800" s="3">
        <v>85000</v>
      </c>
      <c r="K800">
        <v>10</v>
      </c>
      <c r="L800" t="s">
        <v>42</v>
      </c>
      <c r="M800" s="3">
        <v>68000</v>
      </c>
      <c r="N800" s="3">
        <f>Table1[[#This Row],[Unit Price]]*Table1[[#This Row],[Quantity]]</f>
        <v>850000</v>
      </c>
      <c r="O800" s="3">
        <f>Table1[[#This Row],[Cost Price]]*Table1[[#This Row],[Quantity]]</f>
        <v>680000</v>
      </c>
      <c r="P800" s="3">
        <f>Table1[[#This Row],[Revenue]]-Table1[[#This Row],[COGS]]</f>
        <v>170000</v>
      </c>
      <c r="Q800" s="1">
        <v>799</v>
      </c>
    </row>
    <row r="801" spans="1:17">
      <c r="A801" t="s">
        <v>137</v>
      </c>
      <c r="B801" t="str">
        <f>TEXT(Table1[[#This Row],[Date]],"MMMM")</f>
        <v>April</v>
      </c>
      <c r="C801" t="str">
        <f>TEXT(Table1[[#This Row],[Date]],"DDDD")</f>
        <v>Wednesday</v>
      </c>
      <c r="D801" t="s">
        <v>27</v>
      </c>
      <c r="E801" t="s">
        <v>53</v>
      </c>
      <c r="F801" t="s">
        <v>41</v>
      </c>
      <c r="G801" t="s">
        <v>37</v>
      </c>
      <c r="H801" t="s">
        <v>62</v>
      </c>
      <c r="I801" t="s">
        <v>51</v>
      </c>
      <c r="J801" s="3">
        <v>150000</v>
      </c>
      <c r="K801">
        <v>3</v>
      </c>
      <c r="L801" t="s">
        <v>65</v>
      </c>
      <c r="M801" s="3">
        <v>120000</v>
      </c>
      <c r="N801" s="3">
        <f>Table1[[#This Row],[Unit Price]]*Table1[[#This Row],[Quantity]]</f>
        <v>450000</v>
      </c>
      <c r="O801" s="3">
        <f>Table1[[#This Row],[Cost Price]]*Table1[[#This Row],[Quantity]]</f>
        <v>360000</v>
      </c>
      <c r="P801" s="3">
        <f>Table1[[#This Row],[Revenue]]-Table1[[#This Row],[COGS]]</f>
        <v>90000</v>
      </c>
      <c r="Q801" s="1">
        <v>800</v>
      </c>
    </row>
    <row r="802" spans="1:17">
      <c r="A802" t="s">
        <v>57</v>
      </c>
      <c r="B802" t="str">
        <f>TEXT(Table1[[#This Row],[Date]],"MMMM")</f>
        <v>February</v>
      </c>
      <c r="C802" t="str">
        <f>TEXT(Table1[[#This Row],[Date]],"DDDD")</f>
        <v>Thursday</v>
      </c>
      <c r="D802" t="s">
        <v>44</v>
      </c>
      <c r="E802" t="s">
        <v>28</v>
      </c>
      <c r="F802" t="s">
        <v>41</v>
      </c>
      <c r="G802" t="s">
        <v>37</v>
      </c>
      <c r="H802" t="s">
        <v>67</v>
      </c>
      <c r="I802" t="s">
        <v>51</v>
      </c>
      <c r="J802" s="3">
        <v>420000</v>
      </c>
      <c r="K802">
        <v>9</v>
      </c>
      <c r="L802" t="s">
        <v>65</v>
      </c>
      <c r="M802" s="3">
        <v>336000</v>
      </c>
      <c r="N802" s="3">
        <f>Table1[[#This Row],[Unit Price]]*Table1[[#This Row],[Quantity]]</f>
        <v>3780000</v>
      </c>
      <c r="O802" s="3">
        <f>Table1[[#This Row],[Cost Price]]*Table1[[#This Row],[Quantity]]</f>
        <v>3024000</v>
      </c>
      <c r="P802" s="3">
        <f>Table1[[#This Row],[Revenue]]-Table1[[#This Row],[COGS]]</f>
        <v>756000</v>
      </c>
      <c r="Q802" s="1">
        <v>801</v>
      </c>
    </row>
    <row r="803" spans="1:17">
      <c r="A803" t="s">
        <v>70</v>
      </c>
      <c r="B803" t="str">
        <f>TEXT(Table1[[#This Row],[Date]],"MMMM")</f>
        <v>April</v>
      </c>
      <c r="C803" t="str">
        <f>TEXT(Table1[[#This Row],[Date]],"DDDD")</f>
        <v>Friday</v>
      </c>
      <c r="D803" t="s">
        <v>44</v>
      </c>
      <c r="E803" t="s">
        <v>53</v>
      </c>
      <c r="F803" t="s">
        <v>29</v>
      </c>
      <c r="G803" t="s">
        <v>37</v>
      </c>
      <c r="H803" t="s">
        <v>73</v>
      </c>
      <c r="I803" t="s">
        <v>39</v>
      </c>
      <c r="J803" s="3">
        <v>220000</v>
      </c>
      <c r="K803">
        <v>1</v>
      </c>
      <c r="L803" t="s">
        <v>58</v>
      </c>
      <c r="M803" s="3">
        <v>176000</v>
      </c>
      <c r="N803" s="3">
        <f>Table1[[#This Row],[Unit Price]]*Table1[[#This Row],[Quantity]]</f>
        <v>220000</v>
      </c>
      <c r="O803" s="3">
        <f>Table1[[#This Row],[Cost Price]]*Table1[[#This Row],[Quantity]]</f>
        <v>176000</v>
      </c>
      <c r="P803" s="3">
        <f>Table1[[#This Row],[Revenue]]-Table1[[#This Row],[COGS]]</f>
        <v>44000</v>
      </c>
      <c r="Q803" s="1">
        <v>802</v>
      </c>
    </row>
    <row r="804" spans="1:17">
      <c r="A804" t="s">
        <v>144</v>
      </c>
      <c r="B804" t="str">
        <f>TEXT(Table1[[#This Row],[Date]],"MMMM")</f>
        <v>February</v>
      </c>
      <c r="C804" t="str">
        <f>TEXT(Table1[[#This Row],[Date]],"DDDD")</f>
        <v>Friday</v>
      </c>
      <c r="D804" t="s">
        <v>35</v>
      </c>
      <c r="E804" t="s">
        <v>53</v>
      </c>
      <c r="F804" t="s">
        <v>41</v>
      </c>
      <c r="G804" t="s">
        <v>30</v>
      </c>
      <c r="H804" t="s">
        <v>31</v>
      </c>
      <c r="I804" t="s">
        <v>32</v>
      </c>
      <c r="J804" s="3">
        <v>85000</v>
      </c>
      <c r="K804">
        <v>4</v>
      </c>
      <c r="L804" t="s">
        <v>42</v>
      </c>
      <c r="M804" s="3">
        <v>68000</v>
      </c>
      <c r="N804" s="3">
        <f>Table1[[#This Row],[Unit Price]]*Table1[[#This Row],[Quantity]]</f>
        <v>340000</v>
      </c>
      <c r="O804" s="3">
        <f>Table1[[#This Row],[Cost Price]]*Table1[[#This Row],[Quantity]]</f>
        <v>272000</v>
      </c>
      <c r="P804" s="3">
        <f>Table1[[#This Row],[Revenue]]-Table1[[#This Row],[COGS]]</f>
        <v>68000</v>
      </c>
      <c r="Q804" s="1">
        <v>803</v>
      </c>
    </row>
    <row r="805" spans="1:17">
      <c r="A805" t="s">
        <v>143</v>
      </c>
      <c r="B805" t="str">
        <f>TEXT(Table1[[#This Row],[Date]],"MMMM")</f>
        <v>April</v>
      </c>
      <c r="C805" t="str">
        <f>TEXT(Table1[[#This Row],[Date]],"DDDD")</f>
        <v>Thursday</v>
      </c>
      <c r="D805" t="s">
        <v>27</v>
      </c>
      <c r="E805" t="s">
        <v>28</v>
      </c>
      <c r="F805" t="s">
        <v>29</v>
      </c>
      <c r="G805" t="s">
        <v>30</v>
      </c>
      <c r="H805" t="s">
        <v>67</v>
      </c>
      <c r="I805" t="s">
        <v>51</v>
      </c>
      <c r="J805" s="3">
        <v>420000</v>
      </c>
      <c r="K805">
        <v>6</v>
      </c>
      <c r="L805" t="s">
        <v>65</v>
      </c>
      <c r="M805" s="3">
        <v>336000</v>
      </c>
      <c r="N805" s="3">
        <f>Table1[[#This Row],[Unit Price]]*Table1[[#This Row],[Quantity]]</f>
        <v>2520000</v>
      </c>
      <c r="O805" s="3">
        <f>Table1[[#This Row],[Cost Price]]*Table1[[#This Row],[Quantity]]</f>
        <v>2016000</v>
      </c>
      <c r="P805" s="3">
        <f>Table1[[#This Row],[Revenue]]-Table1[[#This Row],[COGS]]</f>
        <v>504000</v>
      </c>
      <c r="Q805" s="1">
        <v>804</v>
      </c>
    </row>
    <row r="806" spans="1:17">
      <c r="A806" t="s">
        <v>132</v>
      </c>
      <c r="B806" t="str">
        <f>TEXT(Table1[[#This Row],[Date]],"MMMM")</f>
        <v>April</v>
      </c>
      <c r="C806" t="str">
        <f>TEXT(Table1[[#This Row],[Date]],"DDDD")</f>
        <v>Saturday</v>
      </c>
      <c r="D806" t="s">
        <v>49</v>
      </c>
      <c r="E806" t="s">
        <v>53</v>
      </c>
      <c r="F806" t="s">
        <v>41</v>
      </c>
      <c r="G806" t="s">
        <v>30</v>
      </c>
      <c r="H806" t="s">
        <v>67</v>
      </c>
      <c r="I806" t="s">
        <v>51</v>
      </c>
      <c r="J806" s="3">
        <v>420000</v>
      </c>
      <c r="K806">
        <v>6</v>
      </c>
      <c r="L806" t="s">
        <v>47</v>
      </c>
      <c r="M806" s="3">
        <v>336000</v>
      </c>
      <c r="N806" s="3">
        <f>Table1[[#This Row],[Unit Price]]*Table1[[#This Row],[Quantity]]</f>
        <v>2520000</v>
      </c>
      <c r="O806" s="3">
        <f>Table1[[#This Row],[Cost Price]]*Table1[[#This Row],[Quantity]]</f>
        <v>2016000</v>
      </c>
      <c r="P806" s="3">
        <f>Table1[[#This Row],[Revenue]]-Table1[[#This Row],[COGS]]</f>
        <v>504000</v>
      </c>
      <c r="Q806" s="1">
        <v>805</v>
      </c>
    </row>
    <row r="807" spans="1:17">
      <c r="A807" t="s">
        <v>101</v>
      </c>
      <c r="B807" t="str">
        <f>TEXT(Table1[[#This Row],[Date]],"MMMM")</f>
        <v>January</v>
      </c>
      <c r="C807" t="str">
        <f>TEXT(Table1[[#This Row],[Date]],"DDDD")</f>
        <v>Thursday</v>
      </c>
      <c r="D807" t="s">
        <v>35</v>
      </c>
      <c r="E807" t="s">
        <v>28</v>
      </c>
      <c r="F807" t="s">
        <v>29</v>
      </c>
      <c r="G807" t="s">
        <v>30</v>
      </c>
      <c r="H807" t="s">
        <v>50</v>
      </c>
      <c r="I807" t="s">
        <v>51</v>
      </c>
      <c r="J807" s="3">
        <v>300000</v>
      </c>
      <c r="K807">
        <v>10</v>
      </c>
      <c r="L807" t="s">
        <v>58</v>
      </c>
      <c r="M807" s="3">
        <v>240000</v>
      </c>
      <c r="N807" s="3">
        <f>Table1[[#This Row],[Unit Price]]*Table1[[#This Row],[Quantity]]</f>
        <v>3000000</v>
      </c>
      <c r="O807" s="3">
        <f>Table1[[#This Row],[Cost Price]]*Table1[[#This Row],[Quantity]]</f>
        <v>2400000</v>
      </c>
      <c r="P807" s="3">
        <f>Table1[[#This Row],[Revenue]]-Table1[[#This Row],[COGS]]</f>
        <v>600000</v>
      </c>
      <c r="Q807" s="1">
        <v>806</v>
      </c>
    </row>
    <row r="808" spans="1:17">
      <c r="A808" t="s">
        <v>146</v>
      </c>
      <c r="B808" t="str">
        <f>TEXT(Table1[[#This Row],[Date]],"MMMM")</f>
        <v>January</v>
      </c>
      <c r="C808" t="str">
        <f>TEXT(Table1[[#This Row],[Date]],"DDDD")</f>
        <v>Tuesday</v>
      </c>
      <c r="D808" t="s">
        <v>44</v>
      </c>
      <c r="E808" t="s">
        <v>36</v>
      </c>
      <c r="F808" t="s">
        <v>29</v>
      </c>
      <c r="G808" t="s">
        <v>37</v>
      </c>
      <c r="H808" t="s">
        <v>73</v>
      </c>
      <c r="I808" t="s">
        <v>39</v>
      </c>
      <c r="J808" s="3">
        <v>220000</v>
      </c>
      <c r="K808">
        <v>4</v>
      </c>
      <c r="L808" t="s">
        <v>47</v>
      </c>
      <c r="M808" s="3">
        <v>176000</v>
      </c>
      <c r="N808" s="3">
        <f>Table1[[#This Row],[Unit Price]]*Table1[[#This Row],[Quantity]]</f>
        <v>880000</v>
      </c>
      <c r="O808" s="3">
        <f>Table1[[#This Row],[Cost Price]]*Table1[[#This Row],[Quantity]]</f>
        <v>704000</v>
      </c>
      <c r="P808" s="3">
        <f>Table1[[#This Row],[Revenue]]-Table1[[#This Row],[COGS]]</f>
        <v>176000</v>
      </c>
      <c r="Q808" s="1">
        <v>807</v>
      </c>
    </row>
    <row r="809" spans="1:17">
      <c r="A809" t="s">
        <v>102</v>
      </c>
      <c r="B809" t="str">
        <f>TEXT(Table1[[#This Row],[Date]],"MMMM")</f>
        <v>March</v>
      </c>
      <c r="C809" t="str">
        <f>TEXT(Table1[[#This Row],[Date]],"DDDD")</f>
        <v>Wednesday</v>
      </c>
      <c r="D809" t="s">
        <v>27</v>
      </c>
      <c r="E809" t="s">
        <v>53</v>
      </c>
      <c r="F809" t="s">
        <v>29</v>
      </c>
      <c r="G809" t="s">
        <v>37</v>
      </c>
      <c r="H809" t="s">
        <v>54</v>
      </c>
      <c r="I809" t="s">
        <v>39</v>
      </c>
      <c r="J809" s="3">
        <v>180000</v>
      </c>
      <c r="K809">
        <v>8</v>
      </c>
      <c r="L809" t="s">
        <v>65</v>
      </c>
      <c r="M809" s="3">
        <v>144000</v>
      </c>
      <c r="N809" s="3">
        <f>Table1[[#This Row],[Unit Price]]*Table1[[#This Row],[Quantity]]</f>
        <v>1440000</v>
      </c>
      <c r="O809" s="3">
        <f>Table1[[#This Row],[Cost Price]]*Table1[[#This Row],[Quantity]]</f>
        <v>1152000</v>
      </c>
      <c r="P809" s="3">
        <f>Table1[[#This Row],[Revenue]]-Table1[[#This Row],[COGS]]</f>
        <v>288000</v>
      </c>
      <c r="Q809" s="1">
        <v>808</v>
      </c>
    </row>
    <row r="810" spans="1:17">
      <c r="A810" t="s">
        <v>108</v>
      </c>
      <c r="B810" t="str">
        <f>TEXT(Table1[[#This Row],[Date]],"MMMM")</f>
        <v>April</v>
      </c>
      <c r="C810" t="str">
        <f>TEXT(Table1[[#This Row],[Date]],"DDDD")</f>
        <v>Thursday</v>
      </c>
      <c r="D810" t="s">
        <v>27</v>
      </c>
      <c r="E810" t="s">
        <v>53</v>
      </c>
      <c r="F810" t="s">
        <v>29</v>
      </c>
      <c r="G810" t="s">
        <v>30</v>
      </c>
      <c r="H810" t="s">
        <v>71</v>
      </c>
      <c r="I810" t="s">
        <v>51</v>
      </c>
      <c r="J810" s="3">
        <v>250000</v>
      </c>
      <c r="K810">
        <v>3</v>
      </c>
      <c r="L810" t="s">
        <v>33</v>
      </c>
      <c r="M810" s="3">
        <v>200000</v>
      </c>
      <c r="N810" s="3">
        <f>Table1[[#This Row],[Unit Price]]*Table1[[#This Row],[Quantity]]</f>
        <v>750000</v>
      </c>
      <c r="O810" s="3">
        <f>Table1[[#This Row],[Cost Price]]*Table1[[#This Row],[Quantity]]</f>
        <v>600000</v>
      </c>
      <c r="P810" s="3">
        <f>Table1[[#This Row],[Revenue]]-Table1[[#This Row],[COGS]]</f>
        <v>150000</v>
      </c>
      <c r="Q810" s="1">
        <v>809</v>
      </c>
    </row>
    <row r="811" spans="1:17">
      <c r="A811" t="s">
        <v>170</v>
      </c>
      <c r="B811" t="str">
        <f>TEXT(Table1[[#This Row],[Date]],"MMMM")</f>
        <v>January</v>
      </c>
      <c r="C811" t="str">
        <f>TEXT(Table1[[#This Row],[Date]],"DDDD")</f>
        <v>Sunday</v>
      </c>
      <c r="D811" t="s">
        <v>49</v>
      </c>
      <c r="E811" t="s">
        <v>45</v>
      </c>
      <c r="F811" t="s">
        <v>41</v>
      </c>
      <c r="G811" t="s">
        <v>30</v>
      </c>
      <c r="H811" t="s">
        <v>50</v>
      </c>
      <c r="I811" t="s">
        <v>51</v>
      </c>
      <c r="J811" s="3">
        <v>300000</v>
      </c>
      <c r="K811">
        <v>7</v>
      </c>
      <c r="L811" t="s">
        <v>33</v>
      </c>
      <c r="M811" s="3">
        <v>240000</v>
      </c>
      <c r="N811" s="3">
        <f>Table1[[#This Row],[Unit Price]]*Table1[[#This Row],[Quantity]]</f>
        <v>2100000</v>
      </c>
      <c r="O811" s="3">
        <f>Table1[[#This Row],[Cost Price]]*Table1[[#This Row],[Quantity]]</f>
        <v>1680000</v>
      </c>
      <c r="P811" s="3">
        <f>Table1[[#This Row],[Revenue]]-Table1[[#This Row],[COGS]]</f>
        <v>420000</v>
      </c>
      <c r="Q811" s="1">
        <v>810</v>
      </c>
    </row>
    <row r="812" spans="1:17">
      <c r="A812" t="s">
        <v>170</v>
      </c>
      <c r="B812" t="str">
        <f>TEXT(Table1[[#This Row],[Date]],"MMMM")</f>
        <v>January</v>
      </c>
      <c r="C812" t="str">
        <f>TEXT(Table1[[#This Row],[Date]],"DDDD")</f>
        <v>Sunday</v>
      </c>
      <c r="D812" t="s">
        <v>49</v>
      </c>
      <c r="E812" t="s">
        <v>53</v>
      </c>
      <c r="F812" t="s">
        <v>29</v>
      </c>
      <c r="G812" t="s">
        <v>37</v>
      </c>
      <c r="H812" t="s">
        <v>50</v>
      </c>
      <c r="I812" t="s">
        <v>51</v>
      </c>
      <c r="J812" s="3">
        <v>300000</v>
      </c>
      <c r="K812">
        <v>7</v>
      </c>
      <c r="L812" t="s">
        <v>69</v>
      </c>
      <c r="M812" s="3">
        <v>240000</v>
      </c>
      <c r="N812" s="3">
        <f>Table1[[#This Row],[Unit Price]]*Table1[[#This Row],[Quantity]]</f>
        <v>2100000</v>
      </c>
      <c r="O812" s="3">
        <f>Table1[[#This Row],[Cost Price]]*Table1[[#This Row],[Quantity]]</f>
        <v>1680000</v>
      </c>
      <c r="P812" s="3">
        <f>Table1[[#This Row],[Revenue]]-Table1[[#This Row],[COGS]]</f>
        <v>420000</v>
      </c>
      <c r="Q812" s="1">
        <v>811</v>
      </c>
    </row>
    <row r="813" spans="1:17">
      <c r="A813" t="s">
        <v>149</v>
      </c>
      <c r="B813" t="str">
        <f>TEXT(Table1[[#This Row],[Date]],"MMMM")</f>
        <v>April</v>
      </c>
      <c r="C813" t="str">
        <f>TEXT(Table1[[#This Row],[Date]],"DDDD")</f>
        <v>Saturday</v>
      </c>
      <c r="D813" t="s">
        <v>49</v>
      </c>
      <c r="E813" t="s">
        <v>53</v>
      </c>
      <c r="F813" t="s">
        <v>41</v>
      </c>
      <c r="G813" t="s">
        <v>37</v>
      </c>
      <c r="H813" t="s">
        <v>71</v>
      </c>
      <c r="I813" t="s">
        <v>51</v>
      </c>
      <c r="J813" s="3">
        <v>250000</v>
      </c>
      <c r="K813">
        <v>1</v>
      </c>
      <c r="L813" t="s">
        <v>65</v>
      </c>
      <c r="M813" s="3">
        <v>200000</v>
      </c>
      <c r="N813" s="3">
        <f>Table1[[#This Row],[Unit Price]]*Table1[[#This Row],[Quantity]]</f>
        <v>250000</v>
      </c>
      <c r="O813" s="3">
        <f>Table1[[#This Row],[Cost Price]]*Table1[[#This Row],[Quantity]]</f>
        <v>200000</v>
      </c>
      <c r="P813" s="3">
        <f>Table1[[#This Row],[Revenue]]-Table1[[#This Row],[COGS]]</f>
        <v>50000</v>
      </c>
      <c r="Q813" s="1">
        <v>812</v>
      </c>
    </row>
    <row r="814" spans="1:17">
      <c r="A814" t="s">
        <v>148</v>
      </c>
      <c r="B814" t="str">
        <f>TEXT(Table1[[#This Row],[Date]],"MMMM")</f>
        <v>February</v>
      </c>
      <c r="C814" t="str">
        <f>TEXT(Table1[[#This Row],[Date]],"DDDD")</f>
        <v>Sunday</v>
      </c>
      <c r="D814" t="s">
        <v>27</v>
      </c>
      <c r="E814" t="s">
        <v>36</v>
      </c>
      <c r="F814" t="s">
        <v>41</v>
      </c>
      <c r="G814" t="s">
        <v>30</v>
      </c>
      <c r="H814" t="s">
        <v>50</v>
      </c>
      <c r="I814" t="s">
        <v>51</v>
      </c>
      <c r="J814" s="3">
        <v>300000</v>
      </c>
      <c r="K814">
        <v>3</v>
      </c>
      <c r="L814" t="s">
        <v>58</v>
      </c>
      <c r="M814" s="3">
        <v>240000</v>
      </c>
      <c r="N814" s="3">
        <f>Table1[[#This Row],[Unit Price]]*Table1[[#This Row],[Quantity]]</f>
        <v>900000</v>
      </c>
      <c r="O814" s="3">
        <f>Table1[[#This Row],[Cost Price]]*Table1[[#This Row],[Quantity]]</f>
        <v>720000</v>
      </c>
      <c r="P814" s="3">
        <f>Table1[[#This Row],[Revenue]]-Table1[[#This Row],[COGS]]</f>
        <v>180000</v>
      </c>
      <c r="Q814" s="1">
        <v>813</v>
      </c>
    </row>
    <row r="815" spans="1:17">
      <c r="A815" t="s">
        <v>157</v>
      </c>
      <c r="B815" t="str">
        <f>TEXT(Table1[[#This Row],[Date]],"MMMM")</f>
        <v>April</v>
      </c>
      <c r="C815" t="str">
        <f>TEXT(Table1[[#This Row],[Date]],"DDDD")</f>
        <v>Tuesday</v>
      </c>
      <c r="D815" t="s">
        <v>44</v>
      </c>
      <c r="E815" t="s">
        <v>28</v>
      </c>
      <c r="F815" t="s">
        <v>29</v>
      </c>
      <c r="G815" t="s">
        <v>30</v>
      </c>
      <c r="H815" t="s">
        <v>67</v>
      </c>
      <c r="I815" t="s">
        <v>51</v>
      </c>
      <c r="J815" s="3">
        <v>420000</v>
      </c>
      <c r="K815">
        <v>10</v>
      </c>
      <c r="L815" t="s">
        <v>47</v>
      </c>
      <c r="M815" s="3">
        <v>336000</v>
      </c>
      <c r="N815" s="3">
        <f>Table1[[#This Row],[Unit Price]]*Table1[[#This Row],[Quantity]]</f>
        <v>4200000</v>
      </c>
      <c r="O815" s="3">
        <f>Table1[[#This Row],[Cost Price]]*Table1[[#This Row],[Quantity]]</f>
        <v>3360000</v>
      </c>
      <c r="P815" s="3">
        <f>Table1[[#This Row],[Revenue]]-Table1[[#This Row],[COGS]]</f>
        <v>840000</v>
      </c>
      <c r="Q815" s="1">
        <v>814</v>
      </c>
    </row>
    <row r="816" spans="1:17">
      <c r="A816" t="s">
        <v>113</v>
      </c>
      <c r="B816" t="str">
        <f>TEXT(Table1[[#This Row],[Date]],"MMMM")</f>
        <v>April</v>
      </c>
      <c r="C816" t="str">
        <f>TEXT(Table1[[#This Row],[Date]],"DDDD")</f>
        <v>Monday</v>
      </c>
      <c r="D816" t="s">
        <v>49</v>
      </c>
      <c r="E816" t="s">
        <v>45</v>
      </c>
      <c r="F816" t="s">
        <v>41</v>
      </c>
      <c r="G816" t="s">
        <v>30</v>
      </c>
      <c r="H816" t="s">
        <v>46</v>
      </c>
      <c r="I816" t="s">
        <v>39</v>
      </c>
      <c r="J816" s="3">
        <v>60000</v>
      </c>
      <c r="K816">
        <v>9</v>
      </c>
      <c r="L816" t="s">
        <v>58</v>
      </c>
      <c r="M816" s="3">
        <v>48000</v>
      </c>
      <c r="N816" s="3">
        <f>Table1[[#This Row],[Unit Price]]*Table1[[#This Row],[Quantity]]</f>
        <v>540000</v>
      </c>
      <c r="O816" s="3">
        <f>Table1[[#This Row],[Cost Price]]*Table1[[#This Row],[Quantity]]</f>
        <v>432000</v>
      </c>
      <c r="P816" s="3">
        <f>Table1[[#This Row],[Revenue]]-Table1[[#This Row],[COGS]]</f>
        <v>108000</v>
      </c>
      <c r="Q816" s="1">
        <v>815</v>
      </c>
    </row>
    <row r="817" spans="1:17">
      <c r="A817" t="s">
        <v>121</v>
      </c>
      <c r="B817" t="str">
        <f>TEXT(Table1[[#This Row],[Date]],"MMMM")</f>
        <v>April</v>
      </c>
      <c r="C817" t="str">
        <f>TEXT(Table1[[#This Row],[Date]],"DDDD")</f>
        <v>Wednesday</v>
      </c>
      <c r="D817" t="s">
        <v>27</v>
      </c>
      <c r="E817" t="s">
        <v>28</v>
      </c>
      <c r="F817" t="s">
        <v>29</v>
      </c>
      <c r="G817" t="s">
        <v>30</v>
      </c>
      <c r="H817" t="s">
        <v>71</v>
      </c>
      <c r="I817" t="s">
        <v>51</v>
      </c>
      <c r="J817" s="3">
        <v>250000</v>
      </c>
      <c r="K817">
        <v>4</v>
      </c>
      <c r="L817" t="s">
        <v>47</v>
      </c>
      <c r="M817" s="3">
        <v>200000</v>
      </c>
      <c r="N817" s="3">
        <f>Table1[[#This Row],[Unit Price]]*Table1[[#This Row],[Quantity]]</f>
        <v>1000000</v>
      </c>
      <c r="O817" s="3">
        <f>Table1[[#This Row],[Cost Price]]*Table1[[#This Row],[Quantity]]</f>
        <v>800000</v>
      </c>
      <c r="P817" s="3">
        <f>Table1[[#This Row],[Revenue]]-Table1[[#This Row],[COGS]]</f>
        <v>200000</v>
      </c>
      <c r="Q817" s="1">
        <v>816</v>
      </c>
    </row>
    <row r="818" spans="1:17">
      <c r="A818" t="s">
        <v>34</v>
      </c>
      <c r="B818" t="str">
        <f>TEXT(Table1[[#This Row],[Date]],"MMMM")</f>
        <v>April</v>
      </c>
      <c r="C818" t="str">
        <f>TEXT(Table1[[#This Row],[Date]],"DDDD")</f>
        <v>Tuesday</v>
      </c>
      <c r="D818" t="s">
        <v>35</v>
      </c>
      <c r="E818" t="s">
        <v>45</v>
      </c>
      <c r="F818" t="s">
        <v>29</v>
      </c>
      <c r="G818" t="s">
        <v>30</v>
      </c>
      <c r="H818" t="s">
        <v>71</v>
      </c>
      <c r="I818" t="s">
        <v>51</v>
      </c>
      <c r="J818" s="3">
        <v>250000</v>
      </c>
      <c r="K818">
        <v>3</v>
      </c>
      <c r="L818" t="s">
        <v>65</v>
      </c>
      <c r="M818" s="3">
        <v>200000</v>
      </c>
      <c r="N818" s="3">
        <f>Table1[[#This Row],[Unit Price]]*Table1[[#This Row],[Quantity]]</f>
        <v>750000</v>
      </c>
      <c r="O818" s="3">
        <f>Table1[[#This Row],[Cost Price]]*Table1[[#This Row],[Quantity]]</f>
        <v>600000</v>
      </c>
      <c r="P818" s="3">
        <f>Table1[[#This Row],[Revenue]]-Table1[[#This Row],[COGS]]</f>
        <v>150000</v>
      </c>
      <c r="Q818" s="1">
        <v>817</v>
      </c>
    </row>
    <row r="819" spans="1:17">
      <c r="A819" t="s">
        <v>119</v>
      </c>
      <c r="B819" t="str">
        <f>TEXT(Table1[[#This Row],[Date]],"MMMM")</f>
        <v>February</v>
      </c>
      <c r="C819" t="str">
        <f>TEXT(Table1[[#This Row],[Date]],"DDDD")</f>
        <v>Sunday</v>
      </c>
      <c r="D819" t="s">
        <v>27</v>
      </c>
      <c r="E819" t="s">
        <v>53</v>
      </c>
      <c r="F819" t="s">
        <v>29</v>
      </c>
      <c r="G819" t="s">
        <v>37</v>
      </c>
      <c r="H819" t="s">
        <v>46</v>
      </c>
      <c r="I819" t="s">
        <v>39</v>
      </c>
      <c r="J819" s="3">
        <v>60000</v>
      </c>
      <c r="K819">
        <v>3</v>
      </c>
      <c r="L819" t="s">
        <v>33</v>
      </c>
      <c r="M819" s="3">
        <v>48000</v>
      </c>
      <c r="N819" s="3">
        <f>Table1[[#This Row],[Unit Price]]*Table1[[#This Row],[Quantity]]</f>
        <v>180000</v>
      </c>
      <c r="O819" s="3">
        <f>Table1[[#This Row],[Cost Price]]*Table1[[#This Row],[Quantity]]</f>
        <v>144000</v>
      </c>
      <c r="P819" s="3">
        <f>Table1[[#This Row],[Revenue]]-Table1[[#This Row],[COGS]]</f>
        <v>36000</v>
      </c>
      <c r="Q819" s="1">
        <v>818</v>
      </c>
    </row>
    <row r="820" spans="1:17">
      <c r="A820" t="s">
        <v>88</v>
      </c>
      <c r="B820" t="str">
        <f>TEXT(Table1[[#This Row],[Date]],"MMMM")</f>
        <v>February</v>
      </c>
      <c r="C820" t="str">
        <f>TEXT(Table1[[#This Row],[Date]],"DDDD")</f>
        <v>Monday</v>
      </c>
      <c r="D820" t="s">
        <v>27</v>
      </c>
      <c r="E820" t="s">
        <v>36</v>
      </c>
      <c r="F820" t="s">
        <v>41</v>
      </c>
      <c r="G820" t="s">
        <v>30</v>
      </c>
      <c r="H820" t="s">
        <v>56</v>
      </c>
      <c r="I820" t="s">
        <v>32</v>
      </c>
      <c r="J820" s="3">
        <v>320000</v>
      </c>
      <c r="K820">
        <v>1</v>
      </c>
      <c r="L820" t="s">
        <v>42</v>
      </c>
      <c r="M820" s="3">
        <v>256000</v>
      </c>
      <c r="N820" s="3">
        <f>Table1[[#This Row],[Unit Price]]*Table1[[#This Row],[Quantity]]</f>
        <v>320000</v>
      </c>
      <c r="O820" s="3">
        <f>Table1[[#This Row],[Cost Price]]*Table1[[#This Row],[Quantity]]</f>
        <v>256000</v>
      </c>
      <c r="P820" s="3">
        <f>Table1[[#This Row],[Revenue]]-Table1[[#This Row],[COGS]]</f>
        <v>64000</v>
      </c>
      <c r="Q820" s="1">
        <v>819</v>
      </c>
    </row>
    <row r="821" spans="1:17">
      <c r="A821" t="s">
        <v>136</v>
      </c>
      <c r="B821" t="str">
        <f>TEXT(Table1[[#This Row],[Date]],"MMMM")</f>
        <v>February</v>
      </c>
      <c r="C821" t="str">
        <f>TEXT(Table1[[#This Row],[Date]],"DDDD")</f>
        <v>Saturday</v>
      </c>
      <c r="D821" t="s">
        <v>49</v>
      </c>
      <c r="E821" t="s">
        <v>53</v>
      </c>
      <c r="F821" t="s">
        <v>41</v>
      </c>
      <c r="G821" t="s">
        <v>37</v>
      </c>
      <c r="H821" t="s">
        <v>46</v>
      </c>
      <c r="I821" t="s">
        <v>39</v>
      </c>
      <c r="J821" s="3">
        <v>60000</v>
      </c>
      <c r="K821">
        <v>8</v>
      </c>
      <c r="L821" t="s">
        <v>42</v>
      </c>
      <c r="M821" s="3">
        <v>48000</v>
      </c>
      <c r="N821" s="3">
        <f>Table1[[#This Row],[Unit Price]]*Table1[[#This Row],[Quantity]]</f>
        <v>480000</v>
      </c>
      <c r="O821" s="3">
        <f>Table1[[#This Row],[Cost Price]]*Table1[[#This Row],[Quantity]]</f>
        <v>384000</v>
      </c>
      <c r="P821" s="3">
        <f>Table1[[#This Row],[Revenue]]-Table1[[#This Row],[COGS]]</f>
        <v>96000</v>
      </c>
      <c r="Q821" s="1">
        <v>820</v>
      </c>
    </row>
    <row r="822" spans="1:17">
      <c r="A822" t="s">
        <v>156</v>
      </c>
      <c r="B822" t="str">
        <f>TEXT(Table1[[#This Row],[Date]],"MMMM")</f>
        <v>February</v>
      </c>
      <c r="C822" t="str">
        <f>TEXT(Table1[[#This Row],[Date]],"DDDD")</f>
        <v>Friday</v>
      </c>
      <c r="D822" t="s">
        <v>35</v>
      </c>
      <c r="E822" t="s">
        <v>45</v>
      </c>
      <c r="F822" t="s">
        <v>41</v>
      </c>
      <c r="G822" t="s">
        <v>37</v>
      </c>
      <c r="H822" t="s">
        <v>71</v>
      </c>
      <c r="I822" t="s">
        <v>51</v>
      </c>
      <c r="J822" s="3">
        <v>250000</v>
      </c>
      <c r="K822">
        <v>5</v>
      </c>
      <c r="L822" t="s">
        <v>58</v>
      </c>
      <c r="M822" s="3">
        <v>200000</v>
      </c>
      <c r="N822" s="3">
        <f>Table1[[#This Row],[Unit Price]]*Table1[[#This Row],[Quantity]]</f>
        <v>1250000</v>
      </c>
      <c r="O822" s="3">
        <f>Table1[[#This Row],[Cost Price]]*Table1[[#This Row],[Quantity]]</f>
        <v>1000000</v>
      </c>
      <c r="P822" s="3">
        <f>Table1[[#This Row],[Revenue]]-Table1[[#This Row],[COGS]]</f>
        <v>250000</v>
      </c>
      <c r="Q822" s="1">
        <v>821</v>
      </c>
    </row>
    <row r="823" spans="1:17">
      <c r="A823" t="s">
        <v>118</v>
      </c>
      <c r="B823" t="str">
        <f>TEXT(Table1[[#This Row],[Date]],"MMMM")</f>
        <v>March</v>
      </c>
      <c r="C823" t="str">
        <f>TEXT(Table1[[#This Row],[Date]],"DDDD")</f>
        <v>Tuesday</v>
      </c>
      <c r="D823" t="s">
        <v>27</v>
      </c>
      <c r="E823" t="s">
        <v>28</v>
      </c>
      <c r="F823" t="s">
        <v>41</v>
      </c>
      <c r="G823" t="s">
        <v>37</v>
      </c>
      <c r="H823" t="s">
        <v>56</v>
      </c>
      <c r="I823" t="s">
        <v>32</v>
      </c>
      <c r="J823" s="3">
        <v>320000</v>
      </c>
      <c r="K823">
        <v>2</v>
      </c>
      <c r="L823" t="s">
        <v>69</v>
      </c>
      <c r="M823" s="3">
        <v>256000</v>
      </c>
      <c r="N823" s="3">
        <f>Table1[[#This Row],[Unit Price]]*Table1[[#This Row],[Quantity]]</f>
        <v>640000</v>
      </c>
      <c r="O823" s="3">
        <f>Table1[[#This Row],[Cost Price]]*Table1[[#This Row],[Quantity]]</f>
        <v>512000</v>
      </c>
      <c r="P823" s="3">
        <f>Table1[[#This Row],[Revenue]]-Table1[[#This Row],[COGS]]</f>
        <v>128000</v>
      </c>
      <c r="Q823" s="1">
        <v>822</v>
      </c>
    </row>
    <row r="824" spans="1:17">
      <c r="A824" t="s">
        <v>124</v>
      </c>
      <c r="B824" t="str">
        <f>TEXT(Table1[[#This Row],[Date]],"MMMM")</f>
        <v>February</v>
      </c>
      <c r="C824" t="str">
        <f>TEXT(Table1[[#This Row],[Date]],"DDDD")</f>
        <v>Monday</v>
      </c>
      <c r="D824" t="s">
        <v>44</v>
      </c>
      <c r="E824" t="s">
        <v>45</v>
      </c>
      <c r="F824" t="s">
        <v>41</v>
      </c>
      <c r="G824" t="s">
        <v>30</v>
      </c>
      <c r="H824" t="s">
        <v>73</v>
      </c>
      <c r="I824" t="s">
        <v>39</v>
      </c>
      <c r="J824" s="3">
        <v>220000</v>
      </c>
      <c r="K824">
        <v>5</v>
      </c>
      <c r="L824" t="s">
        <v>42</v>
      </c>
      <c r="M824" s="3">
        <v>176000</v>
      </c>
      <c r="N824" s="3">
        <f>Table1[[#This Row],[Unit Price]]*Table1[[#This Row],[Quantity]]</f>
        <v>1100000</v>
      </c>
      <c r="O824" s="3">
        <f>Table1[[#This Row],[Cost Price]]*Table1[[#This Row],[Quantity]]</f>
        <v>880000</v>
      </c>
      <c r="P824" s="3">
        <f>Table1[[#This Row],[Revenue]]-Table1[[#This Row],[COGS]]</f>
        <v>220000</v>
      </c>
      <c r="Q824" s="1">
        <v>823</v>
      </c>
    </row>
    <row r="825" spans="1:17">
      <c r="A825" t="s">
        <v>96</v>
      </c>
      <c r="B825" t="str">
        <f>TEXT(Table1[[#This Row],[Date]],"MMMM")</f>
        <v>March</v>
      </c>
      <c r="C825" t="str">
        <f>TEXT(Table1[[#This Row],[Date]],"DDDD")</f>
        <v>Sunday</v>
      </c>
      <c r="D825" t="s">
        <v>27</v>
      </c>
      <c r="E825" t="s">
        <v>36</v>
      </c>
      <c r="F825" t="s">
        <v>41</v>
      </c>
      <c r="G825" t="s">
        <v>37</v>
      </c>
      <c r="H825" t="s">
        <v>71</v>
      </c>
      <c r="I825" t="s">
        <v>51</v>
      </c>
      <c r="J825" s="3">
        <v>250000</v>
      </c>
      <c r="K825">
        <v>3</v>
      </c>
      <c r="L825" t="s">
        <v>33</v>
      </c>
      <c r="M825" s="3">
        <v>200000</v>
      </c>
      <c r="N825" s="3">
        <f>Table1[[#This Row],[Unit Price]]*Table1[[#This Row],[Quantity]]</f>
        <v>750000</v>
      </c>
      <c r="O825" s="3">
        <f>Table1[[#This Row],[Cost Price]]*Table1[[#This Row],[Quantity]]</f>
        <v>600000</v>
      </c>
      <c r="P825" s="3">
        <f>Table1[[#This Row],[Revenue]]-Table1[[#This Row],[COGS]]</f>
        <v>150000</v>
      </c>
      <c r="Q825" s="1">
        <v>824</v>
      </c>
    </row>
    <row r="826" spans="1:17">
      <c r="A826" t="s">
        <v>135</v>
      </c>
      <c r="B826" t="str">
        <f>TEXT(Table1[[#This Row],[Date]],"MMMM")</f>
        <v>March</v>
      </c>
      <c r="C826" t="str">
        <f>TEXT(Table1[[#This Row],[Date]],"DDDD")</f>
        <v>Sunday</v>
      </c>
      <c r="D826" t="s">
        <v>27</v>
      </c>
      <c r="E826" t="s">
        <v>45</v>
      </c>
      <c r="F826" t="s">
        <v>29</v>
      </c>
      <c r="G826" t="s">
        <v>37</v>
      </c>
      <c r="H826" t="s">
        <v>31</v>
      </c>
      <c r="I826" t="s">
        <v>32</v>
      </c>
      <c r="J826" s="3">
        <v>85000</v>
      </c>
      <c r="K826">
        <v>10</v>
      </c>
      <c r="L826" t="s">
        <v>47</v>
      </c>
      <c r="M826" s="3">
        <v>68000</v>
      </c>
      <c r="N826" s="3">
        <f>Table1[[#This Row],[Unit Price]]*Table1[[#This Row],[Quantity]]</f>
        <v>850000</v>
      </c>
      <c r="O826" s="3">
        <f>Table1[[#This Row],[Cost Price]]*Table1[[#This Row],[Quantity]]</f>
        <v>680000</v>
      </c>
      <c r="P826" s="3">
        <f>Table1[[#This Row],[Revenue]]-Table1[[#This Row],[COGS]]</f>
        <v>170000</v>
      </c>
      <c r="Q826" s="1">
        <v>825</v>
      </c>
    </row>
    <row r="827" spans="1:17">
      <c r="A827" t="s">
        <v>144</v>
      </c>
      <c r="B827" t="str">
        <f>TEXT(Table1[[#This Row],[Date]],"MMMM")</f>
        <v>February</v>
      </c>
      <c r="C827" t="str">
        <f>TEXT(Table1[[#This Row],[Date]],"DDDD")</f>
        <v>Friday</v>
      </c>
      <c r="D827" t="s">
        <v>44</v>
      </c>
      <c r="E827" t="s">
        <v>28</v>
      </c>
      <c r="F827" t="s">
        <v>29</v>
      </c>
      <c r="G827" t="s">
        <v>37</v>
      </c>
      <c r="H827" t="s">
        <v>67</v>
      </c>
      <c r="I827" t="s">
        <v>51</v>
      </c>
      <c r="J827" s="3">
        <v>420000</v>
      </c>
      <c r="K827">
        <v>6</v>
      </c>
      <c r="L827" t="s">
        <v>58</v>
      </c>
      <c r="M827" s="3">
        <v>336000</v>
      </c>
      <c r="N827" s="3">
        <f>Table1[[#This Row],[Unit Price]]*Table1[[#This Row],[Quantity]]</f>
        <v>2520000</v>
      </c>
      <c r="O827" s="3">
        <f>Table1[[#This Row],[Cost Price]]*Table1[[#This Row],[Quantity]]</f>
        <v>2016000</v>
      </c>
      <c r="P827" s="3">
        <f>Table1[[#This Row],[Revenue]]-Table1[[#This Row],[COGS]]</f>
        <v>504000</v>
      </c>
      <c r="Q827" s="1">
        <v>826</v>
      </c>
    </row>
    <row r="828" spans="1:17">
      <c r="A828" t="s">
        <v>108</v>
      </c>
      <c r="B828" t="str">
        <f>TEXT(Table1[[#This Row],[Date]],"MMMM")</f>
        <v>April</v>
      </c>
      <c r="C828" t="str">
        <f>TEXT(Table1[[#This Row],[Date]],"DDDD")</f>
        <v>Thursday</v>
      </c>
      <c r="D828" t="s">
        <v>49</v>
      </c>
      <c r="E828" t="s">
        <v>36</v>
      </c>
      <c r="F828" t="s">
        <v>29</v>
      </c>
      <c r="G828" t="s">
        <v>37</v>
      </c>
      <c r="H828" t="s">
        <v>62</v>
      </c>
      <c r="I828" t="s">
        <v>51</v>
      </c>
      <c r="J828" s="3">
        <v>150000</v>
      </c>
      <c r="K828">
        <v>5</v>
      </c>
      <c r="L828" t="s">
        <v>42</v>
      </c>
      <c r="M828" s="3">
        <v>120000</v>
      </c>
      <c r="N828" s="3">
        <f>Table1[[#This Row],[Unit Price]]*Table1[[#This Row],[Quantity]]</f>
        <v>750000</v>
      </c>
      <c r="O828" s="3">
        <f>Table1[[#This Row],[Cost Price]]*Table1[[#This Row],[Quantity]]</f>
        <v>600000</v>
      </c>
      <c r="P828" s="3">
        <f>Table1[[#This Row],[Revenue]]-Table1[[#This Row],[COGS]]</f>
        <v>150000</v>
      </c>
      <c r="Q828" s="1">
        <v>827</v>
      </c>
    </row>
    <row r="829" spans="1:17">
      <c r="A829" t="s">
        <v>149</v>
      </c>
      <c r="B829" t="str">
        <f>TEXT(Table1[[#This Row],[Date]],"MMMM")</f>
        <v>April</v>
      </c>
      <c r="C829" t="str">
        <f>TEXT(Table1[[#This Row],[Date]],"DDDD")</f>
        <v>Saturday</v>
      </c>
      <c r="D829" t="s">
        <v>49</v>
      </c>
      <c r="E829" t="s">
        <v>28</v>
      </c>
      <c r="F829" t="s">
        <v>29</v>
      </c>
      <c r="G829" t="s">
        <v>37</v>
      </c>
      <c r="H829" t="s">
        <v>56</v>
      </c>
      <c r="I829" t="s">
        <v>32</v>
      </c>
      <c r="J829" s="3">
        <v>320000</v>
      </c>
      <c r="K829">
        <v>3</v>
      </c>
      <c r="L829" t="s">
        <v>65</v>
      </c>
      <c r="M829" s="3">
        <v>256000</v>
      </c>
      <c r="N829" s="3">
        <f>Table1[[#This Row],[Unit Price]]*Table1[[#This Row],[Quantity]]</f>
        <v>960000</v>
      </c>
      <c r="O829" s="3">
        <f>Table1[[#This Row],[Cost Price]]*Table1[[#This Row],[Quantity]]</f>
        <v>768000</v>
      </c>
      <c r="P829" s="3">
        <f>Table1[[#This Row],[Revenue]]-Table1[[#This Row],[COGS]]</f>
        <v>192000</v>
      </c>
      <c r="Q829" s="1">
        <v>828</v>
      </c>
    </row>
    <row r="830" spans="1:17">
      <c r="A830" t="s">
        <v>149</v>
      </c>
      <c r="B830" t="str">
        <f>TEXT(Table1[[#This Row],[Date]],"MMMM")</f>
        <v>April</v>
      </c>
      <c r="C830" t="str">
        <f>TEXT(Table1[[#This Row],[Date]],"DDDD")</f>
        <v>Saturday</v>
      </c>
      <c r="D830" t="s">
        <v>49</v>
      </c>
      <c r="E830" t="s">
        <v>53</v>
      </c>
      <c r="F830" t="s">
        <v>41</v>
      </c>
      <c r="G830" t="s">
        <v>30</v>
      </c>
      <c r="H830" t="s">
        <v>38</v>
      </c>
      <c r="I830" t="s">
        <v>39</v>
      </c>
      <c r="J830" s="3">
        <v>30000</v>
      </c>
      <c r="K830">
        <v>1</v>
      </c>
      <c r="L830" t="s">
        <v>58</v>
      </c>
      <c r="M830" s="3">
        <v>24000</v>
      </c>
      <c r="N830" s="3">
        <f>Table1[[#This Row],[Unit Price]]*Table1[[#This Row],[Quantity]]</f>
        <v>30000</v>
      </c>
      <c r="O830" s="3">
        <f>Table1[[#This Row],[Cost Price]]*Table1[[#This Row],[Quantity]]</f>
        <v>24000</v>
      </c>
      <c r="P830" s="3">
        <f>Table1[[#This Row],[Revenue]]-Table1[[#This Row],[COGS]]</f>
        <v>6000</v>
      </c>
      <c r="Q830" s="1">
        <v>829</v>
      </c>
    </row>
    <row r="831" spans="1:17">
      <c r="A831" t="s">
        <v>88</v>
      </c>
      <c r="B831" t="str">
        <f>TEXT(Table1[[#This Row],[Date]],"MMMM")</f>
        <v>February</v>
      </c>
      <c r="C831" t="str">
        <f>TEXT(Table1[[#This Row],[Date]],"DDDD")</f>
        <v>Monday</v>
      </c>
      <c r="D831" t="s">
        <v>27</v>
      </c>
      <c r="E831" t="s">
        <v>45</v>
      </c>
      <c r="F831" t="s">
        <v>29</v>
      </c>
      <c r="G831" t="s">
        <v>30</v>
      </c>
      <c r="H831" t="s">
        <v>54</v>
      </c>
      <c r="I831" t="s">
        <v>39</v>
      </c>
      <c r="J831" s="3">
        <v>180000</v>
      </c>
      <c r="K831">
        <v>10</v>
      </c>
      <c r="L831" t="s">
        <v>58</v>
      </c>
      <c r="M831" s="3">
        <v>144000</v>
      </c>
      <c r="N831" s="3">
        <f>Table1[[#This Row],[Unit Price]]*Table1[[#This Row],[Quantity]]</f>
        <v>1800000</v>
      </c>
      <c r="O831" s="3">
        <f>Table1[[#This Row],[Cost Price]]*Table1[[#This Row],[Quantity]]</f>
        <v>1440000</v>
      </c>
      <c r="P831" s="3">
        <f>Table1[[#This Row],[Revenue]]-Table1[[#This Row],[COGS]]</f>
        <v>360000</v>
      </c>
      <c r="Q831" s="1">
        <v>830</v>
      </c>
    </row>
    <row r="832" spans="1:17">
      <c r="A832" t="s">
        <v>158</v>
      </c>
      <c r="B832" t="str">
        <f>TEXT(Table1[[#This Row],[Date]],"MMMM")</f>
        <v>January</v>
      </c>
      <c r="C832" t="str">
        <f>TEXT(Table1[[#This Row],[Date]],"DDDD")</f>
        <v>Saturday</v>
      </c>
      <c r="D832" t="s">
        <v>44</v>
      </c>
      <c r="E832" t="s">
        <v>28</v>
      </c>
      <c r="F832" t="s">
        <v>41</v>
      </c>
      <c r="G832" t="s">
        <v>37</v>
      </c>
      <c r="H832" t="s">
        <v>54</v>
      </c>
      <c r="I832" t="s">
        <v>39</v>
      </c>
      <c r="J832" s="3">
        <v>180000</v>
      </c>
      <c r="K832">
        <v>3</v>
      </c>
      <c r="L832" t="s">
        <v>33</v>
      </c>
      <c r="M832" s="3">
        <v>144000</v>
      </c>
      <c r="N832" s="3">
        <f>Table1[[#This Row],[Unit Price]]*Table1[[#This Row],[Quantity]]</f>
        <v>540000</v>
      </c>
      <c r="O832" s="3">
        <f>Table1[[#This Row],[Cost Price]]*Table1[[#This Row],[Quantity]]</f>
        <v>432000</v>
      </c>
      <c r="P832" s="3">
        <f>Table1[[#This Row],[Revenue]]-Table1[[#This Row],[COGS]]</f>
        <v>108000</v>
      </c>
      <c r="Q832" s="1">
        <v>831</v>
      </c>
    </row>
    <row r="833" spans="1:17">
      <c r="A833" t="s">
        <v>148</v>
      </c>
      <c r="B833" t="str">
        <f>TEXT(Table1[[#This Row],[Date]],"MMMM")</f>
        <v>February</v>
      </c>
      <c r="C833" t="str">
        <f>TEXT(Table1[[#This Row],[Date]],"DDDD")</f>
        <v>Sunday</v>
      </c>
      <c r="D833" t="s">
        <v>35</v>
      </c>
      <c r="E833" t="s">
        <v>28</v>
      </c>
      <c r="F833" t="s">
        <v>41</v>
      </c>
      <c r="G833" t="s">
        <v>30</v>
      </c>
      <c r="H833" t="s">
        <v>67</v>
      </c>
      <c r="I833" t="s">
        <v>51</v>
      </c>
      <c r="J833" s="3">
        <v>420000</v>
      </c>
      <c r="K833">
        <v>3</v>
      </c>
      <c r="L833" t="s">
        <v>42</v>
      </c>
      <c r="M833" s="3">
        <v>336000</v>
      </c>
      <c r="N833" s="3">
        <f>Table1[[#This Row],[Unit Price]]*Table1[[#This Row],[Quantity]]</f>
        <v>1260000</v>
      </c>
      <c r="O833" s="3">
        <f>Table1[[#This Row],[Cost Price]]*Table1[[#This Row],[Quantity]]</f>
        <v>1008000</v>
      </c>
      <c r="P833" s="3">
        <f>Table1[[#This Row],[Revenue]]-Table1[[#This Row],[COGS]]</f>
        <v>252000</v>
      </c>
      <c r="Q833" s="1">
        <v>832</v>
      </c>
    </row>
    <row r="834" spans="1:17">
      <c r="A834" t="s">
        <v>168</v>
      </c>
      <c r="B834" t="str">
        <f>TEXT(Table1[[#This Row],[Date]],"MMMM")</f>
        <v>April</v>
      </c>
      <c r="C834" t="str">
        <f>TEXT(Table1[[#This Row],[Date]],"DDDD")</f>
        <v>Wednesday</v>
      </c>
      <c r="D834" t="s">
        <v>35</v>
      </c>
      <c r="E834" t="s">
        <v>36</v>
      </c>
      <c r="F834" t="s">
        <v>29</v>
      </c>
      <c r="G834" t="s">
        <v>30</v>
      </c>
      <c r="H834" t="s">
        <v>73</v>
      </c>
      <c r="I834" t="s">
        <v>39</v>
      </c>
      <c r="J834" s="3">
        <v>220000</v>
      </c>
      <c r="K834">
        <v>6</v>
      </c>
      <c r="L834" t="s">
        <v>65</v>
      </c>
      <c r="M834" s="3">
        <v>176000</v>
      </c>
      <c r="N834" s="3">
        <f>Table1[[#This Row],[Unit Price]]*Table1[[#This Row],[Quantity]]</f>
        <v>1320000</v>
      </c>
      <c r="O834" s="3">
        <f>Table1[[#This Row],[Cost Price]]*Table1[[#This Row],[Quantity]]</f>
        <v>1056000</v>
      </c>
      <c r="P834" s="3">
        <f>Table1[[#This Row],[Revenue]]-Table1[[#This Row],[COGS]]</f>
        <v>264000</v>
      </c>
      <c r="Q834" s="1">
        <v>833</v>
      </c>
    </row>
    <row r="835" spans="1:17">
      <c r="A835" t="s">
        <v>97</v>
      </c>
      <c r="B835" t="str">
        <f>TEXT(Table1[[#This Row],[Date]],"MMMM")</f>
        <v>January</v>
      </c>
      <c r="C835" t="str">
        <f>TEXT(Table1[[#This Row],[Date]],"DDDD")</f>
        <v>Sunday</v>
      </c>
      <c r="D835" t="s">
        <v>44</v>
      </c>
      <c r="E835" t="s">
        <v>45</v>
      </c>
      <c r="F835" t="s">
        <v>29</v>
      </c>
      <c r="G835" t="s">
        <v>30</v>
      </c>
      <c r="H835" t="s">
        <v>46</v>
      </c>
      <c r="I835" t="s">
        <v>39</v>
      </c>
      <c r="J835" s="3">
        <v>60000</v>
      </c>
      <c r="K835">
        <v>10</v>
      </c>
      <c r="L835" t="s">
        <v>58</v>
      </c>
      <c r="M835" s="3">
        <v>48000</v>
      </c>
      <c r="N835" s="3">
        <f>Table1[[#This Row],[Unit Price]]*Table1[[#This Row],[Quantity]]</f>
        <v>600000</v>
      </c>
      <c r="O835" s="3">
        <f>Table1[[#This Row],[Cost Price]]*Table1[[#This Row],[Quantity]]</f>
        <v>480000</v>
      </c>
      <c r="P835" s="3">
        <f>Table1[[#This Row],[Revenue]]-Table1[[#This Row],[COGS]]</f>
        <v>120000</v>
      </c>
      <c r="Q835" s="1">
        <v>834</v>
      </c>
    </row>
    <row r="836" spans="1:17">
      <c r="A836" t="s">
        <v>82</v>
      </c>
      <c r="B836" t="str">
        <f>TEXT(Table1[[#This Row],[Date]],"MMMM")</f>
        <v>March</v>
      </c>
      <c r="C836" t="str">
        <f>TEXT(Table1[[#This Row],[Date]],"DDDD")</f>
        <v>Saturday</v>
      </c>
      <c r="D836" t="s">
        <v>44</v>
      </c>
      <c r="E836" t="s">
        <v>36</v>
      </c>
      <c r="F836" t="s">
        <v>29</v>
      </c>
      <c r="G836" t="s">
        <v>37</v>
      </c>
      <c r="H836" t="s">
        <v>54</v>
      </c>
      <c r="I836" t="s">
        <v>39</v>
      </c>
      <c r="J836" s="3">
        <v>180000</v>
      </c>
      <c r="K836">
        <v>10</v>
      </c>
      <c r="L836" t="s">
        <v>47</v>
      </c>
      <c r="M836" s="3">
        <v>144000</v>
      </c>
      <c r="N836" s="3">
        <f>Table1[[#This Row],[Unit Price]]*Table1[[#This Row],[Quantity]]</f>
        <v>1800000</v>
      </c>
      <c r="O836" s="3">
        <f>Table1[[#This Row],[Cost Price]]*Table1[[#This Row],[Quantity]]</f>
        <v>1440000</v>
      </c>
      <c r="P836" s="3">
        <f>Table1[[#This Row],[Revenue]]-Table1[[#This Row],[COGS]]</f>
        <v>360000</v>
      </c>
      <c r="Q836" s="1">
        <v>835</v>
      </c>
    </row>
    <row r="837" spans="1:17">
      <c r="A837" t="s">
        <v>121</v>
      </c>
      <c r="B837" t="str">
        <f>TEXT(Table1[[#This Row],[Date]],"MMMM")</f>
        <v>April</v>
      </c>
      <c r="C837" t="str">
        <f>TEXT(Table1[[#This Row],[Date]],"DDDD")</f>
        <v>Wednesday</v>
      </c>
      <c r="D837" t="s">
        <v>35</v>
      </c>
      <c r="E837" t="s">
        <v>28</v>
      </c>
      <c r="F837" t="s">
        <v>41</v>
      </c>
      <c r="G837" t="s">
        <v>37</v>
      </c>
      <c r="H837" t="s">
        <v>73</v>
      </c>
      <c r="I837" t="s">
        <v>39</v>
      </c>
      <c r="J837" s="3">
        <v>220000</v>
      </c>
      <c r="K837">
        <v>4</v>
      </c>
      <c r="L837" t="s">
        <v>42</v>
      </c>
      <c r="M837" s="3">
        <v>176000</v>
      </c>
      <c r="N837" s="3">
        <f>Table1[[#This Row],[Unit Price]]*Table1[[#This Row],[Quantity]]</f>
        <v>880000</v>
      </c>
      <c r="O837" s="3">
        <f>Table1[[#This Row],[Cost Price]]*Table1[[#This Row],[Quantity]]</f>
        <v>704000</v>
      </c>
      <c r="P837" s="3">
        <f>Table1[[#This Row],[Revenue]]-Table1[[#This Row],[COGS]]</f>
        <v>176000</v>
      </c>
      <c r="Q837" s="1">
        <v>836</v>
      </c>
    </row>
    <row r="838" spans="1:17">
      <c r="A838" t="s">
        <v>87</v>
      </c>
      <c r="B838" t="str">
        <f>TEXT(Table1[[#This Row],[Date]],"MMMM")</f>
        <v>March</v>
      </c>
      <c r="C838" t="str">
        <f>TEXT(Table1[[#This Row],[Date]],"DDDD")</f>
        <v>Thursday</v>
      </c>
      <c r="D838" t="s">
        <v>44</v>
      </c>
      <c r="E838" t="s">
        <v>53</v>
      </c>
      <c r="F838" t="s">
        <v>41</v>
      </c>
      <c r="G838" t="s">
        <v>37</v>
      </c>
      <c r="H838" t="s">
        <v>71</v>
      </c>
      <c r="I838" t="s">
        <v>51</v>
      </c>
      <c r="J838" s="3">
        <v>250000</v>
      </c>
      <c r="K838">
        <v>4</v>
      </c>
      <c r="L838" t="s">
        <v>58</v>
      </c>
      <c r="M838" s="3">
        <v>200000</v>
      </c>
      <c r="N838" s="3">
        <f>Table1[[#This Row],[Unit Price]]*Table1[[#This Row],[Quantity]]</f>
        <v>1000000</v>
      </c>
      <c r="O838" s="3">
        <f>Table1[[#This Row],[Cost Price]]*Table1[[#This Row],[Quantity]]</f>
        <v>800000</v>
      </c>
      <c r="P838" s="3">
        <f>Table1[[#This Row],[Revenue]]-Table1[[#This Row],[COGS]]</f>
        <v>200000</v>
      </c>
      <c r="Q838" s="1">
        <v>837</v>
      </c>
    </row>
    <row r="839" spans="1:17">
      <c r="A839" t="s">
        <v>105</v>
      </c>
      <c r="B839" t="str">
        <f>TEXT(Table1[[#This Row],[Date]],"MMMM")</f>
        <v>March</v>
      </c>
      <c r="C839" t="str">
        <f>TEXT(Table1[[#This Row],[Date]],"DDDD")</f>
        <v>Friday</v>
      </c>
      <c r="D839" t="s">
        <v>44</v>
      </c>
      <c r="E839" t="s">
        <v>36</v>
      </c>
      <c r="F839" t="s">
        <v>41</v>
      </c>
      <c r="G839" t="s">
        <v>37</v>
      </c>
      <c r="H839" t="s">
        <v>38</v>
      </c>
      <c r="I839" t="s">
        <v>39</v>
      </c>
      <c r="J839" s="3">
        <v>30000</v>
      </c>
      <c r="K839">
        <v>2</v>
      </c>
      <c r="L839" t="s">
        <v>69</v>
      </c>
      <c r="M839" s="3">
        <v>24000</v>
      </c>
      <c r="N839" s="3">
        <f>Table1[[#This Row],[Unit Price]]*Table1[[#This Row],[Quantity]]</f>
        <v>60000</v>
      </c>
      <c r="O839" s="3">
        <f>Table1[[#This Row],[Cost Price]]*Table1[[#This Row],[Quantity]]</f>
        <v>48000</v>
      </c>
      <c r="P839" s="3">
        <f>Table1[[#This Row],[Revenue]]-Table1[[#This Row],[COGS]]</f>
        <v>12000</v>
      </c>
      <c r="Q839" s="1">
        <v>838</v>
      </c>
    </row>
    <row r="840" spans="1:17">
      <c r="A840" t="s">
        <v>48</v>
      </c>
      <c r="B840" t="str">
        <f>TEXT(Table1[[#This Row],[Date]],"MMMM")</f>
        <v>April</v>
      </c>
      <c r="C840" t="str">
        <f>TEXT(Table1[[#This Row],[Date]],"DDDD")</f>
        <v>Sunday</v>
      </c>
      <c r="D840" t="s">
        <v>27</v>
      </c>
      <c r="E840" t="s">
        <v>45</v>
      </c>
      <c r="F840" t="s">
        <v>29</v>
      </c>
      <c r="G840" t="s">
        <v>37</v>
      </c>
      <c r="H840" t="s">
        <v>54</v>
      </c>
      <c r="I840" t="s">
        <v>39</v>
      </c>
      <c r="J840" s="3">
        <v>180000</v>
      </c>
      <c r="K840">
        <v>6</v>
      </c>
      <c r="L840" t="s">
        <v>47</v>
      </c>
      <c r="M840" s="3">
        <v>144000</v>
      </c>
      <c r="N840" s="3">
        <f>Table1[[#This Row],[Unit Price]]*Table1[[#This Row],[Quantity]]</f>
        <v>1080000</v>
      </c>
      <c r="O840" s="3">
        <f>Table1[[#This Row],[Cost Price]]*Table1[[#This Row],[Quantity]]</f>
        <v>864000</v>
      </c>
      <c r="P840" s="3">
        <f>Table1[[#This Row],[Revenue]]-Table1[[#This Row],[COGS]]</f>
        <v>216000</v>
      </c>
      <c r="Q840" s="1">
        <v>839</v>
      </c>
    </row>
    <row r="841" spans="1:17">
      <c r="A841" t="s">
        <v>146</v>
      </c>
      <c r="B841" t="str">
        <f>TEXT(Table1[[#This Row],[Date]],"MMMM")</f>
        <v>January</v>
      </c>
      <c r="C841" t="str">
        <f>TEXT(Table1[[#This Row],[Date]],"DDDD")</f>
        <v>Tuesday</v>
      </c>
      <c r="D841" t="s">
        <v>44</v>
      </c>
      <c r="E841" t="s">
        <v>53</v>
      </c>
      <c r="F841" t="s">
        <v>41</v>
      </c>
      <c r="G841" t="s">
        <v>37</v>
      </c>
      <c r="H841" t="s">
        <v>54</v>
      </c>
      <c r="I841" t="s">
        <v>39</v>
      </c>
      <c r="J841" s="3">
        <v>180000</v>
      </c>
      <c r="K841">
        <v>8</v>
      </c>
      <c r="L841" t="s">
        <v>69</v>
      </c>
      <c r="M841" s="3">
        <v>144000</v>
      </c>
      <c r="N841" s="3">
        <f>Table1[[#This Row],[Unit Price]]*Table1[[#This Row],[Quantity]]</f>
        <v>1440000</v>
      </c>
      <c r="O841" s="3">
        <f>Table1[[#This Row],[Cost Price]]*Table1[[#This Row],[Quantity]]</f>
        <v>1152000</v>
      </c>
      <c r="P841" s="3">
        <f>Table1[[#This Row],[Revenue]]-Table1[[#This Row],[COGS]]</f>
        <v>288000</v>
      </c>
      <c r="Q841" s="1">
        <v>840</v>
      </c>
    </row>
    <row r="842" spans="1:17">
      <c r="A842" t="s">
        <v>82</v>
      </c>
      <c r="B842" t="str">
        <f>TEXT(Table1[[#This Row],[Date]],"MMMM")</f>
        <v>March</v>
      </c>
      <c r="C842" t="str">
        <f>TEXT(Table1[[#This Row],[Date]],"DDDD")</f>
        <v>Saturday</v>
      </c>
      <c r="D842" t="s">
        <v>27</v>
      </c>
      <c r="E842" t="s">
        <v>36</v>
      </c>
      <c r="F842" t="s">
        <v>41</v>
      </c>
      <c r="G842" t="s">
        <v>37</v>
      </c>
      <c r="H842" t="s">
        <v>67</v>
      </c>
      <c r="I842" t="s">
        <v>51</v>
      </c>
      <c r="J842" s="3">
        <v>420000</v>
      </c>
      <c r="K842">
        <v>3</v>
      </c>
      <c r="L842" t="s">
        <v>33</v>
      </c>
      <c r="M842" s="3">
        <v>336000</v>
      </c>
      <c r="N842" s="3">
        <f>Table1[[#This Row],[Unit Price]]*Table1[[#This Row],[Quantity]]</f>
        <v>1260000</v>
      </c>
      <c r="O842" s="3">
        <f>Table1[[#This Row],[Cost Price]]*Table1[[#This Row],[Quantity]]</f>
        <v>1008000</v>
      </c>
      <c r="P842" s="3">
        <f>Table1[[#This Row],[Revenue]]-Table1[[#This Row],[COGS]]</f>
        <v>252000</v>
      </c>
      <c r="Q842" s="1">
        <v>841</v>
      </c>
    </row>
    <row r="843" spans="1:17">
      <c r="A843" t="s">
        <v>108</v>
      </c>
      <c r="B843" t="str">
        <f>TEXT(Table1[[#This Row],[Date]],"MMMM")</f>
        <v>April</v>
      </c>
      <c r="C843" t="str">
        <f>TEXT(Table1[[#This Row],[Date]],"DDDD")</f>
        <v>Thursday</v>
      </c>
      <c r="D843" t="s">
        <v>49</v>
      </c>
      <c r="E843" t="s">
        <v>45</v>
      </c>
      <c r="F843" t="s">
        <v>41</v>
      </c>
      <c r="G843" t="s">
        <v>30</v>
      </c>
      <c r="H843" t="s">
        <v>38</v>
      </c>
      <c r="I843" t="s">
        <v>39</v>
      </c>
      <c r="J843" s="3">
        <v>30000</v>
      </c>
      <c r="K843">
        <v>10</v>
      </c>
      <c r="L843" t="s">
        <v>47</v>
      </c>
      <c r="M843" s="3">
        <v>24000</v>
      </c>
      <c r="N843" s="3">
        <f>Table1[[#This Row],[Unit Price]]*Table1[[#This Row],[Quantity]]</f>
        <v>300000</v>
      </c>
      <c r="O843" s="3">
        <f>Table1[[#This Row],[Cost Price]]*Table1[[#This Row],[Quantity]]</f>
        <v>240000</v>
      </c>
      <c r="P843" s="3">
        <f>Table1[[#This Row],[Revenue]]-Table1[[#This Row],[COGS]]</f>
        <v>60000</v>
      </c>
      <c r="Q843" s="1">
        <v>842</v>
      </c>
    </row>
    <row r="844" spans="1:17">
      <c r="A844" t="s">
        <v>159</v>
      </c>
      <c r="B844" t="str">
        <f>TEXT(Table1[[#This Row],[Date]],"MMMM")</f>
        <v>February</v>
      </c>
      <c r="C844" t="str">
        <f>TEXT(Table1[[#This Row],[Date]],"DDDD")</f>
        <v>Sunday</v>
      </c>
      <c r="D844" t="s">
        <v>35</v>
      </c>
      <c r="E844" t="s">
        <v>45</v>
      </c>
      <c r="F844" t="s">
        <v>41</v>
      </c>
      <c r="G844" t="s">
        <v>30</v>
      </c>
      <c r="H844" t="s">
        <v>31</v>
      </c>
      <c r="I844" t="s">
        <v>32</v>
      </c>
      <c r="J844" s="3">
        <v>85000</v>
      </c>
      <c r="K844">
        <v>7</v>
      </c>
      <c r="L844" t="s">
        <v>69</v>
      </c>
      <c r="M844" s="3">
        <v>68000</v>
      </c>
      <c r="N844" s="3">
        <f>Table1[[#This Row],[Unit Price]]*Table1[[#This Row],[Quantity]]</f>
        <v>595000</v>
      </c>
      <c r="O844" s="3">
        <f>Table1[[#This Row],[Cost Price]]*Table1[[#This Row],[Quantity]]</f>
        <v>476000</v>
      </c>
      <c r="P844" s="3">
        <f>Table1[[#This Row],[Revenue]]-Table1[[#This Row],[COGS]]</f>
        <v>119000</v>
      </c>
      <c r="Q844" s="1">
        <v>843</v>
      </c>
    </row>
    <row r="845" spans="1:17">
      <c r="A845" t="s">
        <v>140</v>
      </c>
      <c r="B845" t="str">
        <f>TEXT(Table1[[#This Row],[Date]],"MMMM")</f>
        <v>April</v>
      </c>
      <c r="C845" t="str">
        <f>TEXT(Table1[[#This Row],[Date]],"DDDD")</f>
        <v>Thursday</v>
      </c>
      <c r="D845" t="s">
        <v>27</v>
      </c>
      <c r="E845" t="s">
        <v>28</v>
      </c>
      <c r="F845" t="s">
        <v>29</v>
      </c>
      <c r="G845" t="s">
        <v>37</v>
      </c>
      <c r="H845" t="s">
        <v>38</v>
      </c>
      <c r="I845" t="s">
        <v>39</v>
      </c>
      <c r="J845" s="3">
        <v>30000</v>
      </c>
      <c r="K845">
        <v>5</v>
      </c>
      <c r="L845" t="s">
        <v>33</v>
      </c>
      <c r="M845" s="3">
        <v>24000</v>
      </c>
      <c r="N845" s="3">
        <f>Table1[[#This Row],[Unit Price]]*Table1[[#This Row],[Quantity]]</f>
        <v>150000</v>
      </c>
      <c r="O845" s="3">
        <f>Table1[[#This Row],[Cost Price]]*Table1[[#This Row],[Quantity]]</f>
        <v>120000</v>
      </c>
      <c r="P845" s="3">
        <f>Table1[[#This Row],[Revenue]]-Table1[[#This Row],[COGS]]</f>
        <v>30000</v>
      </c>
      <c r="Q845" s="1">
        <v>844</v>
      </c>
    </row>
    <row r="846" spans="1:17">
      <c r="A846" t="s">
        <v>82</v>
      </c>
      <c r="B846" t="str">
        <f>TEXT(Table1[[#This Row],[Date]],"MMMM")</f>
        <v>March</v>
      </c>
      <c r="C846" t="str">
        <f>TEXT(Table1[[#This Row],[Date]],"DDDD")</f>
        <v>Saturday</v>
      </c>
      <c r="D846" t="s">
        <v>49</v>
      </c>
      <c r="E846" t="s">
        <v>28</v>
      </c>
      <c r="F846" t="s">
        <v>29</v>
      </c>
      <c r="G846" t="s">
        <v>37</v>
      </c>
      <c r="H846" t="s">
        <v>50</v>
      </c>
      <c r="I846" t="s">
        <v>51</v>
      </c>
      <c r="J846" s="3">
        <v>300000</v>
      </c>
      <c r="K846">
        <v>5</v>
      </c>
      <c r="L846" t="s">
        <v>69</v>
      </c>
      <c r="M846" s="3">
        <v>240000</v>
      </c>
      <c r="N846" s="3">
        <f>Table1[[#This Row],[Unit Price]]*Table1[[#This Row],[Quantity]]</f>
        <v>1500000</v>
      </c>
      <c r="O846" s="3">
        <f>Table1[[#This Row],[Cost Price]]*Table1[[#This Row],[Quantity]]</f>
        <v>1200000</v>
      </c>
      <c r="P846" s="3">
        <f>Table1[[#This Row],[Revenue]]-Table1[[#This Row],[COGS]]</f>
        <v>300000</v>
      </c>
      <c r="Q846" s="1">
        <v>845</v>
      </c>
    </row>
    <row r="847" spans="1:17">
      <c r="A847" t="s">
        <v>139</v>
      </c>
      <c r="B847" t="str">
        <f>TEXT(Table1[[#This Row],[Date]],"MMMM")</f>
        <v>January</v>
      </c>
      <c r="C847" t="str">
        <f>TEXT(Table1[[#This Row],[Date]],"DDDD")</f>
        <v>Monday</v>
      </c>
      <c r="D847" t="s">
        <v>27</v>
      </c>
      <c r="E847" t="s">
        <v>45</v>
      </c>
      <c r="F847" t="s">
        <v>41</v>
      </c>
      <c r="G847" t="s">
        <v>37</v>
      </c>
      <c r="H847" t="s">
        <v>31</v>
      </c>
      <c r="I847" t="s">
        <v>32</v>
      </c>
      <c r="J847" s="3">
        <v>85000</v>
      </c>
      <c r="K847">
        <v>8</v>
      </c>
      <c r="L847" t="s">
        <v>47</v>
      </c>
      <c r="M847" s="3">
        <v>68000</v>
      </c>
      <c r="N847" s="3">
        <f>Table1[[#This Row],[Unit Price]]*Table1[[#This Row],[Quantity]]</f>
        <v>680000</v>
      </c>
      <c r="O847" s="3">
        <f>Table1[[#This Row],[Cost Price]]*Table1[[#This Row],[Quantity]]</f>
        <v>544000</v>
      </c>
      <c r="P847" s="3">
        <f>Table1[[#This Row],[Revenue]]-Table1[[#This Row],[COGS]]</f>
        <v>136000</v>
      </c>
      <c r="Q847" s="1">
        <v>846</v>
      </c>
    </row>
    <row r="848" spans="1:17">
      <c r="A848" t="s">
        <v>70</v>
      </c>
      <c r="B848" t="str">
        <f>TEXT(Table1[[#This Row],[Date]],"MMMM")</f>
        <v>April</v>
      </c>
      <c r="C848" t="str">
        <f>TEXT(Table1[[#This Row],[Date]],"DDDD")</f>
        <v>Friday</v>
      </c>
      <c r="D848" t="s">
        <v>44</v>
      </c>
      <c r="E848" t="s">
        <v>53</v>
      </c>
      <c r="F848" t="s">
        <v>41</v>
      </c>
      <c r="G848" t="s">
        <v>37</v>
      </c>
      <c r="H848" t="s">
        <v>73</v>
      </c>
      <c r="I848" t="s">
        <v>39</v>
      </c>
      <c r="J848" s="3">
        <v>220000</v>
      </c>
      <c r="K848">
        <v>7</v>
      </c>
      <c r="L848" t="s">
        <v>42</v>
      </c>
      <c r="M848" s="3">
        <v>176000</v>
      </c>
      <c r="N848" s="3">
        <f>Table1[[#This Row],[Unit Price]]*Table1[[#This Row],[Quantity]]</f>
        <v>1540000</v>
      </c>
      <c r="O848" s="3">
        <f>Table1[[#This Row],[Cost Price]]*Table1[[#This Row],[Quantity]]</f>
        <v>1232000</v>
      </c>
      <c r="P848" s="3">
        <f>Table1[[#This Row],[Revenue]]-Table1[[#This Row],[COGS]]</f>
        <v>308000</v>
      </c>
      <c r="Q848" s="1">
        <v>847</v>
      </c>
    </row>
    <row r="849" spans="1:17">
      <c r="A849" t="s">
        <v>95</v>
      </c>
      <c r="B849" t="str">
        <f>TEXT(Table1[[#This Row],[Date]],"MMMM")</f>
        <v>February</v>
      </c>
      <c r="C849" t="str">
        <f>TEXT(Table1[[#This Row],[Date]],"DDDD")</f>
        <v>Saturday</v>
      </c>
      <c r="D849" t="s">
        <v>49</v>
      </c>
      <c r="E849" t="s">
        <v>36</v>
      </c>
      <c r="F849" t="s">
        <v>29</v>
      </c>
      <c r="G849" t="s">
        <v>30</v>
      </c>
      <c r="H849" t="s">
        <v>31</v>
      </c>
      <c r="I849" t="s">
        <v>32</v>
      </c>
      <c r="J849" s="3">
        <v>85000</v>
      </c>
      <c r="K849">
        <v>8</v>
      </c>
      <c r="L849" t="s">
        <v>42</v>
      </c>
      <c r="M849" s="3">
        <v>68000</v>
      </c>
      <c r="N849" s="3">
        <f>Table1[[#This Row],[Unit Price]]*Table1[[#This Row],[Quantity]]</f>
        <v>680000</v>
      </c>
      <c r="O849" s="3">
        <f>Table1[[#This Row],[Cost Price]]*Table1[[#This Row],[Quantity]]</f>
        <v>544000</v>
      </c>
      <c r="P849" s="3">
        <f>Table1[[#This Row],[Revenue]]-Table1[[#This Row],[COGS]]</f>
        <v>136000</v>
      </c>
      <c r="Q849" s="1">
        <v>848</v>
      </c>
    </row>
    <row r="850" spans="1:17">
      <c r="A850" t="s">
        <v>169</v>
      </c>
      <c r="B850" t="str">
        <f>TEXT(Table1[[#This Row],[Date]],"MMMM")</f>
        <v>February</v>
      </c>
      <c r="C850" t="str">
        <f>TEXT(Table1[[#This Row],[Date]],"DDDD")</f>
        <v>Saturday</v>
      </c>
      <c r="D850" t="s">
        <v>35</v>
      </c>
      <c r="E850" t="s">
        <v>53</v>
      </c>
      <c r="F850" t="s">
        <v>41</v>
      </c>
      <c r="G850" t="s">
        <v>30</v>
      </c>
      <c r="H850" t="s">
        <v>62</v>
      </c>
      <c r="I850" t="s">
        <v>51</v>
      </c>
      <c r="J850" s="3">
        <v>150000</v>
      </c>
      <c r="K850">
        <v>5</v>
      </c>
      <c r="L850" t="s">
        <v>58</v>
      </c>
      <c r="M850" s="3">
        <v>120000</v>
      </c>
      <c r="N850" s="3">
        <f>Table1[[#This Row],[Unit Price]]*Table1[[#This Row],[Quantity]]</f>
        <v>750000</v>
      </c>
      <c r="O850" s="3">
        <f>Table1[[#This Row],[Cost Price]]*Table1[[#This Row],[Quantity]]</f>
        <v>600000</v>
      </c>
      <c r="P850" s="3">
        <f>Table1[[#This Row],[Revenue]]-Table1[[#This Row],[COGS]]</f>
        <v>150000</v>
      </c>
      <c r="Q850" s="1">
        <v>849</v>
      </c>
    </row>
    <row r="851" spans="1:17">
      <c r="A851" t="s">
        <v>106</v>
      </c>
      <c r="B851" t="str">
        <f>TEXT(Table1[[#This Row],[Date]],"MMMM")</f>
        <v>April</v>
      </c>
      <c r="C851" t="str">
        <f>TEXT(Table1[[#This Row],[Date]],"DDDD")</f>
        <v>Wednesday</v>
      </c>
      <c r="D851" t="s">
        <v>35</v>
      </c>
      <c r="E851" t="s">
        <v>28</v>
      </c>
      <c r="F851" t="s">
        <v>29</v>
      </c>
      <c r="G851" t="s">
        <v>37</v>
      </c>
      <c r="H851" t="s">
        <v>46</v>
      </c>
      <c r="I851" t="s">
        <v>39</v>
      </c>
      <c r="J851" s="3">
        <v>60000</v>
      </c>
      <c r="K851">
        <v>10</v>
      </c>
      <c r="L851" t="s">
        <v>42</v>
      </c>
      <c r="M851" s="3">
        <v>48000</v>
      </c>
      <c r="N851" s="3">
        <f>Table1[[#This Row],[Unit Price]]*Table1[[#This Row],[Quantity]]</f>
        <v>600000</v>
      </c>
      <c r="O851" s="3">
        <f>Table1[[#This Row],[Cost Price]]*Table1[[#This Row],[Quantity]]</f>
        <v>480000</v>
      </c>
      <c r="P851" s="3">
        <f>Table1[[#This Row],[Revenue]]-Table1[[#This Row],[COGS]]</f>
        <v>120000</v>
      </c>
      <c r="Q851" s="1">
        <v>850</v>
      </c>
    </row>
    <row r="852" spans="1:17">
      <c r="A852" t="s">
        <v>167</v>
      </c>
      <c r="B852" t="str">
        <f>TEXT(Table1[[#This Row],[Date]],"MMMM")</f>
        <v>April</v>
      </c>
      <c r="C852" t="str">
        <f>TEXT(Table1[[#This Row],[Date]],"DDDD")</f>
        <v>Wednesday</v>
      </c>
      <c r="D852" t="s">
        <v>27</v>
      </c>
      <c r="E852" t="s">
        <v>45</v>
      </c>
      <c r="F852" t="s">
        <v>41</v>
      </c>
      <c r="G852" t="s">
        <v>30</v>
      </c>
      <c r="H852" t="s">
        <v>73</v>
      </c>
      <c r="I852" t="s">
        <v>39</v>
      </c>
      <c r="J852" s="3">
        <v>220000</v>
      </c>
      <c r="K852">
        <v>1</v>
      </c>
      <c r="L852" t="s">
        <v>33</v>
      </c>
      <c r="M852" s="3">
        <v>176000</v>
      </c>
      <c r="N852" s="3">
        <f>Table1[[#This Row],[Unit Price]]*Table1[[#This Row],[Quantity]]</f>
        <v>220000</v>
      </c>
      <c r="O852" s="3">
        <f>Table1[[#This Row],[Cost Price]]*Table1[[#This Row],[Quantity]]</f>
        <v>176000</v>
      </c>
      <c r="P852" s="3">
        <f>Table1[[#This Row],[Revenue]]-Table1[[#This Row],[COGS]]</f>
        <v>44000</v>
      </c>
      <c r="Q852" s="1">
        <v>851</v>
      </c>
    </row>
    <row r="853" spans="1:17">
      <c r="A853" t="s">
        <v>95</v>
      </c>
      <c r="B853" t="str">
        <f>TEXT(Table1[[#This Row],[Date]],"MMMM")</f>
        <v>February</v>
      </c>
      <c r="C853" t="str">
        <f>TEXT(Table1[[#This Row],[Date]],"DDDD")</f>
        <v>Saturday</v>
      </c>
      <c r="D853" t="s">
        <v>49</v>
      </c>
      <c r="E853" t="s">
        <v>36</v>
      </c>
      <c r="F853" t="s">
        <v>41</v>
      </c>
      <c r="G853" t="s">
        <v>30</v>
      </c>
      <c r="H853" t="s">
        <v>38</v>
      </c>
      <c r="I853" t="s">
        <v>39</v>
      </c>
      <c r="J853" s="3">
        <v>30000</v>
      </c>
      <c r="K853">
        <v>3</v>
      </c>
      <c r="L853" t="s">
        <v>47</v>
      </c>
      <c r="M853" s="3">
        <v>24000</v>
      </c>
      <c r="N853" s="3">
        <f>Table1[[#This Row],[Unit Price]]*Table1[[#This Row],[Quantity]]</f>
        <v>90000</v>
      </c>
      <c r="O853" s="3">
        <f>Table1[[#This Row],[Cost Price]]*Table1[[#This Row],[Quantity]]</f>
        <v>72000</v>
      </c>
      <c r="P853" s="3">
        <f>Table1[[#This Row],[Revenue]]-Table1[[#This Row],[COGS]]</f>
        <v>18000</v>
      </c>
      <c r="Q853" s="1">
        <v>852</v>
      </c>
    </row>
    <row r="854" spans="1:17">
      <c r="A854" t="s">
        <v>68</v>
      </c>
      <c r="B854" t="str">
        <f>TEXT(Table1[[#This Row],[Date]],"MMMM")</f>
        <v>March</v>
      </c>
      <c r="C854" t="str">
        <f>TEXT(Table1[[#This Row],[Date]],"DDDD")</f>
        <v>Monday</v>
      </c>
      <c r="D854" t="s">
        <v>44</v>
      </c>
      <c r="E854" t="s">
        <v>36</v>
      </c>
      <c r="F854" t="s">
        <v>41</v>
      </c>
      <c r="G854" t="s">
        <v>30</v>
      </c>
      <c r="H854" t="s">
        <v>67</v>
      </c>
      <c r="I854" t="s">
        <v>51</v>
      </c>
      <c r="J854" s="3">
        <v>420000</v>
      </c>
      <c r="K854">
        <v>1</v>
      </c>
      <c r="L854" t="s">
        <v>58</v>
      </c>
      <c r="M854" s="3">
        <v>336000</v>
      </c>
      <c r="N854" s="3">
        <f>Table1[[#This Row],[Unit Price]]*Table1[[#This Row],[Quantity]]</f>
        <v>420000</v>
      </c>
      <c r="O854" s="3">
        <f>Table1[[#This Row],[Cost Price]]*Table1[[#This Row],[Quantity]]</f>
        <v>336000</v>
      </c>
      <c r="P854" s="3">
        <f>Table1[[#This Row],[Revenue]]-Table1[[#This Row],[COGS]]</f>
        <v>84000</v>
      </c>
      <c r="Q854" s="1">
        <v>853</v>
      </c>
    </row>
    <row r="855" spans="1:17">
      <c r="A855" t="s">
        <v>105</v>
      </c>
      <c r="B855" t="str">
        <f>TEXT(Table1[[#This Row],[Date]],"MMMM")</f>
        <v>March</v>
      </c>
      <c r="C855" t="str">
        <f>TEXT(Table1[[#This Row],[Date]],"DDDD")</f>
        <v>Friday</v>
      </c>
      <c r="D855" t="s">
        <v>35</v>
      </c>
      <c r="E855" t="s">
        <v>28</v>
      </c>
      <c r="F855" t="s">
        <v>29</v>
      </c>
      <c r="G855" t="s">
        <v>37</v>
      </c>
      <c r="H855" t="s">
        <v>38</v>
      </c>
      <c r="I855" t="s">
        <v>39</v>
      </c>
      <c r="J855" s="3">
        <v>30000</v>
      </c>
      <c r="K855">
        <v>5</v>
      </c>
      <c r="L855" t="s">
        <v>69</v>
      </c>
      <c r="M855" s="3">
        <v>24000</v>
      </c>
      <c r="N855" s="3">
        <f>Table1[[#This Row],[Unit Price]]*Table1[[#This Row],[Quantity]]</f>
        <v>150000</v>
      </c>
      <c r="O855" s="3">
        <f>Table1[[#This Row],[Cost Price]]*Table1[[#This Row],[Quantity]]</f>
        <v>120000</v>
      </c>
      <c r="P855" s="3">
        <f>Table1[[#This Row],[Revenue]]-Table1[[#This Row],[COGS]]</f>
        <v>30000</v>
      </c>
      <c r="Q855" s="1">
        <v>854</v>
      </c>
    </row>
    <row r="856" spans="1:17">
      <c r="A856" t="s">
        <v>104</v>
      </c>
      <c r="B856" t="str">
        <f>TEXT(Table1[[#This Row],[Date]],"MMMM")</f>
        <v>March</v>
      </c>
      <c r="C856" t="str">
        <f>TEXT(Table1[[#This Row],[Date]],"DDDD")</f>
        <v>Friday</v>
      </c>
      <c r="D856" t="s">
        <v>35</v>
      </c>
      <c r="E856" t="s">
        <v>53</v>
      </c>
      <c r="F856" t="s">
        <v>41</v>
      </c>
      <c r="G856" t="s">
        <v>30</v>
      </c>
      <c r="H856" t="s">
        <v>67</v>
      </c>
      <c r="I856" t="s">
        <v>51</v>
      </c>
      <c r="J856" s="3">
        <v>420000</v>
      </c>
      <c r="K856">
        <v>7</v>
      </c>
      <c r="L856" t="s">
        <v>33</v>
      </c>
      <c r="M856" s="3">
        <v>336000</v>
      </c>
      <c r="N856" s="3">
        <f>Table1[[#This Row],[Unit Price]]*Table1[[#This Row],[Quantity]]</f>
        <v>2940000</v>
      </c>
      <c r="O856" s="3">
        <f>Table1[[#This Row],[Cost Price]]*Table1[[#This Row],[Quantity]]</f>
        <v>2352000</v>
      </c>
      <c r="P856" s="3">
        <f>Table1[[#This Row],[Revenue]]-Table1[[#This Row],[COGS]]</f>
        <v>588000</v>
      </c>
      <c r="Q856" s="1">
        <v>855</v>
      </c>
    </row>
    <row r="857" spans="1:17">
      <c r="A857" t="s">
        <v>102</v>
      </c>
      <c r="B857" t="str">
        <f>TEXT(Table1[[#This Row],[Date]],"MMMM")</f>
        <v>March</v>
      </c>
      <c r="C857" t="str">
        <f>TEXT(Table1[[#This Row],[Date]],"DDDD")</f>
        <v>Wednesday</v>
      </c>
      <c r="D857" t="s">
        <v>44</v>
      </c>
      <c r="E857" t="s">
        <v>36</v>
      </c>
      <c r="F857" t="s">
        <v>29</v>
      </c>
      <c r="G857" t="s">
        <v>37</v>
      </c>
      <c r="H857" t="s">
        <v>54</v>
      </c>
      <c r="I857" t="s">
        <v>39</v>
      </c>
      <c r="J857" s="3">
        <v>180000</v>
      </c>
      <c r="K857">
        <v>8</v>
      </c>
      <c r="L857" t="s">
        <v>65</v>
      </c>
      <c r="M857" s="3">
        <v>144000</v>
      </c>
      <c r="N857" s="3">
        <f>Table1[[#This Row],[Unit Price]]*Table1[[#This Row],[Quantity]]</f>
        <v>1440000</v>
      </c>
      <c r="O857" s="3">
        <f>Table1[[#This Row],[Cost Price]]*Table1[[#This Row],[Quantity]]</f>
        <v>1152000</v>
      </c>
      <c r="P857" s="3">
        <f>Table1[[#This Row],[Revenue]]-Table1[[#This Row],[COGS]]</f>
        <v>288000</v>
      </c>
      <c r="Q857" s="1">
        <v>856</v>
      </c>
    </row>
    <row r="858" spans="1:17">
      <c r="A858" t="s">
        <v>138</v>
      </c>
      <c r="B858" t="str">
        <f>TEXT(Table1[[#This Row],[Date]],"MMMM")</f>
        <v>April</v>
      </c>
      <c r="C858" t="str">
        <f>TEXT(Table1[[#This Row],[Date]],"DDDD")</f>
        <v>Monday</v>
      </c>
      <c r="D858" t="s">
        <v>27</v>
      </c>
      <c r="E858" t="s">
        <v>53</v>
      </c>
      <c r="F858" t="s">
        <v>41</v>
      </c>
      <c r="G858" t="s">
        <v>37</v>
      </c>
      <c r="H858" t="s">
        <v>73</v>
      </c>
      <c r="I858" t="s">
        <v>39</v>
      </c>
      <c r="J858" s="3">
        <v>220000</v>
      </c>
      <c r="K858">
        <v>3</v>
      </c>
      <c r="L858" t="s">
        <v>47</v>
      </c>
      <c r="M858" s="3">
        <v>176000</v>
      </c>
      <c r="N858" s="3">
        <f>Table1[[#This Row],[Unit Price]]*Table1[[#This Row],[Quantity]]</f>
        <v>660000</v>
      </c>
      <c r="O858" s="3">
        <f>Table1[[#This Row],[Cost Price]]*Table1[[#This Row],[Quantity]]</f>
        <v>528000</v>
      </c>
      <c r="P858" s="3">
        <f>Table1[[#This Row],[Revenue]]-Table1[[#This Row],[COGS]]</f>
        <v>132000</v>
      </c>
      <c r="Q858" s="1">
        <v>857</v>
      </c>
    </row>
    <row r="859" spans="1:17">
      <c r="A859" t="s">
        <v>84</v>
      </c>
      <c r="B859" t="str">
        <f>TEXT(Table1[[#This Row],[Date]],"MMMM")</f>
        <v>January</v>
      </c>
      <c r="C859" t="str">
        <f>TEXT(Table1[[#This Row],[Date]],"DDDD")</f>
        <v>Wednesday</v>
      </c>
      <c r="D859" t="s">
        <v>35</v>
      </c>
      <c r="E859" t="s">
        <v>53</v>
      </c>
      <c r="F859" t="s">
        <v>29</v>
      </c>
      <c r="G859" t="s">
        <v>30</v>
      </c>
      <c r="H859" t="s">
        <v>67</v>
      </c>
      <c r="I859" t="s">
        <v>51</v>
      </c>
      <c r="J859" s="3">
        <v>420000</v>
      </c>
      <c r="K859">
        <v>3</v>
      </c>
      <c r="L859" t="s">
        <v>33</v>
      </c>
      <c r="M859" s="3">
        <v>336000</v>
      </c>
      <c r="N859" s="3">
        <f>Table1[[#This Row],[Unit Price]]*Table1[[#This Row],[Quantity]]</f>
        <v>1260000</v>
      </c>
      <c r="O859" s="3">
        <f>Table1[[#This Row],[Cost Price]]*Table1[[#This Row],[Quantity]]</f>
        <v>1008000</v>
      </c>
      <c r="P859" s="3">
        <f>Table1[[#This Row],[Revenue]]-Table1[[#This Row],[COGS]]</f>
        <v>252000</v>
      </c>
      <c r="Q859" s="1">
        <v>858</v>
      </c>
    </row>
    <row r="860" spans="1:17">
      <c r="A860" t="s">
        <v>145</v>
      </c>
      <c r="B860" t="str">
        <f>TEXT(Table1[[#This Row],[Date]],"MMMM")</f>
        <v>January</v>
      </c>
      <c r="C860" t="str">
        <f>TEXT(Table1[[#This Row],[Date]],"DDDD")</f>
        <v>Friday</v>
      </c>
      <c r="D860" t="s">
        <v>35</v>
      </c>
      <c r="E860" t="s">
        <v>45</v>
      </c>
      <c r="F860" t="s">
        <v>29</v>
      </c>
      <c r="G860" t="s">
        <v>30</v>
      </c>
      <c r="H860" t="s">
        <v>54</v>
      </c>
      <c r="I860" t="s">
        <v>39</v>
      </c>
      <c r="J860" s="3">
        <v>180000</v>
      </c>
      <c r="K860">
        <v>5</v>
      </c>
      <c r="L860" t="s">
        <v>69</v>
      </c>
      <c r="M860" s="3">
        <v>144000</v>
      </c>
      <c r="N860" s="3">
        <f>Table1[[#This Row],[Unit Price]]*Table1[[#This Row],[Quantity]]</f>
        <v>900000</v>
      </c>
      <c r="O860" s="3">
        <f>Table1[[#This Row],[Cost Price]]*Table1[[#This Row],[Quantity]]</f>
        <v>720000</v>
      </c>
      <c r="P860" s="3">
        <f>Table1[[#This Row],[Revenue]]-Table1[[#This Row],[COGS]]</f>
        <v>180000</v>
      </c>
      <c r="Q860" s="1">
        <v>859</v>
      </c>
    </row>
    <row r="861" spans="1:17">
      <c r="A861" t="s">
        <v>152</v>
      </c>
      <c r="B861" t="str">
        <f>TEXT(Table1[[#This Row],[Date]],"MMMM")</f>
        <v>January</v>
      </c>
      <c r="C861" t="str">
        <f>TEXT(Table1[[#This Row],[Date]],"DDDD")</f>
        <v>Friday</v>
      </c>
      <c r="D861" t="s">
        <v>27</v>
      </c>
      <c r="E861" t="s">
        <v>45</v>
      </c>
      <c r="F861" t="s">
        <v>41</v>
      </c>
      <c r="G861" t="s">
        <v>30</v>
      </c>
      <c r="H861" t="s">
        <v>73</v>
      </c>
      <c r="I861" t="s">
        <v>39</v>
      </c>
      <c r="J861" s="3">
        <v>220000</v>
      </c>
      <c r="K861">
        <v>5</v>
      </c>
      <c r="L861" t="s">
        <v>47</v>
      </c>
      <c r="M861" s="3">
        <v>176000</v>
      </c>
      <c r="N861" s="3">
        <f>Table1[[#This Row],[Unit Price]]*Table1[[#This Row],[Quantity]]</f>
        <v>1100000</v>
      </c>
      <c r="O861" s="3">
        <f>Table1[[#This Row],[Cost Price]]*Table1[[#This Row],[Quantity]]</f>
        <v>880000</v>
      </c>
      <c r="P861" s="3">
        <f>Table1[[#This Row],[Revenue]]-Table1[[#This Row],[COGS]]</f>
        <v>220000</v>
      </c>
      <c r="Q861" s="1">
        <v>860</v>
      </c>
    </row>
    <row r="862" spans="1:17">
      <c r="A862" t="s">
        <v>88</v>
      </c>
      <c r="B862" t="str">
        <f>TEXT(Table1[[#This Row],[Date]],"MMMM")</f>
        <v>February</v>
      </c>
      <c r="C862" t="str">
        <f>TEXT(Table1[[#This Row],[Date]],"DDDD")</f>
        <v>Monday</v>
      </c>
      <c r="D862" t="s">
        <v>49</v>
      </c>
      <c r="E862" t="s">
        <v>53</v>
      </c>
      <c r="F862" t="s">
        <v>41</v>
      </c>
      <c r="G862" t="s">
        <v>30</v>
      </c>
      <c r="H862" t="s">
        <v>71</v>
      </c>
      <c r="I862" t="s">
        <v>51</v>
      </c>
      <c r="J862" s="3">
        <v>250000</v>
      </c>
      <c r="K862">
        <v>2</v>
      </c>
      <c r="L862" t="s">
        <v>58</v>
      </c>
      <c r="M862" s="3">
        <v>200000</v>
      </c>
      <c r="N862" s="3">
        <f>Table1[[#This Row],[Unit Price]]*Table1[[#This Row],[Quantity]]</f>
        <v>500000</v>
      </c>
      <c r="O862" s="3">
        <f>Table1[[#This Row],[Cost Price]]*Table1[[#This Row],[Quantity]]</f>
        <v>400000</v>
      </c>
      <c r="P862" s="3">
        <f>Table1[[#This Row],[Revenue]]-Table1[[#This Row],[COGS]]</f>
        <v>100000</v>
      </c>
      <c r="Q862" s="1">
        <v>861</v>
      </c>
    </row>
    <row r="863" spans="1:17">
      <c r="A863" t="s">
        <v>143</v>
      </c>
      <c r="B863" t="str">
        <f>TEXT(Table1[[#This Row],[Date]],"MMMM")</f>
        <v>April</v>
      </c>
      <c r="C863" t="str">
        <f>TEXT(Table1[[#This Row],[Date]],"DDDD")</f>
        <v>Thursday</v>
      </c>
      <c r="D863" t="s">
        <v>35</v>
      </c>
      <c r="E863" t="s">
        <v>45</v>
      </c>
      <c r="F863" t="s">
        <v>41</v>
      </c>
      <c r="G863" t="s">
        <v>30</v>
      </c>
      <c r="H863" t="s">
        <v>67</v>
      </c>
      <c r="I863" t="s">
        <v>51</v>
      </c>
      <c r="J863" s="3">
        <v>420000</v>
      </c>
      <c r="K863">
        <v>3</v>
      </c>
      <c r="L863" t="s">
        <v>58</v>
      </c>
      <c r="M863" s="3">
        <v>336000</v>
      </c>
      <c r="N863" s="3">
        <f>Table1[[#This Row],[Unit Price]]*Table1[[#This Row],[Quantity]]</f>
        <v>1260000</v>
      </c>
      <c r="O863" s="3">
        <f>Table1[[#This Row],[Cost Price]]*Table1[[#This Row],[Quantity]]</f>
        <v>1008000</v>
      </c>
      <c r="P863" s="3">
        <f>Table1[[#This Row],[Revenue]]-Table1[[#This Row],[COGS]]</f>
        <v>252000</v>
      </c>
      <c r="Q863" s="1">
        <v>862</v>
      </c>
    </row>
    <row r="864" spans="1:17">
      <c r="A864" t="s">
        <v>146</v>
      </c>
      <c r="B864" t="str">
        <f>TEXT(Table1[[#This Row],[Date]],"MMMM")</f>
        <v>January</v>
      </c>
      <c r="C864" t="str">
        <f>TEXT(Table1[[#This Row],[Date]],"DDDD")</f>
        <v>Tuesday</v>
      </c>
      <c r="D864" t="s">
        <v>35</v>
      </c>
      <c r="E864" t="s">
        <v>36</v>
      </c>
      <c r="F864" t="s">
        <v>41</v>
      </c>
      <c r="G864" t="s">
        <v>30</v>
      </c>
      <c r="H864" t="s">
        <v>67</v>
      </c>
      <c r="I864" t="s">
        <v>51</v>
      </c>
      <c r="J864" s="3">
        <v>420000</v>
      </c>
      <c r="K864">
        <v>8</v>
      </c>
      <c r="L864" t="s">
        <v>47</v>
      </c>
      <c r="M864" s="3">
        <v>336000</v>
      </c>
      <c r="N864" s="3">
        <f>Table1[[#This Row],[Unit Price]]*Table1[[#This Row],[Quantity]]</f>
        <v>3360000</v>
      </c>
      <c r="O864" s="3">
        <f>Table1[[#This Row],[Cost Price]]*Table1[[#This Row],[Quantity]]</f>
        <v>2688000</v>
      </c>
      <c r="P864" s="3">
        <f>Table1[[#This Row],[Revenue]]-Table1[[#This Row],[COGS]]</f>
        <v>672000</v>
      </c>
      <c r="Q864" s="1">
        <v>863</v>
      </c>
    </row>
    <row r="865" spans="1:17">
      <c r="A865" t="s">
        <v>106</v>
      </c>
      <c r="B865" t="str">
        <f>TEXT(Table1[[#This Row],[Date]],"MMMM")</f>
        <v>April</v>
      </c>
      <c r="C865" t="str">
        <f>TEXT(Table1[[#This Row],[Date]],"DDDD")</f>
        <v>Wednesday</v>
      </c>
      <c r="D865" t="s">
        <v>35</v>
      </c>
      <c r="E865" t="s">
        <v>28</v>
      </c>
      <c r="F865" t="s">
        <v>41</v>
      </c>
      <c r="G865" t="s">
        <v>30</v>
      </c>
      <c r="H865" t="s">
        <v>67</v>
      </c>
      <c r="I865" t="s">
        <v>51</v>
      </c>
      <c r="J865" s="3">
        <v>420000</v>
      </c>
      <c r="K865">
        <v>7</v>
      </c>
      <c r="L865" t="s">
        <v>33</v>
      </c>
      <c r="M865" s="3">
        <v>336000</v>
      </c>
      <c r="N865" s="3">
        <f>Table1[[#This Row],[Unit Price]]*Table1[[#This Row],[Quantity]]</f>
        <v>2940000</v>
      </c>
      <c r="O865" s="3">
        <f>Table1[[#This Row],[Cost Price]]*Table1[[#This Row],[Quantity]]</f>
        <v>2352000</v>
      </c>
      <c r="P865" s="3">
        <f>Table1[[#This Row],[Revenue]]-Table1[[#This Row],[COGS]]</f>
        <v>588000</v>
      </c>
      <c r="Q865" s="1">
        <v>864</v>
      </c>
    </row>
    <row r="866" spans="1:17">
      <c r="A866" t="s">
        <v>43</v>
      </c>
      <c r="B866" t="str">
        <f>TEXT(Table1[[#This Row],[Date]],"MMMM")</f>
        <v>April</v>
      </c>
      <c r="C866" t="str">
        <f>TEXT(Table1[[#This Row],[Date]],"DDDD")</f>
        <v>Friday</v>
      </c>
      <c r="D866" t="s">
        <v>27</v>
      </c>
      <c r="E866" t="s">
        <v>45</v>
      </c>
      <c r="F866" t="s">
        <v>41</v>
      </c>
      <c r="G866" t="s">
        <v>30</v>
      </c>
      <c r="H866" t="s">
        <v>56</v>
      </c>
      <c r="I866" t="s">
        <v>32</v>
      </c>
      <c r="J866" s="3">
        <v>320000</v>
      </c>
      <c r="K866">
        <v>6</v>
      </c>
      <c r="L866" t="s">
        <v>47</v>
      </c>
      <c r="M866" s="3">
        <v>256000</v>
      </c>
      <c r="N866" s="3">
        <f>Table1[[#This Row],[Unit Price]]*Table1[[#This Row],[Quantity]]</f>
        <v>1920000</v>
      </c>
      <c r="O866" s="3">
        <f>Table1[[#This Row],[Cost Price]]*Table1[[#This Row],[Quantity]]</f>
        <v>1536000</v>
      </c>
      <c r="P866" s="3">
        <f>Table1[[#This Row],[Revenue]]-Table1[[#This Row],[COGS]]</f>
        <v>384000</v>
      </c>
      <c r="Q866" s="1">
        <v>865</v>
      </c>
    </row>
    <row r="867" spans="1:17">
      <c r="A867" t="s">
        <v>79</v>
      </c>
      <c r="B867" t="str">
        <f>TEXT(Table1[[#This Row],[Date]],"MMMM")</f>
        <v>February</v>
      </c>
      <c r="C867" t="str">
        <f>TEXT(Table1[[#This Row],[Date]],"DDDD")</f>
        <v>Wednesday</v>
      </c>
      <c r="D867" t="s">
        <v>49</v>
      </c>
      <c r="E867" t="s">
        <v>45</v>
      </c>
      <c r="F867" t="s">
        <v>41</v>
      </c>
      <c r="G867" t="s">
        <v>30</v>
      </c>
      <c r="H867" t="s">
        <v>46</v>
      </c>
      <c r="I867" t="s">
        <v>39</v>
      </c>
      <c r="J867" s="3">
        <v>60000</v>
      </c>
      <c r="K867">
        <v>3</v>
      </c>
      <c r="L867" t="s">
        <v>47</v>
      </c>
      <c r="M867" s="3">
        <v>48000</v>
      </c>
      <c r="N867" s="3">
        <f>Table1[[#This Row],[Unit Price]]*Table1[[#This Row],[Quantity]]</f>
        <v>180000</v>
      </c>
      <c r="O867" s="3">
        <f>Table1[[#This Row],[Cost Price]]*Table1[[#This Row],[Quantity]]</f>
        <v>144000</v>
      </c>
      <c r="P867" s="3">
        <f>Table1[[#This Row],[Revenue]]-Table1[[#This Row],[COGS]]</f>
        <v>36000</v>
      </c>
      <c r="Q867" s="1">
        <v>866</v>
      </c>
    </row>
    <row r="868" spans="1:17">
      <c r="A868" t="s">
        <v>136</v>
      </c>
      <c r="B868" t="str">
        <f>TEXT(Table1[[#This Row],[Date]],"MMMM")</f>
        <v>February</v>
      </c>
      <c r="C868" t="str">
        <f>TEXT(Table1[[#This Row],[Date]],"DDDD")</f>
        <v>Saturday</v>
      </c>
      <c r="D868" t="s">
        <v>27</v>
      </c>
      <c r="E868" t="s">
        <v>28</v>
      </c>
      <c r="F868" t="s">
        <v>41</v>
      </c>
      <c r="G868" t="s">
        <v>37</v>
      </c>
      <c r="H868" t="s">
        <v>31</v>
      </c>
      <c r="I868" t="s">
        <v>32</v>
      </c>
      <c r="J868" s="3">
        <v>85000</v>
      </c>
      <c r="K868">
        <v>8</v>
      </c>
      <c r="L868" t="s">
        <v>33</v>
      </c>
      <c r="M868" s="3">
        <v>68000</v>
      </c>
      <c r="N868" s="3">
        <f>Table1[[#This Row],[Unit Price]]*Table1[[#This Row],[Quantity]]</f>
        <v>680000</v>
      </c>
      <c r="O868" s="3">
        <f>Table1[[#This Row],[Cost Price]]*Table1[[#This Row],[Quantity]]</f>
        <v>544000</v>
      </c>
      <c r="P868" s="3">
        <f>Table1[[#This Row],[Revenue]]-Table1[[#This Row],[COGS]]</f>
        <v>136000</v>
      </c>
      <c r="Q868" s="1">
        <v>867</v>
      </c>
    </row>
    <row r="869" spans="1:17">
      <c r="A869" t="s">
        <v>63</v>
      </c>
      <c r="B869" t="str">
        <f>TEXT(Table1[[#This Row],[Date]],"MMMM")</f>
        <v>January</v>
      </c>
      <c r="C869" t="str">
        <f>TEXT(Table1[[#This Row],[Date]],"DDDD")</f>
        <v>Monday</v>
      </c>
      <c r="D869" t="s">
        <v>27</v>
      </c>
      <c r="E869" t="s">
        <v>28</v>
      </c>
      <c r="F869" t="s">
        <v>41</v>
      </c>
      <c r="G869" t="s">
        <v>37</v>
      </c>
      <c r="H869" t="s">
        <v>54</v>
      </c>
      <c r="I869" t="s">
        <v>39</v>
      </c>
      <c r="J869" s="3">
        <v>180000</v>
      </c>
      <c r="K869">
        <v>9</v>
      </c>
      <c r="L869" t="s">
        <v>58</v>
      </c>
      <c r="M869" s="3">
        <v>144000</v>
      </c>
      <c r="N869" s="3">
        <f>Table1[[#This Row],[Unit Price]]*Table1[[#This Row],[Quantity]]</f>
        <v>1620000</v>
      </c>
      <c r="O869" s="3">
        <f>Table1[[#This Row],[Cost Price]]*Table1[[#This Row],[Quantity]]</f>
        <v>1296000</v>
      </c>
      <c r="P869" s="3">
        <f>Table1[[#This Row],[Revenue]]-Table1[[#This Row],[COGS]]</f>
        <v>324000</v>
      </c>
      <c r="Q869" s="1">
        <v>868</v>
      </c>
    </row>
    <row r="870" spans="1:17">
      <c r="A870" t="s">
        <v>124</v>
      </c>
      <c r="B870" t="str">
        <f>TEXT(Table1[[#This Row],[Date]],"MMMM")</f>
        <v>February</v>
      </c>
      <c r="C870" t="str">
        <f>TEXT(Table1[[#This Row],[Date]],"DDDD")</f>
        <v>Monday</v>
      </c>
      <c r="D870" t="s">
        <v>27</v>
      </c>
      <c r="E870" t="s">
        <v>45</v>
      </c>
      <c r="F870" t="s">
        <v>41</v>
      </c>
      <c r="G870" t="s">
        <v>37</v>
      </c>
      <c r="H870" t="s">
        <v>73</v>
      </c>
      <c r="I870" t="s">
        <v>39</v>
      </c>
      <c r="J870" s="3">
        <v>220000</v>
      </c>
      <c r="K870">
        <v>5</v>
      </c>
      <c r="L870" t="s">
        <v>58</v>
      </c>
      <c r="M870" s="3">
        <v>176000</v>
      </c>
      <c r="N870" s="3">
        <f>Table1[[#This Row],[Unit Price]]*Table1[[#This Row],[Quantity]]</f>
        <v>1100000</v>
      </c>
      <c r="O870" s="3">
        <f>Table1[[#This Row],[Cost Price]]*Table1[[#This Row],[Quantity]]</f>
        <v>880000</v>
      </c>
      <c r="P870" s="3">
        <f>Table1[[#This Row],[Revenue]]-Table1[[#This Row],[COGS]]</f>
        <v>220000</v>
      </c>
      <c r="Q870" s="1">
        <v>869</v>
      </c>
    </row>
    <row r="871" spans="1:17">
      <c r="A871" t="s">
        <v>145</v>
      </c>
      <c r="B871" t="str">
        <f>TEXT(Table1[[#This Row],[Date]],"MMMM")</f>
        <v>January</v>
      </c>
      <c r="C871" t="str">
        <f>TEXT(Table1[[#This Row],[Date]],"DDDD")</f>
        <v>Friday</v>
      </c>
      <c r="D871" t="s">
        <v>44</v>
      </c>
      <c r="E871" t="s">
        <v>45</v>
      </c>
      <c r="F871" t="s">
        <v>41</v>
      </c>
      <c r="G871" t="s">
        <v>37</v>
      </c>
      <c r="H871" t="s">
        <v>54</v>
      </c>
      <c r="I871" t="s">
        <v>39</v>
      </c>
      <c r="J871" s="3">
        <v>180000</v>
      </c>
      <c r="K871">
        <v>5</v>
      </c>
      <c r="L871" t="s">
        <v>58</v>
      </c>
      <c r="M871" s="3">
        <v>144000</v>
      </c>
      <c r="N871" s="3">
        <f>Table1[[#This Row],[Unit Price]]*Table1[[#This Row],[Quantity]]</f>
        <v>900000</v>
      </c>
      <c r="O871" s="3">
        <f>Table1[[#This Row],[Cost Price]]*Table1[[#This Row],[Quantity]]</f>
        <v>720000</v>
      </c>
      <c r="P871" s="3">
        <f>Table1[[#This Row],[Revenue]]-Table1[[#This Row],[COGS]]</f>
        <v>180000</v>
      </c>
      <c r="Q871" s="1">
        <v>870</v>
      </c>
    </row>
    <row r="872" spans="1:17">
      <c r="A872" t="s">
        <v>118</v>
      </c>
      <c r="B872" t="str">
        <f>TEXT(Table1[[#This Row],[Date]],"MMMM")</f>
        <v>March</v>
      </c>
      <c r="C872" t="str">
        <f>TEXT(Table1[[#This Row],[Date]],"DDDD")</f>
        <v>Tuesday</v>
      </c>
      <c r="D872" t="s">
        <v>27</v>
      </c>
      <c r="E872" t="s">
        <v>36</v>
      </c>
      <c r="F872" t="s">
        <v>41</v>
      </c>
      <c r="G872" t="s">
        <v>30</v>
      </c>
      <c r="H872" t="s">
        <v>46</v>
      </c>
      <c r="I872" t="s">
        <v>39</v>
      </c>
      <c r="J872" s="3">
        <v>60000</v>
      </c>
      <c r="K872">
        <v>7</v>
      </c>
      <c r="L872" t="s">
        <v>33</v>
      </c>
      <c r="M872" s="3">
        <v>48000</v>
      </c>
      <c r="N872" s="3">
        <f>Table1[[#This Row],[Unit Price]]*Table1[[#This Row],[Quantity]]</f>
        <v>420000</v>
      </c>
      <c r="O872" s="3">
        <f>Table1[[#This Row],[Cost Price]]*Table1[[#This Row],[Quantity]]</f>
        <v>336000</v>
      </c>
      <c r="P872" s="3">
        <f>Table1[[#This Row],[Revenue]]-Table1[[#This Row],[COGS]]</f>
        <v>84000</v>
      </c>
      <c r="Q872" s="1">
        <v>871</v>
      </c>
    </row>
    <row r="873" spans="1:17">
      <c r="A873" t="s">
        <v>106</v>
      </c>
      <c r="B873" t="str">
        <f>TEXT(Table1[[#This Row],[Date]],"MMMM")</f>
        <v>April</v>
      </c>
      <c r="C873" t="str">
        <f>TEXT(Table1[[#This Row],[Date]],"DDDD")</f>
        <v>Wednesday</v>
      </c>
      <c r="D873" t="s">
        <v>44</v>
      </c>
      <c r="E873" t="s">
        <v>45</v>
      </c>
      <c r="F873" t="s">
        <v>41</v>
      </c>
      <c r="G873" t="s">
        <v>37</v>
      </c>
      <c r="H873" t="s">
        <v>62</v>
      </c>
      <c r="I873" t="s">
        <v>51</v>
      </c>
      <c r="J873" s="3">
        <v>150000</v>
      </c>
      <c r="K873">
        <v>7</v>
      </c>
      <c r="L873" t="s">
        <v>58</v>
      </c>
      <c r="M873" s="3">
        <v>120000</v>
      </c>
      <c r="N873" s="3">
        <f>Table1[[#This Row],[Unit Price]]*Table1[[#This Row],[Quantity]]</f>
        <v>1050000</v>
      </c>
      <c r="O873" s="3">
        <f>Table1[[#This Row],[Cost Price]]*Table1[[#This Row],[Quantity]]</f>
        <v>840000</v>
      </c>
      <c r="P873" s="3">
        <f>Table1[[#This Row],[Revenue]]-Table1[[#This Row],[COGS]]</f>
        <v>210000</v>
      </c>
      <c r="Q873" s="1">
        <v>872</v>
      </c>
    </row>
    <row r="874" spans="1:17">
      <c r="A874" t="s">
        <v>114</v>
      </c>
      <c r="B874" t="str">
        <f>TEXT(Table1[[#This Row],[Date]],"MMMM")</f>
        <v>April</v>
      </c>
      <c r="C874" t="str">
        <f>TEXT(Table1[[#This Row],[Date]],"DDDD")</f>
        <v>Sunday</v>
      </c>
      <c r="D874" t="s">
        <v>35</v>
      </c>
      <c r="E874" t="s">
        <v>28</v>
      </c>
      <c r="F874" t="s">
        <v>41</v>
      </c>
      <c r="G874" t="s">
        <v>37</v>
      </c>
      <c r="H874" t="s">
        <v>38</v>
      </c>
      <c r="I874" t="s">
        <v>39</v>
      </c>
      <c r="J874" s="3">
        <v>30000</v>
      </c>
      <c r="K874">
        <v>4</v>
      </c>
      <c r="L874" t="s">
        <v>65</v>
      </c>
      <c r="M874" s="3">
        <v>24000</v>
      </c>
      <c r="N874" s="3">
        <f>Table1[[#This Row],[Unit Price]]*Table1[[#This Row],[Quantity]]</f>
        <v>120000</v>
      </c>
      <c r="O874" s="3">
        <f>Table1[[#This Row],[Cost Price]]*Table1[[#This Row],[Quantity]]</f>
        <v>96000</v>
      </c>
      <c r="P874" s="3">
        <f>Table1[[#This Row],[Revenue]]-Table1[[#This Row],[COGS]]</f>
        <v>24000</v>
      </c>
      <c r="Q874" s="1">
        <v>873</v>
      </c>
    </row>
    <row r="875" spans="1:17">
      <c r="A875" t="s">
        <v>158</v>
      </c>
      <c r="B875" t="str">
        <f>TEXT(Table1[[#This Row],[Date]],"MMMM")</f>
        <v>January</v>
      </c>
      <c r="C875" t="str">
        <f>TEXT(Table1[[#This Row],[Date]],"DDDD")</f>
        <v>Saturday</v>
      </c>
      <c r="D875" t="s">
        <v>27</v>
      </c>
      <c r="E875" t="s">
        <v>53</v>
      </c>
      <c r="F875" t="s">
        <v>41</v>
      </c>
      <c r="G875" t="s">
        <v>37</v>
      </c>
      <c r="H875" t="s">
        <v>67</v>
      </c>
      <c r="I875" t="s">
        <v>51</v>
      </c>
      <c r="J875" s="3">
        <v>420000</v>
      </c>
      <c r="K875">
        <v>1</v>
      </c>
      <c r="L875" t="s">
        <v>65</v>
      </c>
      <c r="M875" s="3">
        <v>336000</v>
      </c>
      <c r="N875" s="3">
        <f>Table1[[#This Row],[Unit Price]]*Table1[[#This Row],[Quantity]]</f>
        <v>420000</v>
      </c>
      <c r="O875" s="3">
        <f>Table1[[#This Row],[Cost Price]]*Table1[[#This Row],[Quantity]]</f>
        <v>336000</v>
      </c>
      <c r="P875" s="3">
        <f>Table1[[#This Row],[Revenue]]-Table1[[#This Row],[COGS]]</f>
        <v>84000</v>
      </c>
      <c r="Q875" s="1">
        <v>874</v>
      </c>
    </row>
    <row r="876" spans="1:17">
      <c r="A876" t="s">
        <v>125</v>
      </c>
      <c r="B876" t="str">
        <f>TEXT(Table1[[#This Row],[Date]],"MMMM")</f>
        <v>February</v>
      </c>
      <c r="C876" t="str">
        <f>TEXT(Table1[[#This Row],[Date]],"DDDD")</f>
        <v>Tuesday</v>
      </c>
      <c r="D876" t="s">
        <v>27</v>
      </c>
      <c r="E876" t="s">
        <v>45</v>
      </c>
      <c r="F876" t="s">
        <v>41</v>
      </c>
      <c r="G876" t="s">
        <v>37</v>
      </c>
      <c r="H876" t="s">
        <v>67</v>
      </c>
      <c r="I876" t="s">
        <v>51</v>
      </c>
      <c r="J876" s="3">
        <v>420000</v>
      </c>
      <c r="K876">
        <v>4</v>
      </c>
      <c r="L876" t="s">
        <v>58</v>
      </c>
      <c r="M876" s="3">
        <v>336000</v>
      </c>
      <c r="N876" s="3">
        <f>Table1[[#This Row],[Unit Price]]*Table1[[#This Row],[Quantity]]</f>
        <v>1680000</v>
      </c>
      <c r="O876" s="3">
        <f>Table1[[#This Row],[Cost Price]]*Table1[[#This Row],[Quantity]]</f>
        <v>1344000</v>
      </c>
      <c r="P876" s="3">
        <f>Table1[[#This Row],[Revenue]]-Table1[[#This Row],[COGS]]</f>
        <v>336000</v>
      </c>
      <c r="Q876" s="1">
        <v>875</v>
      </c>
    </row>
    <row r="877" spans="1:17">
      <c r="A877" t="s">
        <v>136</v>
      </c>
      <c r="B877" t="str">
        <f>TEXT(Table1[[#This Row],[Date]],"MMMM")</f>
        <v>February</v>
      </c>
      <c r="C877" t="str">
        <f>TEXT(Table1[[#This Row],[Date]],"DDDD")</f>
        <v>Saturday</v>
      </c>
      <c r="D877" t="s">
        <v>49</v>
      </c>
      <c r="E877" t="s">
        <v>45</v>
      </c>
      <c r="F877" t="s">
        <v>41</v>
      </c>
      <c r="G877" t="s">
        <v>30</v>
      </c>
      <c r="H877" t="s">
        <v>31</v>
      </c>
      <c r="I877" t="s">
        <v>32</v>
      </c>
      <c r="J877" s="3">
        <v>85000</v>
      </c>
      <c r="K877">
        <v>4</v>
      </c>
      <c r="L877" t="s">
        <v>58</v>
      </c>
      <c r="M877" s="3">
        <v>68000</v>
      </c>
      <c r="N877" s="3">
        <f>Table1[[#This Row],[Unit Price]]*Table1[[#This Row],[Quantity]]</f>
        <v>340000</v>
      </c>
      <c r="O877" s="3">
        <f>Table1[[#This Row],[Cost Price]]*Table1[[#This Row],[Quantity]]</f>
        <v>272000</v>
      </c>
      <c r="P877" s="3">
        <f>Table1[[#This Row],[Revenue]]-Table1[[#This Row],[COGS]]</f>
        <v>68000</v>
      </c>
      <c r="Q877" s="1">
        <v>876</v>
      </c>
    </row>
    <row r="878" spans="1:17">
      <c r="A878" t="s">
        <v>163</v>
      </c>
      <c r="B878" t="str">
        <f>TEXT(Table1[[#This Row],[Date]],"MMMM")</f>
        <v>April</v>
      </c>
      <c r="C878" t="str">
        <f>TEXT(Table1[[#This Row],[Date]],"DDDD")</f>
        <v>Tuesday</v>
      </c>
      <c r="D878" t="s">
        <v>27</v>
      </c>
      <c r="E878" t="s">
        <v>36</v>
      </c>
      <c r="F878" t="s">
        <v>41</v>
      </c>
      <c r="G878" t="s">
        <v>37</v>
      </c>
      <c r="H878" t="s">
        <v>56</v>
      </c>
      <c r="I878" t="s">
        <v>32</v>
      </c>
      <c r="J878" s="3">
        <v>320000</v>
      </c>
      <c r="K878">
        <v>5</v>
      </c>
      <c r="L878" t="s">
        <v>47</v>
      </c>
      <c r="M878" s="3">
        <v>256000</v>
      </c>
      <c r="N878" s="3">
        <f>Table1[[#This Row],[Unit Price]]*Table1[[#This Row],[Quantity]]</f>
        <v>1600000</v>
      </c>
      <c r="O878" s="3">
        <f>Table1[[#This Row],[Cost Price]]*Table1[[#This Row],[Quantity]]</f>
        <v>1280000</v>
      </c>
      <c r="P878" s="3">
        <f>Table1[[#This Row],[Revenue]]-Table1[[#This Row],[COGS]]</f>
        <v>320000</v>
      </c>
      <c r="Q878" s="1">
        <v>877</v>
      </c>
    </row>
    <row r="879" spans="1:17">
      <c r="A879" t="s">
        <v>85</v>
      </c>
      <c r="B879" t="str">
        <f>TEXT(Table1[[#This Row],[Date]],"MMMM")</f>
        <v>February</v>
      </c>
      <c r="C879" t="str">
        <f>TEXT(Table1[[#This Row],[Date]],"DDDD")</f>
        <v>Thursday</v>
      </c>
      <c r="D879" t="s">
        <v>35</v>
      </c>
      <c r="E879" t="s">
        <v>28</v>
      </c>
      <c r="F879" t="s">
        <v>41</v>
      </c>
      <c r="G879" t="s">
        <v>37</v>
      </c>
      <c r="H879" t="s">
        <v>31</v>
      </c>
      <c r="I879" t="s">
        <v>32</v>
      </c>
      <c r="J879" s="3">
        <v>85000</v>
      </c>
      <c r="K879">
        <v>4</v>
      </c>
      <c r="L879" t="s">
        <v>47</v>
      </c>
      <c r="M879" s="3">
        <v>68000</v>
      </c>
      <c r="N879" s="3">
        <f>Table1[[#This Row],[Unit Price]]*Table1[[#This Row],[Quantity]]</f>
        <v>340000</v>
      </c>
      <c r="O879" s="3">
        <f>Table1[[#This Row],[Cost Price]]*Table1[[#This Row],[Quantity]]</f>
        <v>272000</v>
      </c>
      <c r="P879" s="3">
        <f>Table1[[#This Row],[Revenue]]-Table1[[#This Row],[COGS]]</f>
        <v>68000</v>
      </c>
      <c r="Q879" s="1">
        <v>878</v>
      </c>
    </row>
    <row r="880" spans="1:17">
      <c r="A880" t="s">
        <v>174</v>
      </c>
      <c r="B880" t="str">
        <f>TEXT(Table1[[#This Row],[Date]],"MMMM")</f>
        <v>February</v>
      </c>
      <c r="C880" t="str">
        <f>TEXT(Table1[[#This Row],[Date]],"DDDD")</f>
        <v>Friday</v>
      </c>
      <c r="D880" t="s">
        <v>27</v>
      </c>
      <c r="E880" t="s">
        <v>28</v>
      </c>
      <c r="F880" t="s">
        <v>41</v>
      </c>
      <c r="G880" t="s">
        <v>37</v>
      </c>
      <c r="H880" t="s">
        <v>67</v>
      </c>
      <c r="I880" t="s">
        <v>51</v>
      </c>
      <c r="J880" s="3">
        <v>420000</v>
      </c>
      <c r="K880">
        <v>7</v>
      </c>
      <c r="L880" t="s">
        <v>69</v>
      </c>
      <c r="M880" s="3">
        <v>336000</v>
      </c>
      <c r="N880" s="3">
        <f>Table1[[#This Row],[Unit Price]]*Table1[[#This Row],[Quantity]]</f>
        <v>2940000</v>
      </c>
      <c r="O880" s="3">
        <f>Table1[[#This Row],[Cost Price]]*Table1[[#This Row],[Quantity]]</f>
        <v>2352000</v>
      </c>
      <c r="P880" s="3">
        <f>Table1[[#This Row],[Revenue]]-Table1[[#This Row],[COGS]]</f>
        <v>588000</v>
      </c>
      <c r="Q880" s="1">
        <v>879</v>
      </c>
    </row>
    <row r="881" spans="1:17">
      <c r="A881" t="s">
        <v>130</v>
      </c>
      <c r="B881" t="str">
        <f>TEXT(Table1[[#This Row],[Date]],"MMMM")</f>
        <v>January</v>
      </c>
      <c r="C881" t="str">
        <f>TEXT(Table1[[#This Row],[Date]],"DDDD")</f>
        <v>Monday</v>
      </c>
      <c r="D881" t="s">
        <v>27</v>
      </c>
      <c r="E881" t="s">
        <v>45</v>
      </c>
      <c r="F881" t="s">
        <v>41</v>
      </c>
      <c r="G881" t="s">
        <v>30</v>
      </c>
      <c r="H881" t="s">
        <v>38</v>
      </c>
      <c r="I881" t="s">
        <v>39</v>
      </c>
      <c r="J881" s="3">
        <v>30000</v>
      </c>
      <c r="K881">
        <v>10</v>
      </c>
      <c r="L881" t="s">
        <v>47</v>
      </c>
      <c r="M881" s="3">
        <v>24000</v>
      </c>
      <c r="N881" s="3">
        <f>Table1[[#This Row],[Unit Price]]*Table1[[#This Row],[Quantity]]</f>
        <v>300000</v>
      </c>
      <c r="O881" s="3">
        <f>Table1[[#This Row],[Cost Price]]*Table1[[#This Row],[Quantity]]</f>
        <v>240000</v>
      </c>
      <c r="P881" s="3">
        <f>Table1[[#This Row],[Revenue]]-Table1[[#This Row],[COGS]]</f>
        <v>60000</v>
      </c>
      <c r="Q881" s="1">
        <v>880</v>
      </c>
    </row>
    <row r="882" spans="1:17">
      <c r="A882" t="s">
        <v>59</v>
      </c>
      <c r="B882" t="str">
        <f>TEXT(Table1[[#This Row],[Date]],"MMMM")</f>
        <v>March</v>
      </c>
      <c r="C882" t="str">
        <f>TEXT(Table1[[#This Row],[Date]],"DDDD")</f>
        <v>Monday</v>
      </c>
      <c r="D882" t="s">
        <v>27</v>
      </c>
      <c r="E882" t="s">
        <v>45</v>
      </c>
      <c r="F882" t="s">
        <v>41</v>
      </c>
      <c r="G882" t="s">
        <v>30</v>
      </c>
      <c r="H882" t="s">
        <v>62</v>
      </c>
      <c r="I882" t="s">
        <v>51</v>
      </c>
      <c r="J882" s="3">
        <v>150000</v>
      </c>
      <c r="K882">
        <v>10</v>
      </c>
      <c r="L882" t="s">
        <v>47</v>
      </c>
      <c r="M882" s="3">
        <v>120000</v>
      </c>
      <c r="N882" s="3">
        <f>Table1[[#This Row],[Unit Price]]*Table1[[#This Row],[Quantity]]</f>
        <v>1500000</v>
      </c>
      <c r="O882" s="3">
        <f>Table1[[#This Row],[Cost Price]]*Table1[[#This Row],[Quantity]]</f>
        <v>1200000</v>
      </c>
      <c r="P882" s="3">
        <f>Table1[[#This Row],[Revenue]]-Table1[[#This Row],[COGS]]</f>
        <v>300000</v>
      </c>
      <c r="Q882" s="1">
        <v>881</v>
      </c>
    </row>
    <row r="883" spans="1:17">
      <c r="A883" t="s">
        <v>152</v>
      </c>
      <c r="B883" t="str">
        <f>TEXT(Table1[[#This Row],[Date]],"MMMM")</f>
        <v>January</v>
      </c>
      <c r="C883" t="str">
        <f>TEXT(Table1[[#This Row],[Date]],"DDDD")</f>
        <v>Friday</v>
      </c>
      <c r="D883" t="s">
        <v>44</v>
      </c>
      <c r="E883" t="s">
        <v>28</v>
      </c>
      <c r="F883" t="s">
        <v>41</v>
      </c>
      <c r="G883" t="s">
        <v>37</v>
      </c>
      <c r="H883" t="s">
        <v>71</v>
      </c>
      <c r="I883" t="s">
        <v>51</v>
      </c>
      <c r="J883" s="3">
        <v>250000</v>
      </c>
      <c r="K883">
        <v>4</v>
      </c>
      <c r="L883" t="s">
        <v>65</v>
      </c>
      <c r="M883" s="3">
        <v>200000</v>
      </c>
      <c r="N883" s="3">
        <f>Table1[[#This Row],[Unit Price]]*Table1[[#This Row],[Quantity]]</f>
        <v>1000000</v>
      </c>
      <c r="O883" s="3">
        <f>Table1[[#This Row],[Cost Price]]*Table1[[#This Row],[Quantity]]</f>
        <v>800000</v>
      </c>
      <c r="P883" s="3">
        <f>Table1[[#This Row],[Revenue]]-Table1[[#This Row],[COGS]]</f>
        <v>200000</v>
      </c>
      <c r="Q883" s="1">
        <v>882</v>
      </c>
    </row>
    <row r="884" spans="1:17">
      <c r="A884" t="s">
        <v>132</v>
      </c>
      <c r="B884" t="str">
        <f>TEXT(Table1[[#This Row],[Date]],"MMMM")</f>
        <v>April</v>
      </c>
      <c r="C884" t="str">
        <f>TEXT(Table1[[#This Row],[Date]],"DDDD")</f>
        <v>Saturday</v>
      </c>
      <c r="D884" t="s">
        <v>35</v>
      </c>
      <c r="E884" t="s">
        <v>53</v>
      </c>
      <c r="F884" t="s">
        <v>29</v>
      </c>
      <c r="G884" t="s">
        <v>30</v>
      </c>
      <c r="H884" t="s">
        <v>73</v>
      </c>
      <c r="I884" t="s">
        <v>39</v>
      </c>
      <c r="J884" s="3">
        <v>220000</v>
      </c>
      <c r="K884">
        <v>6</v>
      </c>
      <c r="L884" t="s">
        <v>65</v>
      </c>
      <c r="M884" s="3">
        <v>176000</v>
      </c>
      <c r="N884" s="3">
        <f>Table1[[#This Row],[Unit Price]]*Table1[[#This Row],[Quantity]]</f>
        <v>1320000</v>
      </c>
      <c r="O884" s="3">
        <f>Table1[[#This Row],[Cost Price]]*Table1[[#This Row],[Quantity]]</f>
        <v>1056000</v>
      </c>
      <c r="P884" s="3">
        <f>Table1[[#This Row],[Revenue]]-Table1[[#This Row],[COGS]]</f>
        <v>264000</v>
      </c>
      <c r="Q884" s="1">
        <v>883</v>
      </c>
    </row>
    <row r="885" spans="1:17">
      <c r="A885" t="s">
        <v>126</v>
      </c>
      <c r="B885" t="str">
        <f>TEXT(Table1[[#This Row],[Date]],"MMMM")</f>
        <v>January</v>
      </c>
      <c r="C885" t="str">
        <f>TEXT(Table1[[#This Row],[Date]],"DDDD")</f>
        <v>Thursday</v>
      </c>
      <c r="D885" t="s">
        <v>49</v>
      </c>
      <c r="E885" t="s">
        <v>28</v>
      </c>
      <c r="F885" t="s">
        <v>29</v>
      </c>
      <c r="G885" t="s">
        <v>37</v>
      </c>
      <c r="H885" t="s">
        <v>62</v>
      </c>
      <c r="I885" t="s">
        <v>51</v>
      </c>
      <c r="J885" s="3">
        <v>150000</v>
      </c>
      <c r="K885">
        <v>10</v>
      </c>
      <c r="L885" t="s">
        <v>42</v>
      </c>
      <c r="M885" s="3">
        <v>120000</v>
      </c>
      <c r="N885" s="3">
        <f>Table1[[#This Row],[Unit Price]]*Table1[[#This Row],[Quantity]]</f>
        <v>1500000</v>
      </c>
      <c r="O885" s="3">
        <f>Table1[[#This Row],[Cost Price]]*Table1[[#This Row],[Quantity]]</f>
        <v>1200000</v>
      </c>
      <c r="P885" s="3">
        <f>Table1[[#This Row],[Revenue]]-Table1[[#This Row],[COGS]]</f>
        <v>300000</v>
      </c>
      <c r="Q885" s="1">
        <v>884</v>
      </c>
    </row>
    <row r="886" spans="1:17">
      <c r="A886" t="s">
        <v>72</v>
      </c>
      <c r="B886" t="str">
        <f>TEXT(Table1[[#This Row],[Date]],"MMMM")</f>
        <v>February</v>
      </c>
      <c r="C886" t="str">
        <f>TEXT(Table1[[#This Row],[Date]],"DDDD")</f>
        <v>Wednesday</v>
      </c>
      <c r="D886" t="s">
        <v>35</v>
      </c>
      <c r="E886" t="s">
        <v>45</v>
      </c>
      <c r="F886" t="s">
        <v>29</v>
      </c>
      <c r="G886" t="s">
        <v>30</v>
      </c>
      <c r="H886" t="s">
        <v>62</v>
      </c>
      <c r="I886" t="s">
        <v>51</v>
      </c>
      <c r="J886" s="3">
        <v>150000</v>
      </c>
      <c r="K886">
        <v>2</v>
      </c>
      <c r="L886" t="s">
        <v>47</v>
      </c>
      <c r="M886" s="3">
        <v>120000</v>
      </c>
      <c r="N886" s="3">
        <f>Table1[[#This Row],[Unit Price]]*Table1[[#This Row],[Quantity]]</f>
        <v>300000</v>
      </c>
      <c r="O886" s="3">
        <f>Table1[[#This Row],[Cost Price]]*Table1[[#This Row],[Quantity]]</f>
        <v>240000</v>
      </c>
      <c r="P886" s="3">
        <f>Table1[[#This Row],[Revenue]]-Table1[[#This Row],[COGS]]</f>
        <v>60000</v>
      </c>
      <c r="Q886" s="1">
        <v>885</v>
      </c>
    </row>
    <row r="887" spans="1:17">
      <c r="A887" t="s">
        <v>94</v>
      </c>
      <c r="B887" t="str">
        <f>TEXT(Table1[[#This Row],[Date]],"MMMM")</f>
        <v>January</v>
      </c>
      <c r="C887" t="str">
        <f>TEXT(Table1[[#This Row],[Date]],"DDDD")</f>
        <v>Friday</v>
      </c>
      <c r="D887" t="s">
        <v>27</v>
      </c>
      <c r="E887" t="s">
        <v>28</v>
      </c>
      <c r="F887" t="s">
        <v>29</v>
      </c>
      <c r="G887" t="s">
        <v>30</v>
      </c>
      <c r="H887" t="s">
        <v>71</v>
      </c>
      <c r="I887" t="s">
        <v>51</v>
      </c>
      <c r="J887" s="3">
        <v>250000</v>
      </c>
      <c r="K887">
        <v>4</v>
      </c>
      <c r="L887" t="s">
        <v>58</v>
      </c>
      <c r="M887" s="3">
        <v>200000</v>
      </c>
      <c r="N887" s="3">
        <f>Table1[[#This Row],[Unit Price]]*Table1[[#This Row],[Quantity]]</f>
        <v>1000000</v>
      </c>
      <c r="O887" s="3">
        <f>Table1[[#This Row],[Cost Price]]*Table1[[#This Row],[Quantity]]</f>
        <v>800000</v>
      </c>
      <c r="P887" s="3">
        <f>Table1[[#This Row],[Revenue]]-Table1[[#This Row],[COGS]]</f>
        <v>200000</v>
      </c>
      <c r="Q887" s="1">
        <v>886</v>
      </c>
    </row>
    <row r="888" spans="1:17">
      <c r="A888" t="s">
        <v>77</v>
      </c>
      <c r="B888" t="str">
        <f>TEXT(Table1[[#This Row],[Date]],"MMMM")</f>
        <v>April</v>
      </c>
      <c r="C888" t="str">
        <f>TEXT(Table1[[#This Row],[Date]],"DDDD")</f>
        <v>Friday</v>
      </c>
      <c r="D888" t="s">
        <v>35</v>
      </c>
      <c r="E888" t="s">
        <v>28</v>
      </c>
      <c r="F888" t="s">
        <v>29</v>
      </c>
      <c r="G888" t="s">
        <v>37</v>
      </c>
      <c r="H888" t="s">
        <v>62</v>
      </c>
      <c r="I888" t="s">
        <v>51</v>
      </c>
      <c r="J888" s="3">
        <v>150000</v>
      </c>
      <c r="K888">
        <v>9</v>
      </c>
      <c r="L888" t="s">
        <v>42</v>
      </c>
      <c r="M888" s="3">
        <v>120000</v>
      </c>
      <c r="N888" s="3">
        <f>Table1[[#This Row],[Unit Price]]*Table1[[#This Row],[Quantity]]</f>
        <v>1350000</v>
      </c>
      <c r="O888" s="3">
        <f>Table1[[#This Row],[Cost Price]]*Table1[[#This Row],[Quantity]]</f>
        <v>1080000</v>
      </c>
      <c r="P888" s="3">
        <f>Table1[[#This Row],[Revenue]]-Table1[[#This Row],[COGS]]</f>
        <v>270000</v>
      </c>
      <c r="Q888" s="1">
        <v>887</v>
      </c>
    </row>
    <row r="889" spans="1:17">
      <c r="A889" t="s">
        <v>165</v>
      </c>
      <c r="B889" t="str">
        <f>TEXT(Table1[[#This Row],[Date]],"MMMM")</f>
        <v>April</v>
      </c>
      <c r="C889" t="str">
        <f>TEXT(Table1[[#This Row],[Date]],"DDDD")</f>
        <v>Sunday</v>
      </c>
      <c r="D889" t="s">
        <v>49</v>
      </c>
      <c r="E889" t="s">
        <v>45</v>
      </c>
      <c r="F889" t="s">
        <v>29</v>
      </c>
      <c r="G889" t="s">
        <v>37</v>
      </c>
      <c r="H889" t="s">
        <v>67</v>
      </c>
      <c r="I889" t="s">
        <v>51</v>
      </c>
      <c r="J889" s="3">
        <v>420000</v>
      </c>
      <c r="K889">
        <v>7</v>
      </c>
      <c r="L889" t="s">
        <v>58</v>
      </c>
      <c r="M889" s="3">
        <v>336000</v>
      </c>
      <c r="N889" s="3">
        <f>Table1[[#This Row],[Unit Price]]*Table1[[#This Row],[Quantity]]</f>
        <v>2940000</v>
      </c>
      <c r="O889" s="3">
        <f>Table1[[#This Row],[Cost Price]]*Table1[[#This Row],[Quantity]]</f>
        <v>2352000</v>
      </c>
      <c r="P889" s="3">
        <f>Table1[[#This Row],[Revenue]]-Table1[[#This Row],[COGS]]</f>
        <v>588000</v>
      </c>
      <c r="Q889" s="1">
        <v>888</v>
      </c>
    </row>
    <row r="890" spans="1:17">
      <c r="A890" t="s">
        <v>163</v>
      </c>
      <c r="B890" t="str">
        <f>TEXT(Table1[[#This Row],[Date]],"MMMM")</f>
        <v>April</v>
      </c>
      <c r="C890" t="str">
        <f>TEXT(Table1[[#This Row],[Date]],"DDDD")</f>
        <v>Tuesday</v>
      </c>
      <c r="D890" t="s">
        <v>35</v>
      </c>
      <c r="E890" t="s">
        <v>36</v>
      </c>
      <c r="F890" t="s">
        <v>29</v>
      </c>
      <c r="G890" t="s">
        <v>30</v>
      </c>
      <c r="H890" t="s">
        <v>31</v>
      </c>
      <c r="I890" t="s">
        <v>32</v>
      </c>
      <c r="J890" s="3">
        <v>85000</v>
      </c>
      <c r="K890">
        <v>2</v>
      </c>
      <c r="L890" t="s">
        <v>33</v>
      </c>
      <c r="M890" s="3">
        <v>68000</v>
      </c>
      <c r="N890" s="3">
        <f>Table1[[#This Row],[Unit Price]]*Table1[[#This Row],[Quantity]]</f>
        <v>170000</v>
      </c>
      <c r="O890" s="3">
        <f>Table1[[#This Row],[Cost Price]]*Table1[[#This Row],[Quantity]]</f>
        <v>136000</v>
      </c>
      <c r="P890" s="3">
        <f>Table1[[#This Row],[Revenue]]-Table1[[#This Row],[COGS]]</f>
        <v>34000</v>
      </c>
      <c r="Q890" s="1">
        <v>889</v>
      </c>
    </row>
    <row r="891" spans="1:17">
      <c r="A891" t="s">
        <v>172</v>
      </c>
      <c r="B891" t="str">
        <f>TEXT(Table1[[#This Row],[Date]],"MMMM")</f>
        <v>March</v>
      </c>
      <c r="C891" t="str">
        <f>TEXT(Table1[[#This Row],[Date]],"DDDD")</f>
        <v>Saturday</v>
      </c>
      <c r="D891" t="s">
        <v>44</v>
      </c>
      <c r="E891" t="s">
        <v>36</v>
      </c>
      <c r="F891" t="s">
        <v>41</v>
      </c>
      <c r="G891" t="s">
        <v>37</v>
      </c>
      <c r="H891" t="s">
        <v>31</v>
      </c>
      <c r="I891" t="s">
        <v>32</v>
      </c>
      <c r="J891" s="3">
        <v>85000</v>
      </c>
      <c r="K891">
        <v>1</v>
      </c>
      <c r="L891" t="s">
        <v>58</v>
      </c>
      <c r="M891" s="3">
        <v>68000</v>
      </c>
      <c r="N891" s="3">
        <f>Table1[[#This Row],[Unit Price]]*Table1[[#This Row],[Quantity]]</f>
        <v>85000</v>
      </c>
      <c r="O891" s="3">
        <f>Table1[[#This Row],[Cost Price]]*Table1[[#This Row],[Quantity]]</f>
        <v>68000</v>
      </c>
      <c r="P891" s="3">
        <f>Table1[[#This Row],[Revenue]]-Table1[[#This Row],[COGS]]</f>
        <v>17000</v>
      </c>
      <c r="Q891" s="1">
        <v>890</v>
      </c>
    </row>
    <row r="892" spans="1:17">
      <c r="A892" t="s">
        <v>151</v>
      </c>
      <c r="B892" t="str">
        <f>TEXT(Table1[[#This Row],[Date]],"MMMM")</f>
        <v>February</v>
      </c>
      <c r="C892" t="str">
        <f>TEXT(Table1[[#This Row],[Date]],"DDDD")</f>
        <v>Tuesday</v>
      </c>
      <c r="D892" t="s">
        <v>44</v>
      </c>
      <c r="E892" t="s">
        <v>45</v>
      </c>
      <c r="F892" t="s">
        <v>29</v>
      </c>
      <c r="G892" t="s">
        <v>37</v>
      </c>
      <c r="H892" t="s">
        <v>67</v>
      </c>
      <c r="I892" t="s">
        <v>51</v>
      </c>
      <c r="J892" s="3">
        <v>420000</v>
      </c>
      <c r="K892">
        <v>9</v>
      </c>
      <c r="L892" t="s">
        <v>33</v>
      </c>
      <c r="M892" s="3">
        <v>336000</v>
      </c>
      <c r="N892" s="3">
        <f>Table1[[#This Row],[Unit Price]]*Table1[[#This Row],[Quantity]]</f>
        <v>3780000</v>
      </c>
      <c r="O892" s="3">
        <f>Table1[[#This Row],[Cost Price]]*Table1[[#This Row],[Quantity]]</f>
        <v>3024000</v>
      </c>
      <c r="P892" s="3">
        <f>Table1[[#This Row],[Revenue]]-Table1[[#This Row],[COGS]]</f>
        <v>756000</v>
      </c>
      <c r="Q892" s="1">
        <v>891</v>
      </c>
    </row>
    <row r="893" spans="1:17">
      <c r="A893" t="s">
        <v>128</v>
      </c>
      <c r="B893" t="str">
        <f>TEXT(Table1[[#This Row],[Date]],"MMMM")</f>
        <v>March</v>
      </c>
      <c r="C893" t="str">
        <f>TEXT(Table1[[#This Row],[Date]],"DDDD")</f>
        <v>Friday</v>
      </c>
      <c r="D893" t="s">
        <v>49</v>
      </c>
      <c r="E893" t="s">
        <v>36</v>
      </c>
      <c r="F893" t="s">
        <v>29</v>
      </c>
      <c r="G893" t="s">
        <v>37</v>
      </c>
      <c r="H893" t="s">
        <v>73</v>
      </c>
      <c r="I893" t="s">
        <v>39</v>
      </c>
      <c r="J893" s="3">
        <v>220000</v>
      </c>
      <c r="K893">
        <v>2</v>
      </c>
      <c r="L893" t="s">
        <v>69</v>
      </c>
      <c r="M893" s="3">
        <v>176000</v>
      </c>
      <c r="N893" s="3">
        <f>Table1[[#This Row],[Unit Price]]*Table1[[#This Row],[Quantity]]</f>
        <v>440000</v>
      </c>
      <c r="O893" s="3">
        <f>Table1[[#This Row],[Cost Price]]*Table1[[#This Row],[Quantity]]</f>
        <v>352000</v>
      </c>
      <c r="P893" s="3">
        <f>Table1[[#This Row],[Revenue]]-Table1[[#This Row],[COGS]]</f>
        <v>88000</v>
      </c>
      <c r="Q893" s="1">
        <v>892</v>
      </c>
    </row>
    <row r="894" spans="1:17">
      <c r="A894" t="s">
        <v>171</v>
      </c>
      <c r="B894" t="str">
        <f>TEXT(Table1[[#This Row],[Date]],"MMMM")</f>
        <v>March</v>
      </c>
      <c r="C894" t="str">
        <f>TEXT(Table1[[#This Row],[Date]],"DDDD")</f>
        <v>Monday</v>
      </c>
      <c r="D894" t="s">
        <v>27</v>
      </c>
      <c r="E894" t="s">
        <v>45</v>
      </c>
      <c r="F894" t="s">
        <v>41</v>
      </c>
      <c r="G894" t="s">
        <v>37</v>
      </c>
      <c r="H894" t="s">
        <v>73</v>
      </c>
      <c r="I894" t="s">
        <v>39</v>
      </c>
      <c r="J894" s="3">
        <v>220000</v>
      </c>
      <c r="K894">
        <v>8</v>
      </c>
      <c r="L894" t="s">
        <v>65</v>
      </c>
      <c r="M894" s="3">
        <v>176000</v>
      </c>
      <c r="N894" s="3">
        <f>Table1[[#This Row],[Unit Price]]*Table1[[#This Row],[Quantity]]</f>
        <v>1760000</v>
      </c>
      <c r="O894" s="3">
        <f>Table1[[#This Row],[Cost Price]]*Table1[[#This Row],[Quantity]]</f>
        <v>1408000</v>
      </c>
      <c r="P894" s="3">
        <f>Table1[[#This Row],[Revenue]]-Table1[[#This Row],[COGS]]</f>
        <v>352000</v>
      </c>
      <c r="Q894" s="1">
        <v>893</v>
      </c>
    </row>
    <row r="895" spans="1:17">
      <c r="A895" t="s">
        <v>88</v>
      </c>
      <c r="B895" t="str">
        <f>TEXT(Table1[[#This Row],[Date]],"MMMM")</f>
        <v>February</v>
      </c>
      <c r="C895" t="str">
        <f>TEXT(Table1[[#This Row],[Date]],"DDDD")</f>
        <v>Monday</v>
      </c>
      <c r="D895" t="s">
        <v>49</v>
      </c>
      <c r="E895" t="s">
        <v>28</v>
      </c>
      <c r="F895" t="s">
        <v>41</v>
      </c>
      <c r="G895" t="s">
        <v>30</v>
      </c>
      <c r="H895" t="s">
        <v>38</v>
      </c>
      <c r="I895" t="s">
        <v>39</v>
      </c>
      <c r="J895" s="3">
        <v>30000</v>
      </c>
      <c r="K895">
        <v>9</v>
      </c>
      <c r="L895" t="s">
        <v>33</v>
      </c>
      <c r="M895" s="3">
        <v>24000</v>
      </c>
      <c r="N895" s="3">
        <f>Table1[[#This Row],[Unit Price]]*Table1[[#This Row],[Quantity]]</f>
        <v>270000</v>
      </c>
      <c r="O895" s="3">
        <f>Table1[[#This Row],[Cost Price]]*Table1[[#This Row],[Quantity]]</f>
        <v>216000</v>
      </c>
      <c r="P895" s="3">
        <f>Table1[[#This Row],[Revenue]]-Table1[[#This Row],[COGS]]</f>
        <v>54000</v>
      </c>
      <c r="Q895" s="1">
        <v>894</v>
      </c>
    </row>
    <row r="896" spans="1:17">
      <c r="A896" t="s">
        <v>90</v>
      </c>
      <c r="B896" t="str">
        <f>TEXT(Table1[[#This Row],[Date]],"MMMM")</f>
        <v>February</v>
      </c>
      <c r="C896" t="str">
        <f>TEXT(Table1[[#This Row],[Date]],"DDDD")</f>
        <v>Tuesday</v>
      </c>
      <c r="D896" t="s">
        <v>49</v>
      </c>
      <c r="E896" t="s">
        <v>53</v>
      </c>
      <c r="F896" t="s">
        <v>41</v>
      </c>
      <c r="G896" t="s">
        <v>30</v>
      </c>
      <c r="H896" t="s">
        <v>56</v>
      </c>
      <c r="I896" t="s">
        <v>32</v>
      </c>
      <c r="J896" s="3">
        <v>320000</v>
      </c>
      <c r="K896">
        <v>3</v>
      </c>
      <c r="L896" t="s">
        <v>65</v>
      </c>
      <c r="M896" s="3">
        <v>256000</v>
      </c>
      <c r="N896" s="3">
        <f>Table1[[#This Row],[Unit Price]]*Table1[[#This Row],[Quantity]]</f>
        <v>960000</v>
      </c>
      <c r="O896" s="3">
        <f>Table1[[#This Row],[Cost Price]]*Table1[[#This Row],[Quantity]]</f>
        <v>768000</v>
      </c>
      <c r="P896" s="3">
        <f>Table1[[#This Row],[Revenue]]-Table1[[#This Row],[COGS]]</f>
        <v>192000</v>
      </c>
      <c r="Q896" s="1">
        <v>895</v>
      </c>
    </row>
    <row r="897" spans="1:17">
      <c r="A897" t="s">
        <v>98</v>
      </c>
      <c r="B897" t="str">
        <f>TEXT(Table1[[#This Row],[Date]],"MMMM")</f>
        <v>January</v>
      </c>
      <c r="C897" t="str">
        <f>TEXT(Table1[[#This Row],[Date]],"DDDD")</f>
        <v>Friday</v>
      </c>
      <c r="D897" t="s">
        <v>49</v>
      </c>
      <c r="E897" t="s">
        <v>28</v>
      </c>
      <c r="F897" t="s">
        <v>29</v>
      </c>
      <c r="G897" t="s">
        <v>30</v>
      </c>
      <c r="H897" t="s">
        <v>38</v>
      </c>
      <c r="I897" t="s">
        <v>39</v>
      </c>
      <c r="J897" s="3">
        <v>30000</v>
      </c>
      <c r="K897">
        <v>6</v>
      </c>
      <c r="L897" t="s">
        <v>58</v>
      </c>
      <c r="M897" s="3">
        <v>24000</v>
      </c>
      <c r="N897" s="3">
        <f>Table1[[#This Row],[Unit Price]]*Table1[[#This Row],[Quantity]]</f>
        <v>180000</v>
      </c>
      <c r="O897" s="3">
        <f>Table1[[#This Row],[Cost Price]]*Table1[[#This Row],[Quantity]]</f>
        <v>144000</v>
      </c>
      <c r="P897" s="3">
        <f>Table1[[#This Row],[Revenue]]-Table1[[#This Row],[COGS]]</f>
        <v>36000</v>
      </c>
      <c r="Q897" s="1">
        <v>896</v>
      </c>
    </row>
    <row r="898" spans="1:17">
      <c r="A898" t="s">
        <v>72</v>
      </c>
      <c r="B898" t="str">
        <f>TEXT(Table1[[#This Row],[Date]],"MMMM")</f>
        <v>February</v>
      </c>
      <c r="C898" t="str">
        <f>TEXT(Table1[[#This Row],[Date]],"DDDD")</f>
        <v>Wednesday</v>
      </c>
      <c r="D898" t="s">
        <v>49</v>
      </c>
      <c r="E898" t="s">
        <v>45</v>
      </c>
      <c r="F898" t="s">
        <v>41</v>
      </c>
      <c r="G898" t="s">
        <v>30</v>
      </c>
      <c r="H898" t="s">
        <v>46</v>
      </c>
      <c r="I898" t="s">
        <v>39</v>
      </c>
      <c r="J898" s="3">
        <v>60000</v>
      </c>
      <c r="K898">
        <v>7</v>
      </c>
      <c r="L898" t="s">
        <v>47</v>
      </c>
      <c r="M898" s="3">
        <v>48000</v>
      </c>
      <c r="N898" s="3">
        <f>Table1[[#This Row],[Unit Price]]*Table1[[#This Row],[Quantity]]</f>
        <v>420000</v>
      </c>
      <c r="O898" s="3">
        <f>Table1[[#This Row],[Cost Price]]*Table1[[#This Row],[Quantity]]</f>
        <v>336000</v>
      </c>
      <c r="P898" s="3">
        <f>Table1[[#This Row],[Revenue]]-Table1[[#This Row],[COGS]]</f>
        <v>84000</v>
      </c>
      <c r="Q898" s="1">
        <v>897</v>
      </c>
    </row>
    <row r="899" spans="1:17">
      <c r="A899" t="s">
        <v>97</v>
      </c>
      <c r="B899" t="str">
        <f>TEXT(Table1[[#This Row],[Date]],"MMMM")</f>
        <v>January</v>
      </c>
      <c r="C899" t="str">
        <f>TEXT(Table1[[#This Row],[Date]],"DDDD")</f>
        <v>Sunday</v>
      </c>
      <c r="D899" t="s">
        <v>44</v>
      </c>
      <c r="E899" t="s">
        <v>45</v>
      </c>
      <c r="F899" t="s">
        <v>29</v>
      </c>
      <c r="G899" t="s">
        <v>30</v>
      </c>
      <c r="H899" t="s">
        <v>54</v>
      </c>
      <c r="I899" t="s">
        <v>39</v>
      </c>
      <c r="J899" s="3">
        <v>180000</v>
      </c>
      <c r="K899">
        <v>2</v>
      </c>
      <c r="L899" t="s">
        <v>58</v>
      </c>
      <c r="M899" s="3">
        <v>144000</v>
      </c>
      <c r="N899" s="3">
        <f>Table1[[#This Row],[Unit Price]]*Table1[[#This Row],[Quantity]]</f>
        <v>360000</v>
      </c>
      <c r="O899" s="3">
        <f>Table1[[#This Row],[Cost Price]]*Table1[[#This Row],[Quantity]]</f>
        <v>288000</v>
      </c>
      <c r="P899" s="3">
        <f>Table1[[#This Row],[Revenue]]-Table1[[#This Row],[COGS]]</f>
        <v>72000</v>
      </c>
      <c r="Q899" s="1">
        <v>898</v>
      </c>
    </row>
    <row r="900" spans="1:17">
      <c r="A900" t="s">
        <v>52</v>
      </c>
      <c r="B900" t="str">
        <f>TEXT(Table1[[#This Row],[Date]],"MMMM")</f>
        <v>March</v>
      </c>
      <c r="C900" t="str">
        <f>TEXT(Table1[[#This Row],[Date]],"DDDD")</f>
        <v>Saturday</v>
      </c>
      <c r="D900" t="s">
        <v>35</v>
      </c>
      <c r="E900" t="s">
        <v>53</v>
      </c>
      <c r="F900" t="s">
        <v>41</v>
      </c>
      <c r="G900" t="s">
        <v>37</v>
      </c>
      <c r="H900" t="s">
        <v>38</v>
      </c>
      <c r="I900" t="s">
        <v>39</v>
      </c>
      <c r="J900" s="3">
        <v>30000</v>
      </c>
      <c r="K900">
        <v>5</v>
      </c>
      <c r="L900" t="s">
        <v>33</v>
      </c>
      <c r="M900" s="3">
        <v>24000</v>
      </c>
      <c r="N900" s="3">
        <f>Table1[[#This Row],[Unit Price]]*Table1[[#This Row],[Quantity]]</f>
        <v>150000</v>
      </c>
      <c r="O900" s="3">
        <f>Table1[[#This Row],[Cost Price]]*Table1[[#This Row],[Quantity]]</f>
        <v>120000</v>
      </c>
      <c r="P900" s="3">
        <f>Table1[[#This Row],[Revenue]]-Table1[[#This Row],[COGS]]</f>
        <v>30000</v>
      </c>
      <c r="Q900" s="1">
        <v>899</v>
      </c>
    </row>
    <row r="901" spans="1:17">
      <c r="A901" t="s">
        <v>175</v>
      </c>
      <c r="B901" t="str">
        <f>TEXT(Table1[[#This Row],[Date]],"MMMM")</f>
        <v>January</v>
      </c>
      <c r="C901" t="str">
        <f>TEXT(Table1[[#This Row],[Date]],"DDDD")</f>
        <v>Wednesday</v>
      </c>
      <c r="D901" t="s">
        <v>27</v>
      </c>
      <c r="E901" t="s">
        <v>36</v>
      </c>
      <c r="F901" t="s">
        <v>41</v>
      </c>
      <c r="G901" t="s">
        <v>37</v>
      </c>
      <c r="H901" t="s">
        <v>62</v>
      </c>
      <c r="I901" t="s">
        <v>51</v>
      </c>
      <c r="J901" s="3">
        <v>150000</v>
      </c>
      <c r="K901">
        <v>2</v>
      </c>
      <c r="L901" t="s">
        <v>65</v>
      </c>
      <c r="M901" s="3">
        <v>120000</v>
      </c>
      <c r="N901" s="3">
        <f>Table1[[#This Row],[Unit Price]]*Table1[[#This Row],[Quantity]]</f>
        <v>300000</v>
      </c>
      <c r="O901" s="3">
        <f>Table1[[#This Row],[Cost Price]]*Table1[[#This Row],[Quantity]]</f>
        <v>240000</v>
      </c>
      <c r="P901" s="3">
        <f>Table1[[#This Row],[Revenue]]-Table1[[#This Row],[COGS]]</f>
        <v>60000</v>
      </c>
      <c r="Q901" s="1">
        <v>900</v>
      </c>
    </row>
    <row r="902" spans="1:17">
      <c r="A902" t="s">
        <v>123</v>
      </c>
      <c r="B902" t="str">
        <f>TEXT(Table1[[#This Row],[Date]],"MMMM")</f>
        <v>April</v>
      </c>
      <c r="C902" t="str">
        <f>TEXT(Table1[[#This Row],[Date]],"DDDD")</f>
        <v>Monday</v>
      </c>
      <c r="D902" t="s">
        <v>44</v>
      </c>
      <c r="E902" t="s">
        <v>28</v>
      </c>
      <c r="F902" t="s">
        <v>29</v>
      </c>
      <c r="G902" t="s">
        <v>30</v>
      </c>
      <c r="H902" t="s">
        <v>38</v>
      </c>
      <c r="I902" t="s">
        <v>39</v>
      </c>
      <c r="J902" s="3">
        <v>30000</v>
      </c>
      <c r="K902">
        <v>9</v>
      </c>
      <c r="L902" t="s">
        <v>69</v>
      </c>
      <c r="M902" s="3">
        <v>24000</v>
      </c>
      <c r="N902" s="3">
        <f>Table1[[#This Row],[Unit Price]]*Table1[[#This Row],[Quantity]]</f>
        <v>270000</v>
      </c>
      <c r="O902" s="3">
        <f>Table1[[#This Row],[Cost Price]]*Table1[[#This Row],[Quantity]]</f>
        <v>216000</v>
      </c>
      <c r="P902" s="3">
        <f>Table1[[#This Row],[Revenue]]-Table1[[#This Row],[COGS]]</f>
        <v>54000</v>
      </c>
      <c r="Q902" s="1">
        <v>901</v>
      </c>
    </row>
    <row r="903" spans="1:17">
      <c r="A903" t="s">
        <v>86</v>
      </c>
      <c r="B903" t="str">
        <f>TEXT(Table1[[#This Row],[Date]],"MMMM")</f>
        <v>February</v>
      </c>
      <c r="C903" t="str">
        <f>TEXT(Table1[[#This Row],[Date]],"DDDD")</f>
        <v>Thursday</v>
      </c>
      <c r="D903" t="s">
        <v>44</v>
      </c>
      <c r="E903" t="s">
        <v>45</v>
      </c>
      <c r="F903" t="s">
        <v>41</v>
      </c>
      <c r="G903" t="s">
        <v>30</v>
      </c>
      <c r="H903" t="s">
        <v>62</v>
      </c>
      <c r="I903" t="s">
        <v>51</v>
      </c>
      <c r="J903" s="3">
        <v>150000</v>
      </c>
      <c r="K903">
        <v>5</v>
      </c>
      <c r="L903" t="s">
        <v>58</v>
      </c>
      <c r="M903" s="3">
        <v>120000</v>
      </c>
      <c r="N903" s="3">
        <f>Table1[[#This Row],[Unit Price]]*Table1[[#This Row],[Quantity]]</f>
        <v>750000</v>
      </c>
      <c r="O903" s="3">
        <f>Table1[[#This Row],[Cost Price]]*Table1[[#This Row],[Quantity]]</f>
        <v>600000</v>
      </c>
      <c r="P903" s="3">
        <f>Table1[[#This Row],[Revenue]]-Table1[[#This Row],[COGS]]</f>
        <v>150000</v>
      </c>
      <c r="Q903" s="1">
        <v>902</v>
      </c>
    </row>
    <row r="904" spans="1:17">
      <c r="A904" t="s">
        <v>176</v>
      </c>
      <c r="B904" t="str">
        <f>TEXT(Table1[[#This Row],[Date]],"MMMM")</f>
        <v>January</v>
      </c>
      <c r="C904" t="str">
        <f>TEXT(Table1[[#This Row],[Date]],"DDDD")</f>
        <v>Saturday</v>
      </c>
      <c r="D904" t="s">
        <v>44</v>
      </c>
      <c r="E904" t="s">
        <v>45</v>
      </c>
      <c r="F904" t="s">
        <v>29</v>
      </c>
      <c r="G904" t="s">
        <v>37</v>
      </c>
      <c r="H904" t="s">
        <v>46</v>
      </c>
      <c r="I904" t="s">
        <v>39</v>
      </c>
      <c r="J904" s="3">
        <v>60000</v>
      </c>
      <c r="K904">
        <v>8</v>
      </c>
      <c r="L904" t="s">
        <v>69</v>
      </c>
      <c r="M904" s="3">
        <v>48000</v>
      </c>
      <c r="N904" s="3">
        <f>Table1[[#This Row],[Unit Price]]*Table1[[#This Row],[Quantity]]</f>
        <v>480000</v>
      </c>
      <c r="O904" s="3">
        <f>Table1[[#This Row],[Cost Price]]*Table1[[#This Row],[Quantity]]</f>
        <v>384000</v>
      </c>
      <c r="P904" s="3">
        <f>Table1[[#This Row],[Revenue]]-Table1[[#This Row],[COGS]]</f>
        <v>96000</v>
      </c>
      <c r="Q904" s="1">
        <v>903</v>
      </c>
    </row>
    <row r="905" spans="1:17">
      <c r="A905" t="s">
        <v>114</v>
      </c>
      <c r="B905" t="str">
        <f>TEXT(Table1[[#This Row],[Date]],"MMMM")</f>
        <v>April</v>
      </c>
      <c r="C905" t="str">
        <f>TEXT(Table1[[#This Row],[Date]],"DDDD")</f>
        <v>Sunday</v>
      </c>
      <c r="D905" t="s">
        <v>35</v>
      </c>
      <c r="E905" t="s">
        <v>36</v>
      </c>
      <c r="F905" t="s">
        <v>29</v>
      </c>
      <c r="G905" t="s">
        <v>30</v>
      </c>
      <c r="H905" t="s">
        <v>62</v>
      </c>
      <c r="I905" t="s">
        <v>51</v>
      </c>
      <c r="J905" s="3">
        <v>150000</v>
      </c>
      <c r="K905">
        <v>8</v>
      </c>
      <c r="L905" t="s">
        <v>65</v>
      </c>
      <c r="M905" s="3">
        <v>120000</v>
      </c>
      <c r="N905" s="3">
        <f>Table1[[#This Row],[Unit Price]]*Table1[[#This Row],[Quantity]]</f>
        <v>1200000</v>
      </c>
      <c r="O905" s="3">
        <f>Table1[[#This Row],[Cost Price]]*Table1[[#This Row],[Quantity]]</f>
        <v>960000</v>
      </c>
      <c r="P905" s="3">
        <f>Table1[[#This Row],[Revenue]]-Table1[[#This Row],[COGS]]</f>
        <v>240000</v>
      </c>
      <c r="Q905" s="1">
        <v>904</v>
      </c>
    </row>
    <row r="906" spans="1:17">
      <c r="A906" t="s">
        <v>87</v>
      </c>
      <c r="B906" t="str">
        <f>TEXT(Table1[[#This Row],[Date]],"MMMM")</f>
        <v>March</v>
      </c>
      <c r="C906" t="str">
        <f>TEXT(Table1[[#This Row],[Date]],"DDDD")</f>
        <v>Thursday</v>
      </c>
      <c r="D906" t="s">
        <v>35</v>
      </c>
      <c r="E906" t="s">
        <v>45</v>
      </c>
      <c r="F906" t="s">
        <v>29</v>
      </c>
      <c r="G906" t="s">
        <v>37</v>
      </c>
      <c r="H906" t="s">
        <v>31</v>
      </c>
      <c r="I906" t="s">
        <v>32</v>
      </c>
      <c r="J906" s="3">
        <v>85000</v>
      </c>
      <c r="K906">
        <v>3</v>
      </c>
      <c r="L906" t="s">
        <v>69</v>
      </c>
      <c r="M906" s="3">
        <v>68000</v>
      </c>
      <c r="N906" s="3">
        <f>Table1[[#This Row],[Unit Price]]*Table1[[#This Row],[Quantity]]</f>
        <v>255000</v>
      </c>
      <c r="O906" s="3">
        <f>Table1[[#This Row],[Cost Price]]*Table1[[#This Row],[Quantity]]</f>
        <v>204000</v>
      </c>
      <c r="P906" s="3">
        <f>Table1[[#This Row],[Revenue]]-Table1[[#This Row],[COGS]]</f>
        <v>51000</v>
      </c>
      <c r="Q906" s="1">
        <v>905</v>
      </c>
    </row>
    <row r="907" spans="1:17">
      <c r="A907" t="s">
        <v>129</v>
      </c>
      <c r="B907" t="str">
        <f>TEXT(Table1[[#This Row],[Date]],"MMMM")</f>
        <v>March</v>
      </c>
      <c r="C907" t="str">
        <f>TEXT(Table1[[#This Row],[Date]],"DDDD")</f>
        <v>Tuesday</v>
      </c>
      <c r="D907" t="s">
        <v>44</v>
      </c>
      <c r="E907" t="s">
        <v>28</v>
      </c>
      <c r="F907" t="s">
        <v>41</v>
      </c>
      <c r="G907" t="s">
        <v>30</v>
      </c>
      <c r="H907" t="s">
        <v>54</v>
      </c>
      <c r="I907" t="s">
        <v>39</v>
      </c>
      <c r="J907" s="3">
        <v>180000</v>
      </c>
      <c r="K907">
        <v>4</v>
      </c>
      <c r="L907" t="s">
        <v>65</v>
      </c>
      <c r="M907" s="3">
        <v>144000</v>
      </c>
      <c r="N907" s="3">
        <f>Table1[[#This Row],[Unit Price]]*Table1[[#This Row],[Quantity]]</f>
        <v>720000</v>
      </c>
      <c r="O907" s="3">
        <f>Table1[[#This Row],[Cost Price]]*Table1[[#This Row],[Quantity]]</f>
        <v>576000</v>
      </c>
      <c r="P907" s="3">
        <f>Table1[[#This Row],[Revenue]]-Table1[[#This Row],[COGS]]</f>
        <v>144000</v>
      </c>
      <c r="Q907" s="1">
        <v>906</v>
      </c>
    </row>
    <row r="908" spans="1:17">
      <c r="A908" t="s">
        <v>166</v>
      </c>
      <c r="B908" t="str">
        <f>TEXT(Table1[[#This Row],[Date]],"MMMM")</f>
        <v>January</v>
      </c>
      <c r="C908" t="str">
        <f>TEXT(Table1[[#This Row],[Date]],"DDDD")</f>
        <v>Thursday</v>
      </c>
      <c r="D908" t="s">
        <v>49</v>
      </c>
      <c r="E908" t="s">
        <v>28</v>
      </c>
      <c r="F908" t="s">
        <v>29</v>
      </c>
      <c r="G908" t="s">
        <v>30</v>
      </c>
      <c r="H908" t="s">
        <v>67</v>
      </c>
      <c r="I908" t="s">
        <v>51</v>
      </c>
      <c r="J908" s="3">
        <v>420000</v>
      </c>
      <c r="K908">
        <v>7</v>
      </c>
      <c r="L908" t="s">
        <v>42</v>
      </c>
      <c r="M908" s="3">
        <v>336000</v>
      </c>
      <c r="N908" s="3">
        <f>Table1[[#This Row],[Unit Price]]*Table1[[#This Row],[Quantity]]</f>
        <v>2940000</v>
      </c>
      <c r="O908" s="3">
        <f>Table1[[#This Row],[Cost Price]]*Table1[[#This Row],[Quantity]]</f>
        <v>2352000</v>
      </c>
      <c r="P908" s="3">
        <f>Table1[[#This Row],[Revenue]]-Table1[[#This Row],[COGS]]</f>
        <v>588000</v>
      </c>
      <c r="Q908" s="1">
        <v>907</v>
      </c>
    </row>
    <row r="909" spans="1:17">
      <c r="A909" t="s">
        <v>146</v>
      </c>
      <c r="B909" t="str">
        <f>TEXT(Table1[[#This Row],[Date]],"MMMM")</f>
        <v>January</v>
      </c>
      <c r="C909" t="str">
        <f>TEXT(Table1[[#This Row],[Date]],"DDDD")</f>
        <v>Tuesday</v>
      </c>
      <c r="D909" t="s">
        <v>35</v>
      </c>
      <c r="E909" t="s">
        <v>36</v>
      </c>
      <c r="F909" t="s">
        <v>29</v>
      </c>
      <c r="G909" t="s">
        <v>37</v>
      </c>
      <c r="H909" t="s">
        <v>46</v>
      </c>
      <c r="I909" t="s">
        <v>39</v>
      </c>
      <c r="J909" s="3">
        <v>60000</v>
      </c>
      <c r="K909">
        <v>8</v>
      </c>
      <c r="L909" t="s">
        <v>42</v>
      </c>
      <c r="M909" s="3">
        <v>48000</v>
      </c>
      <c r="N909" s="3">
        <f>Table1[[#This Row],[Unit Price]]*Table1[[#This Row],[Quantity]]</f>
        <v>480000</v>
      </c>
      <c r="O909" s="3">
        <f>Table1[[#This Row],[Cost Price]]*Table1[[#This Row],[Quantity]]</f>
        <v>384000</v>
      </c>
      <c r="P909" s="3">
        <f>Table1[[#This Row],[Revenue]]-Table1[[#This Row],[COGS]]</f>
        <v>96000</v>
      </c>
      <c r="Q909" s="1">
        <v>908</v>
      </c>
    </row>
    <row r="910" spans="1:17">
      <c r="A910" t="s">
        <v>105</v>
      </c>
      <c r="B910" t="str">
        <f>TEXT(Table1[[#This Row],[Date]],"MMMM")</f>
        <v>March</v>
      </c>
      <c r="C910" t="str">
        <f>TEXT(Table1[[#This Row],[Date]],"DDDD")</f>
        <v>Friday</v>
      </c>
      <c r="D910" t="s">
        <v>44</v>
      </c>
      <c r="E910" t="s">
        <v>45</v>
      </c>
      <c r="F910" t="s">
        <v>29</v>
      </c>
      <c r="G910" t="s">
        <v>37</v>
      </c>
      <c r="H910" t="s">
        <v>50</v>
      </c>
      <c r="I910" t="s">
        <v>51</v>
      </c>
      <c r="J910" s="3">
        <v>300000</v>
      </c>
      <c r="K910">
        <v>1</v>
      </c>
      <c r="L910" t="s">
        <v>58</v>
      </c>
      <c r="M910" s="3">
        <v>240000</v>
      </c>
      <c r="N910" s="3">
        <f>Table1[[#This Row],[Unit Price]]*Table1[[#This Row],[Quantity]]</f>
        <v>300000</v>
      </c>
      <c r="O910" s="3">
        <f>Table1[[#This Row],[Cost Price]]*Table1[[#This Row],[Quantity]]</f>
        <v>240000</v>
      </c>
      <c r="P910" s="3">
        <f>Table1[[#This Row],[Revenue]]-Table1[[#This Row],[COGS]]</f>
        <v>60000</v>
      </c>
      <c r="Q910" s="1">
        <v>909</v>
      </c>
    </row>
    <row r="911" spans="1:17">
      <c r="A911" t="s">
        <v>149</v>
      </c>
      <c r="B911" t="str">
        <f>TEXT(Table1[[#This Row],[Date]],"MMMM")</f>
        <v>April</v>
      </c>
      <c r="C911" t="str">
        <f>TEXT(Table1[[#This Row],[Date]],"DDDD")</f>
        <v>Saturday</v>
      </c>
      <c r="D911" t="s">
        <v>35</v>
      </c>
      <c r="E911" t="s">
        <v>45</v>
      </c>
      <c r="F911" t="s">
        <v>29</v>
      </c>
      <c r="G911" t="s">
        <v>30</v>
      </c>
      <c r="H911" t="s">
        <v>38</v>
      </c>
      <c r="I911" t="s">
        <v>39</v>
      </c>
      <c r="J911" s="3">
        <v>30000</v>
      </c>
      <c r="K911">
        <v>6</v>
      </c>
      <c r="L911" t="s">
        <v>58</v>
      </c>
      <c r="M911" s="3">
        <v>24000</v>
      </c>
      <c r="N911" s="3">
        <f>Table1[[#This Row],[Unit Price]]*Table1[[#This Row],[Quantity]]</f>
        <v>180000</v>
      </c>
      <c r="O911" s="3">
        <f>Table1[[#This Row],[Cost Price]]*Table1[[#This Row],[Quantity]]</f>
        <v>144000</v>
      </c>
      <c r="P911" s="3">
        <f>Table1[[#This Row],[Revenue]]-Table1[[#This Row],[COGS]]</f>
        <v>36000</v>
      </c>
      <c r="Q911" s="1">
        <v>910</v>
      </c>
    </row>
    <row r="912" spans="1:17">
      <c r="A912" t="s">
        <v>150</v>
      </c>
      <c r="B912" t="str">
        <f>TEXT(Table1[[#This Row],[Date]],"MMMM")</f>
        <v>January</v>
      </c>
      <c r="C912" t="str">
        <f>TEXT(Table1[[#This Row],[Date]],"DDDD")</f>
        <v>Sunday</v>
      </c>
      <c r="D912" t="s">
        <v>49</v>
      </c>
      <c r="E912" t="s">
        <v>36</v>
      </c>
      <c r="F912" t="s">
        <v>41</v>
      </c>
      <c r="G912" t="s">
        <v>37</v>
      </c>
      <c r="H912" t="s">
        <v>71</v>
      </c>
      <c r="I912" t="s">
        <v>51</v>
      </c>
      <c r="J912" s="3">
        <v>250000</v>
      </c>
      <c r="K912">
        <v>9</v>
      </c>
      <c r="L912" t="s">
        <v>65</v>
      </c>
      <c r="M912" s="3">
        <v>200000</v>
      </c>
      <c r="N912" s="3">
        <f>Table1[[#This Row],[Unit Price]]*Table1[[#This Row],[Quantity]]</f>
        <v>2250000</v>
      </c>
      <c r="O912" s="3">
        <f>Table1[[#This Row],[Cost Price]]*Table1[[#This Row],[Quantity]]</f>
        <v>1800000</v>
      </c>
      <c r="P912" s="3">
        <f>Table1[[#This Row],[Revenue]]-Table1[[#This Row],[COGS]]</f>
        <v>450000</v>
      </c>
      <c r="Q912" s="1">
        <v>911</v>
      </c>
    </row>
    <row r="913" spans="1:17">
      <c r="A913" t="s">
        <v>57</v>
      </c>
      <c r="B913" t="str">
        <f>TEXT(Table1[[#This Row],[Date]],"MMMM")</f>
        <v>February</v>
      </c>
      <c r="C913" t="str">
        <f>TEXT(Table1[[#This Row],[Date]],"DDDD")</f>
        <v>Thursday</v>
      </c>
      <c r="D913" t="s">
        <v>35</v>
      </c>
      <c r="E913" t="s">
        <v>45</v>
      </c>
      <c r="F913" t="s">
        <v>41</v>
      </c>
      <c r="G913" t="s">
        <v>37</v>
      </c>
      <c r="H913" t="s">
        <v>67</v>
      </c>
      <c r="I913" t="s">
        <v>51</v>
      </c>
      <c r="J913" s="3">
        <v>420000</v>
      </c>
      <c r="K913">
        <v>9</v>
      </c>
      <c r="L913" t="s">
        <v>58</v>
      </c>
      <c r="M913" s="3">
        <v>336000</v>
      </c>
      <c r="N913" s="3">
        <f>Table1[[#This Row],[Unit Price]]*Table1[[#This Row],[Quantity]]</f>
        <v>3780000</v>
      </c>
      <c r="O913" s="3">
        <f>Table1[[#This Row],[Cost Price]]*Table1[[#This Row],[Quantity]]</f>
        <v>3024000</v>
      </c>
      <c r="P913" s="3">
        <f>Table1[[#This Row],[Revenue]]-Table1[[#This Row],[COGS]]</f>
        <v>756000</v>
      </c>
      <c r="Q913" s="1">
        <v>912</v>
      </c>
    </row>
    <row r="914" spans="1:17">
      <c r="A914" t="s">
        <v>135</v>
      </c>
      <c r="B914" t="str">
        <f>TEXT(Table1[[#This Row],[Date]],"MMMM")</f>
        <v>March</v>
      </c>
      <c r="C914" t="str">
        <f>TEXT(Table1[[#This Row],[Date]],"DDDD")</f>
        <v>Sunday</v>
      </c>
      <c r="D914" t="s">
        <v>35</v>
      </c>
      <c r="E914" t="s">
        <v>45</v>
      </c>
      <c r="F914" t="s">
        <v>41</v>
      </c>
      <c r="G914" t="s">
        <v>37</v>
      </c>
      <c r="H914" t="s">
        <v>62</v>
      </c>
      <c r="I914" t="s">
        <v>51</v>
      </c>
      <c r="J914" s="3">
        <v>150000</v>
      </c>
      <c r="K914">
        <v>9</v>
      </c>
      <c r="L914" t="s">
        <v>58</v>
      </c>
      <c r="M914" s="3">
        <v>120000</v>
      </c>
      <c r="N914" s="3">
        <f>Table1[[#This Row],[Unit Price]]*Table1[[#This Row],[Quantity]]</f>
        <v>1350000</v>
      </c>
      <c r="O914" s="3">
        <f>Table1[[#This Row],[Cost Price]]*Table1[[#This Row],[Quantity]]</f>
        <v>1080000</v>
      </c>
      <c r="P914" s="3">
        <f>Table1[[#This Row],[Revenue]]-Table1[[#This Row],[COGS]]</f>
        <v>270000</v>
      </c>
      <c r="Q914" s="1">
        <v>913</v>
      </c>
    </row>
    <row r="915" spans="1:17">
      <c r="A915" t="s">
        <v>154</v>
      </c>
      <c r="B915" t="str">
        <f>TEXT(Table1[[#This Row],[Date]],"MMMM")</f>
        <v>February</v>
      </c>
      <c r="C915" t="str">
        <f>TEXT(Table1[[#This Row],[Date]],"DDDD")</f>
        <v>Saturday</v>
      </c>
      <c r="D915" t="s">
        <v>35</v>
      </c>
      <c r="E915" t="s">
        <v>36</v>
      </c>
      <c r="F915" t="s">
        <v>41</v>
      </c>
      <c r="G915" t="s">
        <v>30</v>
      </c>
      <c r="H915" t="s">
        <v>50</v>
      </c>
      <c r="I915" t="s">
        <v>51</v>
      </c>
      <c r="J915" s="3">
        <v>300000</v>
      </c>
      <c r="K915">
        <v>5</v>
      </c>
      <c r="L915" t="s">
        <v>69</v>
      </c>
      <c r="M915" s="3">
        <v>240000</v>
      </c>
      <c r="N915" s="3">
        <f>Table1[[#This Row],[Unit Price]]*Table1[[#This Row],[Quantity]]</f>
        <v>1500000</v>
      </c>
      <c r="O915" s="3">
        <f>Table1[[#This Row],[Cost Price]]*Table1[[#This Row],[Quantity]]</f>
        <v>1200000</v>
      </c>
      <c r="P915" s="3">
        <f>Table1[[#This Row],[Revenue]]-Table1[[#This Row],[COGS]]</f>
        <v>300000</v>
      </c>
      <c r="Q915" s="1">
        <v>914</v>
      </c>
    </row>
    <row r="916" spans="1:17">
      <c r="A916" t="s">
        <v>60</v>
      </c>
      <c r="B916" t="str">
        <f>TEXT(Table1[[#This Row],[Date]],"MMMM")</f>
        <v>March</v>
      </c>
      <c r="C916" t="str">
        <f>TEXT(Table1[[#This Row],[Date]],"DDDD")</f>
        <v>Wednesday</v>
      </c>
      <c r="D916" t="s">
        <v>49</v>
      </c>
      <c r="E916" t="s">
        <v>53</v>
      </c>
      <c r="F916" t="s">
        <v>29</v>
      </c>
      <c r="G916" t="s">
        <v>30</v>
      </c>
      <c r="H916" t="s">
        <v>38</v>
      </c>
      <c r="I916" t="s">
        <v>39</v>
      </c>
      <c r="J916" s="3">
        <v>30000</v>
      </c>
      <c r="K916">
        <v>4</v>
      </c>
      <c r="L916" t="s">
        <v>58</v>
      </c>
      <c r="M916" s="3">
        <v>24000</v>
      </c>
      <c r="N916" s="3">
        <f>Table1[[#This Row],[Unit Price]]*Table1[[#This Row],[Quantity]]</f>
        <v>120000</v>
      </c>
      <c r="O916" s="3">
        <f>Table1[[#This Row],[Cost Price]]*Table1[[#This Row],[Quantity]]</f>
        <v>96000</v>
      </c>
      <c r="P916" s="3">
        <f>Table1[[#This Row],[Revenue]]-Table1[[#This Row],[COGS]]</f>
        <v>24000</v>
      </c>
      <c r="Q916" s="1">
        <v>915</v>
      </c>
    </row>
    <row r="917" spans="1:17">
      <c r="A917" t="s">
        <v>55</v>
      </c>
      <c r="B917" t="str">
        <f>TEXT(Table1[[#This Row],[Date]],"MMMM")</f>
        <v>March</v>
      </c>
      <c r="C917" t="str">
        <f>TEXT(Table1[[#This Row],[Date]],"DDDD")</f>
        <v>Sunday</v>
      </c>
      <c r="D917" t="s">
        <v>27</v>
      </c>
      <c r="E917" t="s">
        <v>53</v>
      </c>
      <c r="F917" t="s">
        <v>29</v>
      </c>
      <c r="G917" t="s">
        <v>37</v>
      </c>
      <c r="H917" t="s">
        <v>67</v>
      </c>
      <c r="I917" t="s">
        <v>51</v>
      </c>
      <c r="J917" s="3">
        <v>420000</v>
      </c>
      <c r="K917">
        <v>7</v>
      </c>
      <c r="L917" t="s">
        <v>69</v>
      </c>
      <c r="M917" s="3">
        <v>336000</v>
      </c>
      <c r="N917" s="3">
        <f>Table1[[#This Row],[Unit Price]]*Table1[[#This Row],[Quantity]]</f>
        <v>2940000</v>
      </c>
      <c r="O917" s="3">
        <f>Table1[[#This Row],[Cost Price]]*Table1[[#This Row],[Quantity]]</f>
        <v>2352000</v>
      </c>
      <c r="P917" s="3">
        <f>Table1[[#This Row],[Revenue]]-Table1[[#This Row],[COGS]]</f>
        <v>588000</v>
      </c>
      <c r="Q917" s="1">
        <v>916</v>
      </c>
    </row>
    <row r="918" spans="1:17">
      <c r="A918" t="s">
        <v>154</v>
      </c>
      <c r="B918" t="str">
        <f>TEXT(Table1[[#This Row],[Date]],"MMMM")</f>
        <v>February</v>
      </c>
      <c r="C918" t="str">
        <f>TEXT(Table1[[#This Row],[Date]],"DDDD")</f>
        <v>Saturday</v>
      </c>
      <c r="D918" t="s">
        <v>35</v>
      </c>
      <c r="E918" t="s">
        <v>36</v>
      </c>
      <c r="F918" t="s">
        <v>41</v>
      </c>
      <c r="G918" t="s">
        <v>37</v>
      </c>
      <c r="H918" t="s">
        <v>56</v>
      </c>
      <c r="I918" t="s">
        <v>32</v>
      </c>
      <c r="J918" s="3">
        <v>320000</v>
      </c>
      <c r="K918">
        <v>6</v>
      </c>
      <c r="L918" t="s">
        <v>58</v>
      </c>
      <c r="M918" s="3">
        <v>256000</v>
      </c>
      <c r="N918" s="3">
        <f>Table1[[#This Row],[Unit Price]]*Table1[[#This Row],[Quantity]]</f>
        <v>1920000</v>
      </c>
      <c r="O918" s="3">
        <f>Table1[[#This Row],[Cost Price]]*Table1[[#This Row],[Quantity]]</f>
        <v>1536000</v>
      </c>
      <c r="P918" s="3">
        <f>Table1[[#This Row],[Revenue]]-Table1[[#This Row],[COGS]]</f>
        <v>384000</v>
      </c>
      <c r="Q918" s="1">
        <v>917</v>
      </c>
    </row>
    <row r="919" spans="1:17">
      <c r="A919" t="s">
        <v>108</v>
      </c>
      <c r="B919" t="str">
        <f>TEXT(Table1[[#This Row],[Date]],"MMMM")</f>
        <v>April</v>
      </c>
      <c r="C919" t="str">
        <f>TEXT(Table1[[#This Row],[Date]],"DDDD")</f>
        <v>Thursday</v>
      </c>
      <c r="D919" t="s">
        <v>44</v>
      </c>
      <c r="E919" t="s">
        <v>53</v>
      </c>
      <c r="F919" t="s">
        <v>29</v>
      </c>
      <c r="G919" t="s">
        <v>30</v>
      </c>
      <c r="H919" t="s">
        <v>31</v>
      </c>
      <c r="I919" t="s">
        <v>32</v>
      </c>
      <c r="J919" s="3">
        <v>85000</v>
      </c>
      <c r="K919">
        <v>2</v>
      </c>
      <c r="L919" t="s">
        <v>69</v>
      </c>
      <c r="M919" s="3">
        <v>68000</v>
      </c>
      <c r="N919" s="3">
        <f>Table1[[#This Row],[Unit Price]]*Table1[[#This Row],[Quantity]]</f>
        <v>170000</v>
      </c>
      <c r="O919" s="3">
        <f>Table1[[#This Row],[Cost Price]]*Table1[[#This Row],[Quantity]]</f>
        <v>136000</v>
      </c>
      <c r="P919" s="3">
        <f>Table1[[#This Row],[Revenue]]-Table1[[#This Row],[COGS]]</f>
        <v>34000</v>
      </c>
      <c r="Q919" s="1">
        <v>918</v>
      </c>
    </row>
    <row r="920" spans="1:17">
      <c r="A920" t="s">
        <v>100</v>
      </c>
      <c r="B920" t="str">
        <f>TEXT(Table1[[#This Row],[Date]],"MMMM")</f>
        <v>January</v>
      </c>
      <c r="C920" t="str">
        <f>TEXT(Table1[[#This Row],[Date]],"DDDD")</f>
        <v>Monday</v>
      </c>
      <c r="D920" t="s">
        <v>27</v>
      </c>
      <c r="E920" t="s">
        <v>36</v>
      </c>
      <c r="F920" t="s">
        <v>29</v>
      </c>
      <c r="G920" t="s">
        <v>30</v>
      </c>
      <c r="H920" t="s">
        <v>62</v>
      </c>
      <c r="I920" t="s">
        <v>51</v>
      </c>
      <c r="J920" s="3">
        <v>150000</v>
      </c>
      <c r="K920">
        <v>1</v>
      </c>
      <c r="L920" t="s">
        <v>69</v>
      </c>
      <c r="M920" s="3">
        <v>120000</v>
      </c>
      <c r="N920" s="3">
        <f>Table1[[#This Row],[Unit Price]]*Table1[[#This Row],[Quantity]]</f>
        <v>150000</v>
      </c>
      <c r="O920" s="3">
        <f>Table1[[#This Row],[Cost Price]]*Table1[[#This Row],[Quantity]]</f>
        <v>120000</v>
      </c>
      <c r="P920" s="3">
        <f>Table1[[#This Row],[Revenue]]-Table1[[#This Row],[COGS]]</f>
        <v>30000</v>
      </c>
      <c r="Q920" s="1">
        <v>919</v>
      </c>
    </row>
    <row r="921" spans="1:17">
      <c r="A921" t="s">
        <v>125</v>
      </c>
      <c r="B921" t="str">
        <f>TEXT(Table1[[#This Row],[Date]],"MMMM")</f>
        <v>February</v>
      </c>
      <c r="C921" t="str">
        <f>TEXT(Table1[[#This Row],[Date]],"DDDD")</f>
        <v>Tuesday</v>
      </c>
      <c r="D921" t="s">
        <v>27</v>
      </c>
      <c r="E921" t="s">
        <v>28</v>
      </c>
      <c r="F921" t="s">
        <v>41</v>
      </c>
      <c r="G921" t="s">
        <v>37</v>
      </c>
      <c r="H921" t="s">
        <v>31</v>
      </c>
      <c r="I921" t="s">
        <v>32</v>
      </c>
      <c r="J921" s="3">
        <v>85000</v>
      </c>
      <c r="K921">
        <v>2</v>
      </c>
      <c r="L921" t="s">
        <v>65</v>
      </c>
      <c r="M921" s="3">
        <v>68000</v>
      </c>
      <c r="N921" s="3">
        <f>Table1[[#This Row],[Unit Price]]*Table1[[#This Row],[Quantity]]</f>
        <v>170000</v>
      </c>
      <c r="O921" s="3">
        <f>Table1[[#This Row],[Cost Price]]*Table1[[#This Row],[Quantity]]</f>
        <v>136000</v>
      </c>
      <c r="P921" s="3">
        <f>Table1[[#This Row],[Revenue]]-Table1[[#This Row],[COGS]]</f>
        <v>34000</v>
      </c>
      <c r="Q921" s="1">
        <v>920</v>
      </c>
    </row>
    <row r="922" spans="1:17">
      <c r="A922" t="s">
        <v>43</v>
      </c>
      <c r="B922" t="str">
        <f>TEXT(Table1[[#This Row],[Date]],"MMMM")</f>
        <v>April</v>
      </c>
      <c r="C922" t="str">
        <f>TEXT(Table1[[#This Row],[Date]],"DDDD")</f>
        <v>Friday</v>
      </c>
      <c r="D922" t="s">
        <v>27</v>
      </c>
      <c r="E922" t="s">
        <v>53</v>
      </c>
      <c r="F922" t="s">
        <v>41</v>
      </c>
      <c r="G922" t="s">
        <v>30</v>
      </c>
      <c r="H922" t="s">
        <v>31</v>
      </c>
      <c r="I922" t="s">
        <v>32</v>
      </c>
      <c r="J922" s="3">
        <v>85000</v>
      </c>
      <c r="K922">
        <v>1</v>
      </c>
      <c r="L922" t="s">
        <v>47</v>
      </c>
      <c r="M922" s="3">
        <v>68000</v>
      </c>
      <c r="N922" s="3">
        <f>Table1[[#This Row],[Unit Price]]*Table1[[#This Row],[Quantity]]</f>
        <v>85000</v>
      </c>
      <c r="O922" s="3">
        <f>Table1[[#This Row],[Cost Price]]*Table1[[#This Row],[Quantity]]</f>
        <v>68000</v>
      </c>
      <c r="P922" s="3">
        <f>Table1[[#This Row],[Revenue]]-Table1[[#This Row],[COGS]]</f>
        <v>17000</v>
      </c>
      <c r="Q922" s="1">
        <v>921</v>
      </c>
    </row>
    <row r="923" spans="1:17">
      <c r="A923" t="s">
        <v>98</v>
      </c>
      <c r="B923" t="str">
        <f>TEXT(Table1[[#This Row],[Date]],"MMMM")</f>
        <v>January</v>
      </c>
      <c r="C923" t="str">
        <f>TEXT(Table1[[#This Row],[Date]],"DDDD")</f>
        <v>Friday</v>
      </c>
      <c r="D923" t="s">
        <v>49</v>
      </c>
      <c r="E923" t="s">
        <v>45</v>
      </c>
      <c r="F923" t="s">
        <v>29</v>
      </c>
      <c r="G923" t="s">
        <v>30</v>
      </c>
      <c r="H923" t="s">
        <v>54</v>
      </c>
      <c r="I923" t="s">
        <v>39</v>
      </c>
      <c r="J923" s="3">
        <v>180000</v>
      </c>
      <c r="K923">
        <v>4</v>
      </c>
      <c r="L923" t="s">
        <v>69</v>
      </c>
      <c r="M923" s="3">
        <v>144000</v>
      </c>
      <c r="N923" s="3">
        <f>Table1[[#This Row],[Unit Price]]*Table1[[#This Row],[Quantity]]</f>
        <v>720000</v>
      </c>
      <c r="O923" s="3">
        <f>Table1[[#This Row],[Cost Price]]*Table1[[#This Row],[Quantity]]</f>
        <v>576000</v>
      </c>
      <c r="P923" s="3">
        <f>Table1[[#This Row],[Revenue]]-Table1[[#This Row],[COGS]]</f>
        <v>144000</v>
      </c>
      <c r="Q923" s="1">
        <v>922</v>
      </c>
    </row>
    <row r="924" spans="1:17">
      <c r="A924" t="s">
        <v>78</v>
      </c>
      <c r="B924" t="str">
        <f>TEXT(Table1[[#This Row],[Date]],"MMMM")</f>
        <v>April</v>
      </c>
      <c r="C924" t="str">
        <f>TEXT(Table1[[#This Row],[Date]],"DDDD")</f>
        <v>Tuesday</v>
      </c>
      <c r="D924" t="s">
        <v>35</v>
      </c>
      <c r="E924" t="s">
        <v>28</v>
      </c>
      <c r="F924" t="s">
        <v>41</v>
      </c>
      <c r="G924" t="s">
        <v>30</v>
      </c>
      <c r="H924" t="s">
        <v>67</v>
      </c>
      <c r="I924" t="s">
        <v>51</v>
      </c>
      <c r="J924" s="3">
        <v>420000</v>
      </c>
      <c r="K924">
        <v>8</v>
      </c>
      <c r="L924" t="s">
        <v>42</v>
      </c>
      <c r="M924" s="3">
        <v>336000</v>
      </c>
      <c r="N924" s="3">
        <f>Table1[[#This Row],[Unit Price]]*Table1[[#This Row],[Quantity]]</f>
        <v>3360000</v>
      </c>
      <c r="O924" s="3">
        <f>Table1[[#This Row],[Cost Price]]*Table1[[#This Row],[Quantity]]</f>
        <v>2688000</v>
      </c>
      <c r="P924" s="3">
        <f>Table1[[#This Row],[Revenue]]-Table1[[#This Row],[COGS]]</f>
        <v>672000</v>
      </c>
      <c r="Q924" s="1">
        <v>923</v>
      </c>
    </row>
    <row r="925" spans="1:17">
      <c r="A925" t="s">
        <v>120</v>
      </c>
      <c r="B925" t="str">
        <f>TEXT(Table1[[#This Row],[Date]],"MMMM")</f>
        <v>March</v>
      </c>
      <c r="C925" t="str">
        <f>TEXT(Table1[[#This Row],[Date]],"DDDD")</f>
        <v>Thursday</v>
      </c>
      <c r="D925" t="s">
        <v>27</v>
      </c>
      <c r="E925" t="s">
        <v>45</v>
      </c>
      <c r="F925" t="s">
        <v>41</v>
      </c>
      <c r="G925" t="s">
        <v>37</v>
      </c>
      <c r="H925" t="s">
        <v>54</v>
      </c>
      <c r="I925" t="s">
        <v>39</v>
      </c>
      <c r="J925" s="3">
        <v>180000</v>
      </c>
      <c r="K925">
        <v>9</v>
      </c>
      <c r="L925" t="s">
        <v>42</v>
      </c>
      <c r="M925" s="3">
        <v>144000</v>
      </c>
      <c r="N925" s="3">
        <f>Table1[[#This Row],[Unit Price]]*Table1[[#This Row],[Quantity]]</f>
        <v>1620000</v>
      </c>
      <c r="O925" s="3">
        <f>Table1[[#This Row],[Cost Price]]*Table1[[#This Row],[Quantity]]</f>
        <v>1296000</v>
      </c>
      <c r="P925" s="3">
        <f>Table1[[#This Row],[Revenue]]-Table1[[#This Row],[COGS]]</f>
        <v>324000</v>
      </c>
      <c r="Q925" s="1">
        <v>924</v>
      </c>
    </row>
    <row r="926" spans="1:17">
      <c r="A926" t="s">
        <v>158</v>
      </c>
      <c r="B926" t="str">
        <f>TEXT(Table1[[#This Row],[Date]],"MMMM")</f>
        <v>January</v>
      </c>
      <c r="C926" t="str">
        <f>TEXT(Table1[[#This Row],[Date]],"DDDD")</f>
        <v>Saturday</v>
      </c>
      <c r="D926" t="s">
        <v>49</v>
      </c>
      <c r="E926" t="s">
        <v>36</v>
      </c>
      <c r="F926" t="s">
        <v>41</v>
      </c>
      <c r="G926" t="s">
        <v>37</v>
      </c>
      <c r="H926" t="s">
        <v>50</v>
      </c>
      <c r="I926" t="s">
        <v>51</v>
      </c>
      <c r="J926" s="3">
        <v>300000</v>
      </c>
      <c r="K926">
        <v>5</v>
      </c>
      <c r="L926" t="s">
        <v>69</v>
      </c>
      <c r="M926" s="3">
        <v>240000</v>
      </c>
      <c r="N926" s="3">
        <f>Table1[[#This Row],[Unit Price]]*Table1[[#This Row],[Quantity]]</f>
        <v>1500000</v>
      </c>
      <c r="O926" s="3">
        <f>Table1[[#This Row],[Cost Price]]*Table1[[#This Row],[Quantity]]</f>
        <v>1200000</v>
      </c>
      <c r="P926" s="3">
        <f>Table1[[#This Row],[Revenue]]-Table1[[#This Row],[COGS]]</f>
        <v>300000</v>
      </c>
      <c r="Q926" s="1">
        <v>925</v>
      </c>
    </row>
    <row r="927" spans="1:17">
      <c r="A927" t="s">
        <v>170</v>
      </c>
      <c r="B927" t="str">
        <f>TEXT(Table1[[#This Row],[Date]],"MMMM")</f>
        <v>January</v>
      </c>
      <c r="C927" t="str">
        <f>TEXT(Table1[[#This Row],[Date]],"DDDD")</f>
        <v>Sunday</v>
      </c>
      <c r="D927" t="s">
        <v>27</v>
      </c>
      <c r="E927" t="s">
        <v>45</v>
      </c>
      <c r="F927" t="s">
        <v>41</v>
      </c>
      <c r="G927" t="s">
        <v>37</v>
      </c>
      <c r="H927" t="s">
        <v>46</v>
      </c>
      <c r="I927" t="s">
        <v>39</v>
      </c>
      <c r="J927" s="3">
        <v>60000</v>
      </c>
      <c r="K927">
        <v>4</v>
      </c>
      <c r="L927" t="s">
        <v>65</v>
      </c>
      <c r="M927" s="3">
        <v>48000</v>
      </c>
      <c r="N927" s="3">
        <f>Table1[[#This Row],[Unit Price]]*Table1[[#This Row],[Quantity]]</f>
        <v>240000</v>
      </c>
      <c r="O927" s="3">
        <f>Table1[[#This Row],[Cost Price]]*Table1[[#This Row],[Quantity]]</f>
        <v>192000</v>
      </c>
      <c r="P927" s="3">
        <f>Table1[[#This Row],[Revenue]]-Table1[[#This Row],[COGS]]</f>
        <v>48000</v>
      </c>
      <c r="Q927" s="1">
        <v>926</v>
      </c>
    </row>
    <row r="928" spans="1:17">
      <c r="A928" t="s">
        <v>145</v>
      </c>
      <c r="B928" t="str">
        <f>TEXT(Table1[[#This Row],[Date]],"MMMM")</f>
        <v>January</v>
      </c>
      <c r="C928" t="str">
        <f>TEXT(Table1[[#This Row],[Date]],"DDDD")</f>
        <v>Friday</v>
      </c>
      <c r="D928" t="s">
        <v>35</v>
      </c>
      <c r="E928" t="s">
        <v>36</v>
      </c>
      <c r="F928" t="s">
        <v>41</v>
      </c>
      <c r="G928" t="s">
        <v>30</v>
      </c>
      <c r="H928" t="s">
        <v>71</v>
      </c>
      <c r="I928" t="s">
        <v>51</v>
      </c>
      <c r="J928" s="3">
        <v>250000</v>
      </c>
      <c r="K928">
        <v>4</v>
      </c>
      <c r="L928" t="s">
        <v>65</v>
      </c>
      <c r="M928" s="3">
        <v>200000</v>
      </c>
      <c r="N928" s="3">
        <f>Table1[[#This Row],[Unit Price]]*Table1[[#This Row],[Quantity]]</f>
        <v>1000000</v>
      </c>
      <c r="O928" s="3">
        <f>Table1[[#This Row],[Cost Price]]*Table1[[#This Row],[Quantity]]</f>
        <v>800000</v>
      </c>
      <c r="P928" s="3">
        <f>Table1[[#This Row],[Revenue]]-Table1[[#This Row],[COGS]]</f>
        <v>200000</v>
      </c>
      <c r="Q928" s="1">
        <v>927</v>
      </c>
    </row>
    <row r="929" spans="1:17">
      <c r="A929" t="s">
        <v>128</v>
      </c>
      <c r="B929" t="str">
        <f>TEXT(Table1[[#This Row],[Date]],"MMMM")</f>
        <v>March</v>
      </c>
      <c r="C929" t="str">
        <f>TEXT(Table1[[#This Row],[Date]],"DDDD")</f>
        <v>Friday</v>
      </c>
      <c r="D929" t="s">
        <v>49</v>
      </c>
      <c r="E929" t="s">
        <v>28</v>
      </c>
      <c r="F929" t="s">
        <v>29</v>
      </c>
      <c r="G929" t="s">
        <v>37</v>
      </c>
      <c r="H929" t="s">
        <v>73</v>
      </c>
      <c r="I929" t="s">
        <v>39</v>
      </c>
      <c r="J929" s="3">
        <v>220000</v>
      </c>
      <c r="K929">
        <v>6</v>
      </c>
      <c r="L929" t="s">
        <v>69</v>
      </c>
      <c r="M929" s="3">
        <v>176000</v>
      </c>
      <c r="N929" s="3">
        <f>Table1[[#This Row],[Unit Price]]*Table1[[#This Row],[Quantity]]</f>
        <v>1320000</v>
      </c>
      <c r="O929" s="3">
        <f>Table1[[#This Row],[Cost Price]]*Table1[[#This Row],[Quantity]]</f>
        <v>1056000</v>
      </c>
      <c r="P929" s="3">
        <f>Table1[[#This Row],[Revenue]]-Table1[[#This Row],[COGS]]</f>
        <v>264000</v>
      </c>
      <c r="Q929" s="1">
        <v>928</v>
      </c>
    </row>
    <row r="930" spans="1:17">
      <c r="A930" t="s">
        <v>78</v>
      </c>
      <c r="B930" t="str">
        <f>TEXT(Table1[[#This Row],[Date]],"MMMM")</f>
        <v>April</v>
      </c>
      <c r="C930" t="str">
        <f>TEXT(Table1[[#This Row],[Date]],"DDDD")</f>
        <v>Tuesday</v>
      </c>
      <c r="D930" t="s">
        <v>35</v>
      </c>
      <c r="E930" t="s">
        <v>36</v>
      </c>
      <c r="F930" t="s">
        <v>41</v>
      </c>
      <c r="G930" t="s">
        <v>30</v>
      </c>
      <c r="H930" t="s">
        <v>50</v>
      </c>
      <c r="I930" t="s">
        <v>51</v>
      </c>
      <c r="J930" s="3">
        <v>300000</v>
      </c>
      <c r="K930">
        <v>7</v>
      </c>
      <c r="L930" t="s">
        <v>47</v>
      </c>
      <c r="M930" s="3">
        <v>240000</v>
      </c>
      <c r="N930" s="3">
        <f>Table1[[#This Row],[Unit Price]]*Table1[[#This Row],[Quantity]]</f>
        <v>2100000</v>
      </c>
      <c r="O930" s="3">
        <f>Table1[[#This Row],[Cost Price]]*Table1[[#This Row],[Quantity]]</f>
        <v>1680000</v>
      </c>
      <c r="P930" s="3">
        <f>Table1[[#This Row],[Revenue]]-Table1[[#This Row],[COGS]]</f>
        <v>420000</v>
      </c>
      <c r="Q930" s="1">
        <v>929</v>
      </c>
    </row>
    <row r="931" spans="1:17">
      <c r="A931" t="s">
        <v>81</v>
      </c>
      <c r="B931" t="str">
        <f>TEXT(Table1[[#This Row],[Date]],"MMMM")</f>
        <v>March</v>
      </c>
      <c r="C931" t="str">
        <f>TEXT(Table1[[#This Row],[Date]],"DDDD")</f>
        <v>Sunday</v>
      </c>
      <c r="D931" t="s">
        <v>44</v>
      </c>
      <c r="E931" t="s">
        <v>36</v>
      </c>
      <c r="F931" t="s">
        <v>29</v>
      </c>
      <c r="G931" t="s">
        <v>30</v>
      </c>
      <c r="H931" t="s">
        <v>67</v>
      </c>
      <c r="I931" t="s">
        <v>51</v>
      </c>
      <c r="J931" s="3">
        <v>420000</v>
      </c>
      <c r="K931">
        <v>10</v>
      </c>
      <c r="L931" t="s">
        <v>47</v>
      </c>
      <c r="M931" s="3">
        <v>336000</v>
      </c>
      <c r="N931" s="3">
        <f>Table1[[#This Row],[Unit Price]]*Table1[[#This Row],[Quantity]]</f>
        <v>4200000</v>
      </c>
      <c r="O931" s="3">
        <f>Table1[[#This Row],[Cost Price]]*Table1[[#This Row],[Quantity]]</f>
        <v>3360000</v>
      </c>
      <c r="P931" s="3">
        <f>Table1[[#This Row],[Revenue]]-Table1[[#This Row],[COGS]]</f>
        <v>840000</v>
      </c>
      <c r="Q931" s="1">
        <v>930</v>
      </c>
    </row>
    <row r="932" spans="1:17">
      <c r="A932" t="s">
        <v>91</v>
      </c>
      <c r="B932" t="str">
        <f>TEXT(Table1[[#This Row],[Date]],"MMMM")</f>
        <v>February</v>
      </c>
      <c r="C932" t="str">
        <f>TEXT(Table1[[#This Row],[Date]],"DDDD")</f>
        <v>Friday</v>
      </c>
      <c r="D932" t="s">
        <v>27</v>
      </c>
      <c r="E932" t="s">
        <v>36</v>
      </c>
      <c r="F932" t="s">
        <v>41</v>
      </c>
      <c r="G932" t="s">
        <v>37</v>
      </c>
      <c r="H932" t="s">
        <v>38</v>
      </c>
      <c r="I932" t="s">
        <v>39</v>
      </c>
      <c r="J932" s="3">
        <v>30000</v>
      </c>
      <c r="K932">
        <v>7</v>
      </c>
      <c r="L932" t="s">
        <v>47</v>
      </c>
      <c r="M932" s="3">
        <v>24000</v>
      </c>
      <c r="N932" s="3">
        <f>Table1[[#This Row],[Unit Price]]*Table1[[#This Row],[Quantity]]</f>
        <v>210000</v>
      </c>
      <c r="O932" s="3">
        <f>Table1[[#This Row],[Cost Price]]*Table1[[#This Row],[Quantity]]</f>
        <v>168000</v>
      </c>
      <c r="P932" s="3">
        <f>Table1[[#This Row],[Revenue]]-Table1[[#This Row],[COGS]]</f>
        <v>42000</v>
      </c>
      <c r="Q932" s="1">
        <v>931</v>
      </c>
    </row>
    <row r="933" spans="1:17">
      <c r="A933" t="s">
        <v>70</v>
      </c>
      <c r="B933" t="str">
        <f>TEXT(Table1[[#This Row],[Date]],"MMMM")</f>
        <v>April</v>
      </c>
      <c r="C933" t="str">
        <f>TEXT(Table1[[#This Row],[Date]],"DDDD")</f>
        <v>Friday</v>
      </c>
      <c r="D933" t="s">
        <v>49</v>
      </c>
      <c r="E933" t="s">
        <v>36</v>
      </c>
      <c r="F933" t="s">
        <v>41</v>
      </c>
      <c r="G933" t="s">
        <v>30</v>
      </c>
      <c r="H933" t="s">
        <v>73</v>
      </c>
      <c r="I933" t="s">
        <v>39</v>
      </c>
      <c r="J933" s="3">
        <v>220000</v>
      </c>
      <c r="K933">
        <v>8</v>
      </c>
      <c r="L933" t="s">
        <v>65</v>
      </c>
      <c r="M933" s="3">
        <v>176000</v>
      </c>
      <c r="N933" s="3">
        <f>Table1[[#This Row],[Unit Price]]*Table1[[#This Row],[Quantity]]</f>
        <v>1760000</v>
      </c>
      <c r="O933" s="3">
        <f>Table1[[#This Row],[Cost Price]]*Table1[[#This Row],[Quantity]]</f>
        <v>1408000</v>
      </c>
      <c r="P933" s="3">
        <f>Table1[[#This Row],[Revenue]]-Table1[[#This Row],[COGS]]</f>
        <v>352000</v>
      </c>
      <c r="Q933" s="1">
        <v>932</v>
      </c>
    </row>
    <row r="934" spans="1:17">
      <c r="A934" t="s">
        <v>63</v>
      </c>
      <c r="B934" t="str">
        <f>TEXT(Table1[[#This Row],[Date]],"MMMM")</f>
        <v>January</v>
      </c>
      <c r="C934" t="str">
        <f>TEXT(Table1[[#This Row],[Date]],"DDDD")</f>
        <v>Monday</v>
      </c>
      <c r="D934" t="s">
        <v>44</v>
      </c>
      <c r="E934" t="s">
        <v>53</v>
      </c>
      <c r="F934" t="s">
        <v>29</v>
      </c>
      <c r="G934" t="s">
        <v>37</v>
      </c>
      <c r="H934" t="s">
        <v>56</v>
      </c>
      <c r="I934" t="s">
        <v>32</v>
      </c>
      <c r="J934" s="3">
        <v>320000</v>
      </c>
      <c r="K934">
        <v>9</v>
      </c>
      <c r="L934" t="s">
        <v>42</v>
      </c>
      <c r="M934" s="3">
        <v>256000</v>
      </c>
      <c r="N934" s="3">
        <f>Table1[[#This Row],[Unit Price]]*Table1[[#This Row],[Quantity]]</f>
        <v>2880000</v>
      </c>
      <c r="O934" s="3">
        <f>Table1[[#This Row],[Cost Price]]*Table1[[#This Row],[Quantity]]</f>
        <v>2304000</v>
      </c>
      <c r="P934" s="3">
        <f>Table1[[#This Row],[Revenue]]-Table1[[#This Row],[COGS]]</f>
        <v>576000</v>
      </c>
      <c r="Q934" s="1">
        <v>933</v>
      </c>
    </row>
    <row r="935" spans="1:17">
      <c r="A935" t="s">
        <v>134</v>
      </c>
      <c r="B935" t="str">
        <f>TEXT(Table1[[#This Row],[Date]],"MMMM")</f>
        <v>January</v>
      </c>
      <c r="C935" t="str">
        <f>TEXT(Table1[[#This Row],[Date]],"DDDD")</f>
        <v>Wednesday</v>
      </c>
      <c r="D935" t="s">
        <v>35</v>
      </c>
      <c r="E935" t="s">
        <v>45</v>
      </c>
      <c r="F935" t="s">
        <v>41</v>
      </c>
      <c r="G935" t="s">
        <v>37</v>
      </c>
      <c r="H935" t="s">
        <v>54</v>
      </c>
      <c r="I935" t="s">
        <v>39</v>
      </c>
      <c r="J935" s="3">
        <v>180000</v>
      </c>
      <c r="K935">
        <v>8</v>
      </c>
      <c r="L935" t="s">
        <v>47</v>
      </c>
      <c r="M935" s="3">
        <v>144000</v>
      </c>
      <c r="N935" s="3">
        <f>Table1[[#This Row],[Unit Price]]*Table1[[#This Row],[Quantity]]</f>
        <v>1440000</v>
      </c>
      <c r="O935" s="3">
        <f>Table1[[#This Row],[Cost Price]]*Table1[[#This Row],[Quantity]]</f>
        <v>1152000</v>
      </c>
      <c r="P935" s="3">
        <f>Table1[[#This Row],[Revenue]]-Table1[[#This Row],[COGS]]</f>
        <v>288000</v>
      </c>
      <c r="Q935" s="1">
        <v>934</v>
      </c>
    </row>
    <row r="936" spans="1:17">
      <c r="A936" t="s">
        <v>64</v>
      </c>
      <c r="B936" t="str">
        <f>TEXT(Table1[[#This Row],[Date]],"MMMM")</f>
        <v>April</v>
      </c>
      <c r="C936" t="str">
        <f>TEXT(Table1[[#This Row],[Date]],"DDDD")</f>
        <v>Saturday</v>
      </c>
      <c r="D936" t="s">
        <v>49</v>
      </c>
      <c r="E936" t="s">
        <v>28</v>
      </c>
      <c r="F936" t="s">
        <v>29</v>
      </c>
      <c r="G936" t="s">
        <v>30</v>
      </c>
      <c r="H936" t="s">
        <v>38</v>
      </c>
      <c r="I936" t="s">
        <v>39</v>
      </c>
      <c r="J936" s="3">
        <v>30000</v>
      </c>
      <c r="K936">
        <v>5</v>
      </c>
      <c r="L936" t="s">
        <v>58</v>
      </c>
      <c r="M936" s="3">
        <v>24000</v>
      </c>
      <c r="N936" s="3">
        <f>Table1[[#This Row],[Unit Price]]*Table1[[#This Row],[Quantity]]</f>
        <v>150000</v>
      </c>
      <c r="O936" s="3">
        <f>Table1[[#This Row],[Cost Price]]*Table1[[#This Row],[Quantity]]</f>
        <v>120000</v>
      </c>
      <c r="P936" s="3">
        <f>Table1[[#This Row],[Revenue]]-Table1[[#This Row],[COGS]]</f>
        <v>30000</v>
      </c>
      <c r="Q936" s="1">
        <v>935</v>
      </c>
    </row>
    <row r="937" spans="1:17">
      <c r="A937" t="s">
        <v>85</v>
      </c>
      <c r="B937" t="str">
        <f>TEXT(Table1[[#This Row],[Date]],"MMMM")</f>
        <v>February</v>
      </c>
      <c r="C937" t="str">
        <f>TEXT(Table1[[#This Row],[Date]],"DDDD")</f>
        <v>Thursday</v>
      </c>
      <c r="D937" t="s">
        <v>44</v>
      </c>
      <c r="E937" t="s">
        <v>45</v>
      </c>
      <c r="F937" t="s">
        <v>29</v>
      </c>
      <c r="G937" t="s">
        <v>37</v>
      </c>
      <c r="H937" t="s">
        <v>56</v>
      </c>
      <c r="I937" t="s">
        <v>32</v>
      </c>
      <c r="J937" s="3">
        <v>320000</v>
      </c>
      <c r="K937">
        <v>8</v>
      </c>
      <c r="L937" t="s">
        <v>47</v>
      </c>
      <c r="M937" s="3">
        <v>256000</v>
      </c>
      <c r="N937" s="3">
        <f>Table1[[#This Row],[Unit Price]]*Table1[[#This Row],[Quantity]]</f>
        <v>2560000</v>
      </c>
      <c r="O937" s="3">
        <f>Table1[[#This Row],[Cost Price]]*Table1[[#This Row],[Quantity]]</f>
        <v>2048000</v>
      </c>
      <c r="P937" s="3">
        <f>Table1[[#This Row],[Revenue]]-Table1[[#This Row],[COGS]]</f>
        <v>512000</v>
      </c>
      <c r="Q937" s="1">
        <v>936</v>
      </c>
    </row>
    <row r="938" spans="1:17">
      <c r="A938" t="s">
        <v>109</v>
      </c>
      <c r="B938" t="str">
        <f>TEXT(Table1[[#This Row],[Date]],"MMMM")</f>
        <v>March</v>
      </c>
      <c r="C938" t="str">
        <f>TEXT(Table1[[#This Row],[Date]],"DDDD")</f>
        <v>Monday</v>
      </c>
      <c r="D938" t="s">
        <v>49</v>
      </c>
      <c r="E938" t="s">
        <v>36</v>
      </c>
      <c r="F938" t="s">
        <v>29</v>
      </c>
      <c r="G938" t="s">
        <v>37</v>
      </c>
      <c r="H938" t="s">
        <v>56</v>
      </c>
      <c r="I938" t="s">
        <v>32</v>
      </c>
      <c r="J938" s="3">
        <v>320000</v>
      </c>
      <c r="K938">
        <v>8</v>
      </c>
      <c r="L938" t="s">
        <v>42</v>
      </c>
      <c r="M938" s="3">
        <v>256000</v>
      </c>
      <c r="N938" s="3">
        <f>Table1[[#This Row],[Unit Price]]*Table1[[#This Row],[Quantity]]</f>
        <v>2560000</v>
      </c>
      <c r="O938" s="3">
        <f>Table1[[#This Row],[Cost Price]]*Table1[[#This Row],[Quantity]]</f>
        <v>2048000</v>
      </c>
      <c r="P938" s="3">
        <f>Table1[[#This Row],[Revenue]]-Table1[[#This Row],[COGS]]</f>
        <v>512000</v>
      </c>
      <c r="Q938" s="1">
        <v>937</v>
      </c>
    </row>
    <row r="939" spans="1:17">
      <c r="A939" t="s">
        <v>117</v>
      </c>
      <c r="B939" t="str">
        <f>TEXT(Table1[[#This Row],[Date]],"MMMM")</f>
        <v>January</v>
      </c>
      <c r="C939" t="str">
        <f>TEXT(Table1[[#This Row],[Date]],"DDDD")</f>
        <v>Wednesday</v>
      </c>
      <c r="D939" t="s">
        <v>35</v>
      </c>
      <c r="E939" t="s">
        <v>45</v>
      </c>
      <c r="F939" t="s">
        <v>41</v>
      </c>
      <c r="G939" t="s">
        <v>37</v>
      </c>
      <c r="H939" t="s">
        <v>38</v>
      </c>
      <c r="I939" t="s">
        <v>39</v>
      </c>
      <c r="J939" s="3">
        <v>30000</v>
      </c>
      <c r="K939">
        <v>4</v>
      </c>
      <c r="L939" t="s">
        <v>47</v>
      </c>
      <c r="M939" s="3">
        <v>24000</v>
      </c>
      <c r="N939" s="3">
        <f>Table1[[#This Row],[Unit Price]]*Table1[[#This Row],[Quantity]]</f>
        <v>120000</v>
      </c>
      <c r="O939" s="3">
        <f>Table1[[#This Row],[Cost Price]]*Table1[[#This Row],[Quantity]]</f>
        <v>96000</v>
      </c>
      <c r="P939" s="3">
        <f>Table1[[#This Row],[Revenue]]-Table1[[#This Row],[COGS]]</f>
        <v>24000</v>
      </c>
      <c r="Q939" s="1">
        <v>938</v>
      </c>
    </row>
    <row r="940" spans="1:17">
      <c r="A940" t="s">
        <v>34</v>
      </c>
      <c r="B940" t="str">
        <f>TEXT(Table1[[#This Row],[Date]],"MMMM")</f>
        <v>April</v>
      </c>
      <c r="C940" t="str">
        <f>TEXT(Table1[[#This Row],[Date]],"DDDD")</f>
        <v>Tuesday</v>
      </c>
      <c r="D940" t="s">
        <v>27</v>
      </c>
      <c r="E940" t="s">
        <v>53</v>
      </c>
      <c r="F940" t="s">
        <v>29</v>
      </c>
      <c r="G940" t="s">
        <v>37</v>
      </c>
      <c r="H940" t="s">
        <v>54</v>
      </c>
      <c r="I940" t="s">
        <v>39</v>
      </c>
      <c r="J940" s="3">
        <v>180000</v>
      </c>
      <c r="K940">
        <v>3</v>
      </c>
      <c r="L940" t="s">
        <v>58</v>
      </c>
      <c r="M940" s="3">
        <v>144000</v>
      </c>
      <c r="N940" s="3">
        <f>Table1[[#This Row],[Unit Price]]*Table1[[#This Row],[Quantity]]</f>
        <v>540000</v>
      </c>
      <c r="O940" s="3">
        <f>Table1[[#This Row],[Cost Price]]*Table1[[#This Row],[Quantity]]</f>
        <v>432000</v>
      </c>
      <c r="P940" s="3">
        <f>Table1[[#This Row],[Revenue]]-Table1[[#This Row],[COGS]]</f>
        <v>108000</v>
      </c>
      <c r="Q940" s="1">
        <v>939</v>
      </c>
    </row>
    <row r="941" spans="1:17">
      <c r="A941" t="s">
        <v>76</v>
      </c>
      <c r="B941" t="str">
        <f>TEXT(Table1[[#This Row],[Date]],"MMMM")</f>
        <v>May</v>
      </c>
      <c r="C941" t="str">
        <f>TEXT(Table1[[#This Row],[Date]],"DDDD")</f>
        <v>Thursday</v>
      </c>
      <c r="D941" t="s">
        <v>49</v>
      </c>
      <c r="E941" t="s">
        <v>45</v>
      </c>
      <c r="F941" t="s">
        <v>29</v>
      </c>
      <c r="G941" t="s">
        <v>30</v>
      </c>
      <c r="H941" t="s">
        <v>54</v>
      </c>
      <c r="I941" t="s">
        <v>39</v>
      </c>
      <c r="J941" s="3">
        <v>180000</v>
      </c>
      <c r="K941">
        <v>9</v>
      </c>
      <c r="L941" t="s">
        <v>58</v>
      </c>
      <c r="M941" s="3">
        <v>144000</v>
      </c>
      <c r="N941" s="3">
        <f>Table1[[#This Row],[Unit Price]]*Table1[[#This Row],[Quantity]]</f>
        <v>1620000</v>
      </c>
      <c r="O941" s="3">
        <f>Table1[[#This Row],[Cost Price]]*Table1[[#This Row],[Quantity]]</f>
        <v>1296000</v>
      </c>
      <c r="P941" s="3">
        <f>Table1[[#This Row],[Revenue]]-Table1[[#This Row],[COGS]]</f>
        <v>324000</v>
      </c>
      <c r="Q941" s="1">
        <v>940</v>
      </c>
    </row>
    <row r="942" spans="1:17">
      <c r="A942" t="s">
        <v>154</v>
      </c>
      <c r="B942" t="str">
        <f>TEXT(Table1[[#This Row],[Date]],"MMMM")</f>
        <v>February</v>
      </c>
      <c r="C942" t="str">
        <f>TEXT(Table1[[#This Row],[Date]],"DDDD")</f>
        <v>Saturday</v>
      </c>
      <c r="D942" t="s">
        <v>49</v>
      </c>
      <c r="E942" t="s">
        <v>36</v>
      </c>
      <c r="F942" t="s">
        <v>41</v>
      </c>
      <c r="G942" t="s">
        <v>37</v>
      </c>
      <c r="H942" t="s">
        <v>54</v>
      </c>
      <c r="I942" t="s">
        <v>39</v>
      </c>
      <c r="J942" s="3">
        <v>180000</v>
      </c>
      <c r="K942">
        <v>1</v>
      </c>
      <c r="L942" t="s">
        <v>47</v>
      </c>
      <c r="M942" s="3">
        <v>144000</v>
      </c>
      <c r="N942" s="3">
        <f>Table1[[#This Row],[Unit Price]]*Table1[[#This Row],[Quantity]]</f>
        <v>180000</v>
      </c>
      <c r="O942" s="3">
        <f>Table1[[#This Row],[Cost Price]]*Table1[[#This Row],[Quantity]]</f>
        <v>144000</v>
      </c>
      <c r="P942" s="3">
        <f>Table1[[#This Row],[Revenue]]-Table1[[#This Row],[COGS]]</f>
        <v>36000</v>
      </c>
      <c r="Q942" s="1">
        <v>941</v>
      </c>
    </row>
    <row r="943" spans="1:17">
      <c r="A943" t="s">
        <v>119</v>
      </c>
      <c r="B943" t="str">
        <f>TEXT(Table1[[#This Row],[Date]],"MMMM")</f>
        <v>February</v>
      </c>
      <c r="C943" t="str">
        <f>TEXT(Table1[[#This Row],[Date]],"DDDD")</f>
        <v>Sunday</v>
      </c>
      <c r="D943" t="s">
        <v>27</v>
      </c>
      <c r="E943" t="s">
        <v>53</v>
      </c>
      <c r="F943" t="s">
        <v>41</v>
      </c>
      <c r="G943" t="s">
        <v>30</v>
      </c>
      <c r="H943" t="s">
        <v>73</v>
      </c>
      <c r="I943" t="s">
        <v>39</v>
      </c>
      <c r="J943" s="3">
        <v>220000</v>
      </c>
      <c r="K943">
        <v>6</v>
      </c>
      <c r="L943" t="s">
        <v>42</v>
      </c>
      <c r="M943" s="3">
        <v>176000</v>
      </c>
      <c r="N943" s="3">
        <f>Table1[[#This Row],[Unit Price]]*Table1[[#This Row],[Quantity]]</f>
        <v>1320000</v>
      </c>
      <c r="O943" s="3">
        <f>Table1[[#This Row],[Cost Price]]*Table1[[#This Row],[Quantity]]</f>
        <v>1056000</v>
      </c>
      <c r="P943" s="3">
        <f>Table1[[#This Row],[Revenue]]-Table1[[#This Row],[COGS]]</f>
        <v>264000</v>
      </c>
      <c r="Q943" s="1">
        <v>942</v>
      </c>
    </row>
    <row r="944" spans="1:17">
      <c r="A944" t="s">
        <v>137</v>
      </c>
      <c r="B944" t="str">
        <f>TEXT(Table1[[#This Row],[Date]],"MMMM")</f>
        <v>April</v>
      </c>
      <c r="C944" t="str">
        <f>TEXT(Table1[[#This Row],[Date]],"DDDD")</f>
        <v>Wednesday</v>
      </c>
      <c r="D944" t="s">
        <v>35</v>
      </c>
      <c r="E944" t="s">
        <v>36</v>
      </c>
      <c r="F944" t="s">
        <v>29</v>
      </c>
      <c r="G944" t="s">
        <v>30</v>
      </c>
      <c r="H944" t="s">
        <v>50</v>
      </c>
      <c r="I944" t="s">
        <v>51</v>
      </c>
      <c r="J944" s="3">
        <v>300000</v>
      </c>
      <c r="K944">
        <v>3</v>
      </c>
      <c r="L944" t="s">
        <v>42</v>
      </c>
      <c r="M944" s="3">
        <v>240000</v>
      </c>
      <c r="N944" s="3">
        <f>Table1[[#This Row],[Unit Price]]*Table1[[#This Row],[Quantity]]</f>
        <v>900000</v>
      </c>
      <c r="O944" s="3">
        <f>Table1[[#This Row],[Cost Price]]*Table1[[#This Row],[Quantity]]</f>
        <v>720000</v>
      </c>
      <c r="P944" s="3">
        <f>Table1[[#This Row],[Revenue]]-Table1[[#This Row],[COGS]]</f>
        <v>180000</v>
      </c>
      <c r="Q944" s="1">
        <v>943</v>
      </c>
    </row>
    <row r="945" spans="1:17">
      <c r="A945" t="s">
        <v>112</v>
      </c>
      <c r="B945" t="str">
        <f>TEXT(Table1[[#This Row],[Date]],"MMMM")</f>
        <v>February</v>
      </c>
      <c r="C945" t="str">
        <f>TEXT(Table1[[#This Row],[Date]],"DDDD")</f>
        <v>Monday</v>
      </c>
      <c r="D945" t="s">
        <v>44</v>
      </c>
      <c r="E945" t="s">
        <v>36</v>
      </c>
      <c r="F945" t="s">
        <v>41</v>
      </c>
      <c r="G945" t="s">
        <v>37</v>
      </c>
      <c r="H945" t="s">
        <v>56</v>
      </c>
      <c r="I945" t="s">
        <v>32</v>
      </c>
      <c r="J945" s="3">
        <v>320000</v>
      </c>
      <c r="K945">
        <v>1</v>
      </c>
      <c r="L945" t="s">
        <v>58</v>
      </c>
      <c r="M945" s="3">
        <v>256000</v>
      </c>
      <c r="N945" s="3">
        <f>Table1[[#This Row],[Unit Price]]*Table1[[#This Row],[Quantity]]</f>
        <v>320000</v>
      </c>
      <c r="O945" s="3">
        <f>Table1[[#This Row],[Cost Price]]*Table1[[#This Row],[Quantity]]</f>
        <v>256000</v>
      </c>
      <c r="P945" s="3">
        <f>Table1[[#This Row],[Revenue]]-Table1[[#This Row],[COGS]]</f>
        <v>64000</v>
      </c>
      <c r="Q945" s="1">
        <v>944</v>
      </c>
    </row>
    <row r="946" spans="1:17">
      <c r="A946" t="s">
        <v>131</v>
      </c>
      <c r="B946" t="str">
        <f>TEXT(Table1[[#This Row],[Date]],"MMMM")</f>
        <v>March</v>
      </c>
      <c r="C946" t="str">
        <f>TEXT(Table1[[#This Row],[Date]],"DDDD")</f>
        <v>Friday</v>
      </c>
      <c r="D946" t="s">
        <v>44</v>
      </c>
      <c r="E946" t="s">
        <v>28</v>
      </c>
      <c r="F946" t="s">
        <v>41</v>
      </c>
      <c r="G946" t="s">
        <v>37</v>
      </c>
      <c r="H946" t="s">
        <v>62</v>
      </c>
      <c r="I946" t="s">
        <v>51</v>
      </c>
      <c r="J946" s="3">
        <v>150000</v>
      </c>
      <c r="K946">
        <v>6</v>
      </c>
      <c r="L946" t="s">
        <v>58</v>
      </c>
      <c r="M946" s="3">
        <v>120000</v>
      </c>
      <c r="N946" s="3">
        <f>Table1[[#This Row],[Unit Price]]*Table1[[#This Row],[Quantity]]</f>
        <v>900000</v>
      </c>
      <c r="O946" s="3">
        <f>Table1[[#This Row],[Cost Price]]*Table1[[#This Row],[Quantity]]</f>
        <v>720000</v>
      </c>
      <c r="P946" s="3">
        <f>Table1[[#This Row],[Revenue]]-Table1[[#This Row],[COGS]]</f>
        <v>180000</v>
      </c>
      <c r="Q946" s="1">
        <v>945</v>
      </c>
    </row>
    <row r="947" spans="1:17">
      <c r="A947" t="s">
        <v>95</v>
      </c>
      <c r="B947" t="str">
        <f>TEXT(Table1[[#This Row],[Date]],"MMMM")</f>
        <v>February</v>
      </c>
      <c r="C947" t="str">
        <f>TEXT(Table1[[#This Row],[Date]],"DDDD")</f>
        <v>Saturday</v>
      </c>
      <c r="D947" t="s">
        <v>35</v>
      </c>
      <c r="E947" t="s">
        <v>36</v>
      </c>
      <c r="F947" t="s">
        <v>41</v>
      </c>
      <c r="G947" t="s">
        <v>37</v>
      </c>
      <c r="H947" t="s">
        <v>73</v>
      </c>
      <c r="I947" t="s">
        <v>39</v>
      </c>
      <c r="J947" s="3">
        <v>220000</v>
      </c>
      <c r="K947">
        <v>7</v>
      </c>
      <c r="L947" t="s">
        <v>42</v>
      </c>
      <c r="M947" s="3">
        <v>176000</v>
      </c>
      <c r="N947" s="3">
        <f>Table1[[#This Row],[Unit Price]]*Table1[[#This Row],[Quantity]]</f>
        <v>1540000</v>
      </c>
      <c r="O947" s="3">
        <f>Table1[[#This Row],[Cost Price]]*Table1[[#This Row],[Quantity]]</f>
        <v>1232000</v>
      </c>
      <c r="P947" s="3">
        <f>Table1[[#This Row],[Revenue]]-Table1[[#This Row],[COGS]]</f>
        <v>308000</v>
      </c>
      <c r="Q947" s="1">
        <v>946</v>
      </c>
    </row>
    <row r="948" spans="1:17">
      <c r="A948" t="s">
        <v>89</v>
      </c>
      <c r="B948" t="str">
        <f>TEXT(Table1[[#This Row],[Date]],"MMMM")</f>
        <v>February</v>
      </c>
      <c r="C948" t="str">
        <f>TEXT(Table1[[#This Row],[Date]],"DDDD")</f>
        <v>Tuesday</v>
      </c>
      <c r="D948" t="s">
        <v>27</v>
      </c>
      <c r="E948" t="s">
        <v>36</v>
      </c>
      <c r="F948" t="s">
        <v>29</v>
      </c>
      <c r="G948" t="s">
        <v>30</v>
      </c>
      <c r="H948" t="s">
        <v>73</v>
      </c>
      <c r="I948" t="s">
        <v>39</v>
      </c>
      <c r="J948" s="3">
        <v>220000</v>
      </c>
      <c r="K948">
        <v>1</v>
      </c>
      <c r="L948" t="s">
        <v>47</v>
      </c>
      <c r="M948" s="3">
        <v>176000</v>
      </c>
      <c r="N948" s="3">
        <f>Table1[[#This Row],[Unit Price]]*Table1[[#This Row],[Quantity]]</f>
        <v>220000</v>
      </c>
      <c r="O948" s="3">
        <f>Table1[[#This Row],[Cost Price]]*Table1[[#This Row],[Quantity]]</f>
        <v>176000</v>
      </c>
      <c r="P948" s="3">
        <f>Table1[[#This Row],[Revenue]]-Table1[[#This Row],[COGS]]</f>
        <v>44000</v>
      </c>
      <c r="Q948" s="1">
        <v>947</v>
      </c>
    </row>
    <row r="949" spans="1:17">
      <c r="A949" t="s">
        <v>107</v>
      </c>
      <c r="B949" t="str">
        <f>TEXT(Table1[[#This Row],[Date]],"MMMM")</f>
        <v>February</v>
      </c>
      <c r="C949" t="str">
        <f>TEXT(Table1[[#This Row],[Date]],"DDDD")</f>
        <v>Wednesday</v>
      </c>
      <c r="D949" t="s">
        <v>35</v>
      </c>
      <c r="E949" t="s">
        <v>28</v>
      </c>
      <c r="F949" t="s">
        <v>29</v>
      </c>
      <c r="G949" t="s">
        <v>30</v>
      </c>
      <c r="H949" t="s">
        <v>31</v>
      </c>
      <c r="I949" t="s">
        <v>32</v>
      </c>
      <c r="J949" s="3">
        <v>85000</v>
      </c>
      <c r="K949">
        <v>4</v>
      </c>
      <c r="L949" t="s">
        <v>58</v>
      </c>
      <c r="M949" s="3">
        <v>68000</v>
      </c>
      <c r="N949" s="3">
        <f>Table1[[#This Row],[Unit Price]]*Table1[[#This Row],[Quantity]]</f>
        <v>340000</v>
      </c>
      <c r="O949" s="3">
        <f>Table1[[#This Row],[Cost Price]]*Table1[[#This Row],[Quantity]]</f>
        <v>272000</v>
      </c>
      <c r="P949" s="3">
        <f>Table1[[#This Row],[Revenue]]-Table1[[#This Row],[COGS]]</f>
        <v>68000</v>
      </c>
      <c r="Q949" s="1">
        <v>948</v>
      </c>
    </row>
    <row r="950" spans="1:17">
      <c r="A950" t="s">
        <v>52</v>
      </c>
      <c r="B950" t="str">
        <f>TEXT(Table1[[#This Row],[Date]],"MMMM")</f>
        <v>March</v>
      </c>
      <c r="C950" t="str">
        <f>TEXT(Table1[[#This Row],[Date]],"DDDD")</f>
        <v>Saturday</v>
      </c>
      <c r="D950" t="s">
        <v>27</v>
      </c>
      <c r="E950" t="s">
        <v>53</v>
      </c>
      <c r="F950" t="s">
        <v>41</v>
      </c>
      <c r="G950" t="s">
        <v>30</v>
      </c>
      <c r="H950" t="s">
        <v>71</v>
      </c>
      <c r="I950" t="s">
        <v>51</v>
      </c>
      <c r="J950" s="3">
        <v>250000</v>
      </c>
      <c r="K950">
        <v>10</v>
      </c>
      <c r="L950" t="s">
        <v>58</v>
      </c>
      <c r="M950" s="3">
        <v>200000</v>
      </c>
      <c r="N950" s="3">
        <f>Table1[[#This Row],[Unit Price]]*Table1[[#This Row],[Quantity]]</f>
        <v>2500000</v>
      </c>
      <c r="O950" s="3">
        <f>Table1[[#This Row],[Cost Price]]*Table1[[#This Row],[Quantity]]</f>
        <v>2000000</v>
      </c>
      <c r="P950" s="3">
        <f>Table1[[#This Row],[Revenue]]-Table1[[#This Row],[COGS]]</f>
        <v>500000</v>
      </c>
      <c r="Q950" s="1">
        <v>949</v>
      </c>
    </row>
    <row r="951" spans="1:17">
      <c r="A951" t="s">
        <v>151</v>
      </c>
      <c r="B951" t="str">
        <f>TEXT(Table1[[#This Row],[Date]],"MMMM")</f>
        <v>February</v>
      </c>
      <c r="C951" t="str">
        <f>TEXT(Table1[[#This Row],[Date]],"DDDD")</f>
        <v>Tuesday</v>
      </c>
      <c r="D951" t="s">
        <v>49</v>
      </c>
      <c r="E951" t="s">
        <v>53</v>
      </c>
      <c r="F951" t="s">
        <v>29</v>
      </c>
      <c r="G951" t="s">
        <v>37</v>
      </c>
      <c r="H951" t="s">
        <v>56</v>
      </c>
      <c r="I951" t="s">
        <v>32</v>
      </c>
      <c r="J951" s="3">
        <v>320000</v>
      </c>
      <c r="K951">
        <v>1</v>
      </c>
      <c r="L951" t="s">
        <v>65</v>
      </c>
      <c r="M951" s="3">
        <v>256000</v>
      </c>
      <c r="N951" s="3">
        <f>Table1[[#This Row],[Unit Price]]*Table1[[#This Row],[Quantity]]</f>
        <v>320000</v>
      </c>
      <c r="O951" s="3">
        <f>Table1[[#This Row],[Cost Price]]*Table1[[#This Row],[Quantity]]</f>
        <v>256000</v>
      </c>
      <c r="P951" s="3">
        <f>Table1[[#This Row],[Revenue]]-Table1[[#This Row],[COGS]]</f>
        <v>64000</v>
      </c>
      <c r="Q951" s="1">
        <v>950</v>
      </c>
    </row>
    <row r="952" spans="1:17">
      <c r="A952" t="s">
        <v>125</v>
      </c>
      <c r="B952" t="str">
        <f>TEXT(Table1[[#This Row],[Date]],"MMMM")</f>
        <v>February</v>
      </c>
      <c r="C952" t="str">
        <f>TEXT(Table1[[#This Row],[Date]],"DDDD")</f>
        <v>Tuesday</v>
      </c>
      <c r="D952" t="s">
        <v>27</v>
      </c>
      <c r="E952" t="s">
        <v>28</v>
      </c>
      <c r="F952" t="s">
        <v>41</v>
      </c>
      <c r="G952" t="s">
        <v>37</v>
      </c>
      <c r="H952" t="s">
        <v>46</v>
      </c>
      <c r="I952" t="s">
        <v>39</v>
      </c>
      <c r="J952" s="3">
        <v>60000</v>
      </c>
      <c r="K952">
        <v>8</v>
      </c>
      <c r="L952" t="s">
        <v>42</v>
      </c>
      <c r="M952" s="3">
        <v>48000</v>
      </c>
      <c r="N952" s="3">
        <f>Table1[[#This Row],[Unit Price]]*Table1[[#This Row],[Quantity]]</f>
        <v>480000</v>
      </c>
      <c r="O952" s="3">
        <f>Table1[[#This Row],[Cost Price]]*Table1[[#This Row],[Quantity]]</f>
        <v>384000</v>
      </c>
      <c r="P952" s="3">
        <f>Table1[[#This Row],[Revenue]]-Table1[[#This Row],[COGS]]</f>
        <v>96000</v>
      </c>
      <c r="Q952" s="1">
        <v>951</v>
      </c>
    </row>
    <row r="953" spans="1:17">
      <c r="A953" t="s">
        <v>142</v>
      </c>
      <c r="B953" t="str">
        <f>TEXT(Table1[[#This Row],[Date]],"MMMM")</f>
        <v>April</v>
      </c>
      <c r="C953" t="str">
        <f>TEXT(Table1[[#This Row],[Date]],"DDDD")</f>
        <v>Monday</v>
      </c>
      <c r="D953" t="s">
        <v>49</v>
      </c>
      <c r="E953" t="s">
        <v>53</v>
      </c>
      <c r="F953" t="s">
        <v>29</v>
      </c>
      <c r="G953" t="s">
        <v>37</v>
      </c>
      <c r="H953" t="s">
        <v>67</v>
      </c>
      <c r="I953" t="s">
        <v>51</v>
      </c>
      <c r="J953" s="3">
        <v>420000</v>
      </c>
      <c r="K953">
        <v>2</v>
      </c>
      <c r="L953" t="s">
        <v>65</v>
      </c>
      <c r="M953" s="3">
        <v>336000</v>
      </c>
      <c r="N953" s="3">
        <f>Table1[[#This Row],[Unit Price]]*Table1[[#This Row],[Quantity]]</f>
        <v>840000</v>
      </c>
      <c r="O953" s="3">
        <f>Table1[[#This Row],[Cost Price]]*Table1[[#This Row],[Quantity]]</f>
        <v>672000</v>
      </c>
      <c r="P953" s="3">
        <f>Table1[[#This Row],[Revenue]]-Table1[[#This Row],[COGS]]</f>
        <v>168000</v>
      </c>
      <c r="Q953" s="1">
        <v>952</v>
      </c>
    </row>
    <row r="954" spans="1:17">
      <c r="A954" t="s">
        <v>161</v>
      </c>
      <c r="B954" t="str">
        <f>TEXT(Table1[[#This Row],[Date]],"MMMM")</f>
        <v>March</v>
      </c>
      <c r="C954" t="str">
        <f>TEXT(Table1[[#This Row],[Date]],"DDDD")</f>
        <v>Thursday</v>
      </c>
      <c r="D954" t="s">
        <v>49</v>
      </c>
      <c r="E954" t="s">
        <v>45</v>
      </c>
      <c r="F954" t="s">
        <v>41</v>
      </c>
      <c r="G954" t="s">
        <v>30</v>
      </c>
      <c r="H954" t="s">
        <v>71</v>
      </c>
      <c r="I954" t="s">
        <v>51</v>
      </c>
      <c r="J954" s="3">
        <v>250000</v>
      </c>
      <c r="K954">
        <v>2</v>
      </c>
      <c r="L954" t="s">
        <v>33</v>
      </c>
      <c r="M954" s="3">
        <v>200000</v>
      </c>
      <c r="N954" s="3">
        <f>Table1[[#This Row],[Unit Price]]*Table1[[#This Row],[Quantity]]</f>
        <v>500000</v>
      </c>
      <c r="O954" s="3">
        <f>Table1[[#This Row],[Cost Price]]*Table1[[#This Row],[Quantity]]</f>
        <v>400000</v>
      </c>
      <c r="P954" s="3">
        <f>Table1[[#This Row],[Revenue]]-Table1[[#This Row],[COGS]]</f>
        <v>100000</v>
      </c>
      <c r="Q954" s="1">
        <v>953</v>
      </c>
    </row>
    <row r="955" spans="1:17">
      <c r="A955" t="s">
        <v>81</v>
      </c>
      <c r="B955" t="str">
        <f>TEXT(Table1[[#This Row],[Date]],"MMMM")</f>
        <v>March</v>
      </c>
      <c r="C955" t="str">
        <f>TEXT(Table1[[#This Row],[Date]],"DDDD")</f>
        <v>Sunday</v>
      </c>
      <c r="D955" t="s">
        <v>27</v>
      </c>
      <c r="E955" t="s">
        <v>36</v>
      </c>
      <c r="F955" t="s">
        <v>29</v>
      </c>
      <c r="G955" t="s">
        <v>37</v>
      </c>
      <c r="H955" t="s">
        <v>73</v>
      </c>
      <c r="I955" t="s">
        <v>39</v>
      </c>
      <c r="J955" s="3">
        <v>220000</v>
      </c>
      <c r="K955">
        <v>6</v>
      </c>
      <c r="L955" t="s">
        <v>69</v>
      </c>
      <c r="M955" s="3">
        <v>176000</v>
      </c>
      <c r="N955" s="3">
        <f>Table1[[#This Row],[Unit Price]]*Table1[[#This Row],[Quantity]]</f>
        <v>1320000</v>
      </c>
      <c r="O955" s="3">
        <f>Table1[[#This Row],[Cost Price]]*Table1[[#This Row],[Quantity]]</f>
        <v>1056000</v>
      </c>
      <c r="P955" s="3">
        <f>Table1[[#This Row],[Revenue]]-Table1[[#This Row],[COGS]]</f>
        <v>264000</v>
      </c>
      <c r="Q955" s="1">
        <v>954</v>
      </c>
    </row>
    <row r="956" spans="1:17">
      <c r="A956" t="s">
        <v>34</v>
      </c>
      <c r="B956" t="str">
        <f>TEXT(Table1[[#This Row],[Date]],"MMMM")</f>
        <v>April</v>
      </c>
      <c r="C956" t="str">
        <f>TEXT(Table1[[#This Row],[Date]],"DDDD")</f>
        <v>Tuesday</v>
      </c>
      <c r="D956" t="s">
        <v>49</v>
      </c>
      <c r="E956" t="s">
        <v>36</v>
      </c>
      <c r="F956" t="s">
        <v>41</v>
      </c>
      <c r="G956" t="s">
        <v>37</v>
      </c>
      <c r="H956" t="s">
        <v>46</v>
      </c>
      <c r="I956" t="s">
        <v>39</v>
      </c>
      <c r="J956" s="3">
        <v>60000</v>
      </c>
      <c r="K956">
        <v>1</v>
      </c>
      <c r="L956" t="s">
        <v>58</v>
      </c>
      <c r="M956" s="3">
        <v>48000</v>
      </c>
      <c r="N956" s="3">
        <f>Table1[[#This Row],[Unit Price]]*Table1[[#This Row],[Quantity]]</f>
        <v>60000</v>
      </c>
      <c r="O956" s="3">
        <f>Table1[[#This Row],[Cost Price]]*Table1[[#This Row],[Quantity]]</f>
        <v>48000</v>
      </c>
      <c r="P956" s="3">
        <f>Table1[[#This Row],[Revenue]]-Table1[[#This Row],[COGS]]</f>
        <v>12000</v>
      </c>
      <c r="Q956" s="1">
        <v>955</v>
      </c>
    </row>
    <row r="957" spans="1:17">
      <c r="A957" t="s">
        <v>136</v>
      </c>
      <c r="B957" t="str">
        <f>TEXT(Table1[[#This Row],[Date]],"MMMM")</f>
        <v>February</v>
      </c>
      <c r="C957" t="str">
        <f>TEXT(Table1[[#This Row],[Date]],"DDDD")</f>
        <v>Saturday</v>
      </c>
      <c r="D957" t="s">
        <v>27</v>
      </c>
      <c r="E957" t="s">
        <v>28</v>
      </c>
      <c r="F957" t="s">
        <v>29</v>
      </c>
      <c r="G957" t="s">
        <v>37</v>
      </c>
      <c r="H957" t="s">
        <v>31</v>
      </c>
      <c r="I957" t="s">
        <v>32</v>
      </c>
      <c r="J957" s="3">
        <v>85000</v>
      </c>
      <c r="K957">
        <v>9</v>
      </c>
      <c r="L957" t="s">
        <v>69</v>
      </c>
      <c r="M957" s="3">
        <v>68000</v>
      </c>
      <c r="N957" s="3">
        <f>Table1[[#This Row],[Unit Price]]*Table1[[#This Row],[Quantity]]</f>
        <v>765000</v>
      </c>
      <c r="O957" s="3">
        <f>Table1[[#This Row],[Cost Price]]*Table1[[#This Row],[Quantity]]</f>
        <v>612000</v>
      </c>
      <c r="P957" s="3">
        <f>Table1[[#This Row],[Revenue]]-Table1[[#This Row],[COGS]]</f>
        <v>153000</v>
      </c>
      <c r="Q957" s="1">
        <v>956</v>
      </c>
    </row>
    <row r="958" spans="1:17">
      <c r="A958" t="s">
        <v>176</v>
      </c>
      <c r="B958" t="str">
        <f>TEXT(Table1[[#This Row],[Date]],"MMMM")</f>
        <v>January</v>
      </c>
      <c r="C958" t="str">
        <f>TEXT(Table1[[#This Row],[Date]],"DDDD")</f>
        <v>Saturday</v>
      </c>
      <c r="D958" t="s">
        <v>44</v>
      </c>
      <c r="E958" t="s">
        <v>36</v>
      </c>
      <c r="F958" t="s">
        <v>29</v>
      </c>
      <c r="G958" t="s">
        <v>37</v>
      </c>
      <c r="H958" t="s">
        <v>46</v>
      </c>
      <c r="I958" t="s">
        <v>39</v>
      </c>
      <c r="J958" s="3">
        <v>60000</v>
      </c>
      <c r="K958">
        <v>9</v>
      </c>
      <c r="L958" t="s">
        <v>65</v>
      </c>
      <c r="M958" s="3">
        <v>48000</v>
      </c>
      <c r="N958" s="3">
        <f>Table1[[#This Row],[Unit Price]]*Table1[[#This Row],[Quantity]]</f>
        <v>540000</v>
      </c>
      <c r="O958" s="3">
        <f>Table1[[#This Row],[Cost Price]]*Table1[[#This Row],[Quantity]]</f>
        <v>432000</v>
      </c>
      <c r="P958" s="3">
        <f>Table1[[#This Row],[Revenue]]-Table1[[#This Row],[COGS]]</f>
        <v>108000</v>
      </c>
      <c r="Q958" s="1">
        <v>957</v>
      </c>
    </row>
    <row r="959" spans="1:17">
      <c r="A959" t="s">
        <v>114</v>
      </c>
      <c r="B959" t="str">
        <f>TEXT(Table1[[#This Row],[Date]],"MMMM")</f>
        <v>April</v>
      </c>
      <c r="C959" t="str">
        <f>TEXT(Table1[[#This Row],[Date]],"DDDD")</f>
        <v>Sunday</v>
      </c>
      <c r="D959" t="s">
        <v>35</v>
      </c>
      <c r="E959" t="s">
        <v>45</v>
      </c>
      <c r="F959" t="s">
        <v>41</v>
      </c>
      <c r="G959" t="s">
        <v>37</v>
      </c>
      <c r="H959" t="s">
        <v>31</v>
      </c>
      <c r="I959" t="s">
        <v>32</v>
      </c>
      <c r="J959" s="3">
        <v>85000</v>
      </c>
      <c r="K959">
        <v>7</v>
      </c>
      <c r="L959" t="s">
        <v>42</v>
      </c>
      <c r="M959" s="3">
        <v>68000</v>
      </c>
      <c r="N959" s="3">
        <f>Table1[[#This Row],[Unit Price]]*Table1[[#This Row],[Quantity]]</f>
        <v>595000</v>
      </c>
      <c r="O959" s="3">
        <f>Table1[[#This Row],[Cost Price]]*Table1[[#This Row],[Quantity]]</f>
        <v>476000</v>
      </c>
      <c r="P959" s="3">
        <f>Table1[[#This Row],[Revenue]]-Table1[[#This Row],[COGS]]</f>
        <v>119000</v>
      </c>
      <c r="Q959" s="1">
        <v>958</v>
      </c>
    </row>
    <row r="960" spans="1:17">
      <c r="A960" t="s">
        <v>95</v>
      </c>
      <c r="B960" t="str">
        <f>TEXT(Table1[[#This Row],[Date]],"MMMM")</f>
        <v>February</v>
      </c>
      <c r="C960" t="str">
        <f>TEXT(Table1[[#This Row],[Date]],"DDDD")</f>
        <v>Saturday</v>
      </c>
      <c r="D960" t="s">
        <v>44</v>
      </c>
      <c r="E960" t="s">
        <v>53</v>
      </c>
      <c r="F960" t="s">
        <v>29</v>
      </c>
      <c r="G960" t="s">
        <v>30</v>
      </c>
      <c r="H960" t="s">
        <v>56</v>
      </c>
      <c r="I960" t="s">
        <v>32</v>
      </c>
      <c r="J960" s="3">
        <v>320000</v>
      </c>
      <c r="K960">
        <v>4</v>
      </c>
      <c r="L960" t="s">
        <v>47</v>
      </c>
      <c r="M960" s="3">
        <v>256000</v>
      </c>
      <c r="N960" s="3">
        <f>Table1[[#This Row],[Unit Price]]*Table1[[#This Row],[Quantity]]</f>
        <v>1280000</v>
      </c>
      <c r="O960" s="3">
        <f>Table1[[#This Row],[Cost Price]]*Table1[[#This Row],[Quantity]]</f>
        <v>1024000</v>
      </c>
      <c r="P960" s="3">
        <f>Table1[[#This Row],[Revenue]]-Table1[[#This Row],[COGS]]</f>
        <v>256000</v>
      </c>
      <c r="Q960" s="1">
        <v>959</v>
      </c>
    </row>
    <row r="961" spans="1:17">
      <c r="A961" t="s">
        <v>78</v>
      </c>
      <c r="B961" t="str">
        <f>TEXT(Table1[[#This Row],[Date]],"MMMM")</f>
        <v>April</v>
      </c>
      <c r="C961" t="str">
        <f>TEXT(Table1[[#This Row],[Date]],"DDDD")</f>
        <v>Tuesday</v>
      </c>
      <c r="D961" t="s">
        <v>44</v>
      </c>
      <c r="E961" t="s">
        <v>53</v>
      </c>
      <c r="F961" t="s">
        <v>41</v>
      </c>
      <c r="G961" t="s">
        <v>30</v>
      </c>
      <c r="H961" t="s">
        <v>71</v>
      </c>
      <c r="I961" t="s">
        <v>51</v>
      </c>
      <c r="J961" s="3">
        <v>250000</v>
      </c>
      <c r="K961">
        <v>4</v>
      </c>
      <c r="L961" t="s">
        <v>58</v>
      </c>
      <c r="M961" s="3">
        <v>200000</v>
      </c>
      <c r="N961" s="3">
        <f>Table1[[#This Row],[Unit Price]]*Table1[[#This Row],[Quantity]]</f>
        <v>1000000</v>
      </c>
      <c r="O961" s="3">
        <f>Table1[[#This Row],[Cost Price]]*Table1[[#This Row],[Quantity]]</f>
        <v>800000</v>
      </c>
      <c r="P961" s="3">
        <f>Table1[[#This Row],[Revenue]]-Table1[[#This Row],[COGS]]</f>
        <v>200000</v>
      </c>
      <c r="Q961" s="1">
        <v>960</v>
      </c>
    </row>
    <row r="962" spans="1:17">
      <c r="A962" t="s">
        <v>171</v>
      </c>
      <c r="B962" t="str">
        <f>TEXT(Table1[[#This Row],[Date]],"MMMM")</f>
        <v>March</v>
      </c>
      <c r="C962" t="str">
        <f>TEXT(Table1[[#This Row],[Date]],"DDDD")</f>
        <v>Monday</v>
      </c>
      <c r="D962" t="s">
        <v>35</v>
      </c>
      <c r="E962" t="s">
        <v>45</v>
      </c>
      <c r="F962" t="s">
        <v>41</v>
      </c>
      <c r="G962" t="s">
        <v>30</v>
      </c>
      <c r="H962" t="s">
        <v>46</v>
      </c>
      <c r="I962" t="s">
        <v>39</v>
      </c>
      <c r="J962" s="3">
        <v>60000</v>
      </c>
      <c r="K962">
        <v>8</v>
      </c>
      <c r="L962" t="s">
        <v>42</v>
      </c>
      <c r="M962" s="3">
        <v>48000</v>
      </c>
      <c r="N962" s="3">
        <f>Table1[[#This Row],[Unit Price]]*Table1[[#This Row],[Quantity]]</f>
        <v>480000</v>
      </c>
      <c r="O962" s="3">
        <f>Table1[[#This Row],[Cost Price]]*Table1[[#This Row],[Quantity]]</f>
        <v>384000</v>
      </c>
      <c r="P962" s="3">
        <f>Table1[[#This Row],[Revenue]]-Table1[[#This Row],[COGS]]</f>
        <v>96000</v>
      </c>
      <c r="Q962" s="1">
        <v>961</v>
      </c>
    </row>
    <row r="963" spans="1:17">
      <c r="A963" t="s">
        <v>121</v>
      </c>
      <c r="B963" t="str">
        <f>TEXT(Table1[[#This Row],[Date]],"MMMM")</f>
        <v>April</v>
      </c>
      <c r="C963" t="str">
        <f>TEXT(Table1[[#This Row],[Date]],"DDDD")</f>
        <v>Wednesday</v>
      </c>
      <c r="D963" t="s">
        <v>27</v>
      </c>
      <c r="E963" t="s">
        <v>45</v>
      </c>
      <c r="F963" t="s">
        <v>41</v>
      </c>
      <c r="G963" t="s">
        <v>30</v>
      </c>
      <c r="H963" t="s">
        <v>67</v>
      </c>
      <c r="I963" t="s">
        <v>51</v>
      </c>
      <c r="J963" s="3">
        <v>420000</v>
      </c>
      <c r="K963">
        <v>2</v>
      </c>
      <c r="L963" t="s">
        <v>69</v>
      </c>
      <c r="M963" s="3">
        <v>336000</v>
      </c>
      <c r="N963" s="3">
        <f>Table1[[#This Row],[Unit Price]]*Table1[[#This Row],[Quantity]]</f>
        <v>840000</v>
      </c>
      <c r="O963" s="3">
        <f>Table1[[#This Row],[Cost Price]]*Table1[[#This Row],[Quantity]]</f>
        <v>672000</v>
      </c>
      <c r="P963" s="3">
        <f>Table1[[#This Row],[Revenue]]-Table1[[#This Row],[COGS]]</f>
        <v>168000</v>
      </c>
      <c r="Q963" s="1">
        <v>962</v>
      </c>
    </row>
    <row r="964" spans="1:17">
      <c r="A964" t="s">
        <v>160</v>
      </c>
      <c r="B964" t="str">
        <f>TEXT(Table1[[#This Row],[Date]],"MMMM")</f>
        <v>January</v>
      </c>
      <c r="C964" t="str">
        <f>TEXT(Table1[[#This Row],[Date]],"DDDD")</f>
        <v>Saturday</v>
      </c>
      <c r="D964" t="s">
        <v>35</v>
      </c>
      <c r="E964" t="s">
        <v>53</v>
      </c>
      <c r="F964" t="s">
        <v>41</v>
      </c>
      <c r="G964" t="s">
        <v>37</v>
      </c>
      <c r="H964" t="s">
        <v>62</v>
      </c>
      <c r="I964" t="s">
        <v>51</v>
      </c>
      <c r="J964" s="3">
        <v>150000</v>
      </c>
      <c r="K964">
        <v>1</v>
      </c>
      <c r="L964" t="s">
        <v>58</v>
      </c>
      <c r="M964" s="3">
        <v>120000</v>
      </c>
      <c r="N964" s="3">
        <f>Table1[[#This Row],[Unit Price]]*Table1[[#This Row],[Quantity]]</f>
        <v>150000</v>
      </c>
      <c r="O964" s="3">
        <f>Table1[[#This Row],[Cost Price]]*Table1[[#This Row],[Quantity]]</f>
        <v>120000</v>
      </c>
      <c r="P964" s="3">
        <f>Table1[[#This Row],[Revenue]]-Table1[[#This Row],[COGS]]</f>
        <v>30000</v>
      </c>
      <c r="Q964" s="1">
        <v>963</v>
      </c>
    </row>
    <row r="965" spans="1:17">
      <c r="A965" t="s">
        <v>48</v>
      </c>
      <c r="B965" t="str">
        <f>TEXT(Table1[[#This Row],[Date]],"MMMM")</f>
        <v>April</v>
      </c>
      <c r="C965" t="str">
        <f>TEXT(Table1[[#This Row],[Date]],"DDDD")</f>
        <v>Sunday</v>
      </c>
      <c r="D965" t="s">
        <v>44</v>
      </c>
      <c r="E965" t="s">
        <v>36</v>
      </c>
      <c r="F965" t="s">
        <v>29</v>
      </c>
      <c r="G965" t="s">
        <v>30</v>
      </c>
      <c r="H965" t="s">
        <v>71</v>
      </c>
      <c r="I965" t="s">
        <v>51</v>
      </c>
      <c r="J965" s="3">
        <v>250000</v>
      </c>
      <c r="K965">
        <v>8</v>
      </c>
      <c r="L965" t="s">
        <v>65</v>
      </c>
      <c r="M965" s="3">
        <v>200000</v>
      </c>
      <c r="N965" s="3">
        <f>Table1[[#This Row],[Unit Price]]*Table1[[#This Row],[Quantity]]</f>
        <v>2000000</v>
      </c>
      <c r="O965" s="3">
        <f>Table1[[#This Row],[Cost Price]]*Table1[[#This Row],[Quantity]]</f>
        <v>1600000</v>
      </c>
      <c r="P965" s="3">
        <f>Table1[[#This Row],[Revenue]]-Table1[[#This Row],[COGS]]</f>
        <v>400000</v>
      </c>
      <c r="Q965" s="1">
        <v>964</v>
      </c>
    </row>
    <row r="966" spans="1:17">
      <c r="A966" t="s">
        <v>155</v>
      </c>
      <c r="B966" t="str">
        <f>TEXT(Table1[[#This Row],[Date]],"MMMM")</f>
        <v>April</v>
      </c>
      <c r="C966" t="str">
        <f>TEXT(Table1[[#This Row],[Date]],"DDDD")</f>
        <v>Thursday</v>
      </c>
      <c r="D966" t="s">
        <v>27</v>
      </c>
      <c r="E966" t="s">
        <v>53</v>
      </c>
      <c r="F966" t="s">
        <v>29</v>
      </c>
      <c r="G966" t="s">
        <v>30</v>
      </c>
      <c r="H966" t="s">
        <v>50</v>
      </c>
      <c r="I966" t="s">
        <v>51</v>
      </c>
      <c r="J966" s="3">
        <v>300000</v>
      </c>
      <c r="K966">
        <v>10</v>
      </c>
      <c r="L966" t="s">
        <v>69</v>
      </c>
      <c r="M966" s="3">
        <v>240000</v>
      </c>
      <c r="N966" s="3">
        <f>Table1[[#This Row],[Unit Price]]*Table1[[#This Row],[Quantity]]</f>
        <v>3000000</v>
      </c>
      <c r="O966" s="3">
        <f>Table1[[#This Row],[Cost Price]]*Table1[[#This Row],[Quantity]]</f>
        <v>2400000</v>
      </c>
      <c r="P966" s="3">
        <f>Table1[[#This Row],[Revenue]]-Table1[[#This Row],[COGS]]</f>
        <v>600000</v>
      </c>
      <c r="Q966" s="1">
        <v>965</v>
      </c>
    </row>
    <row r="967" spans="1:17">
      <c r="A967" t="s">
        <v>153</v>
      </c>
      <c r="B967" t="str">
        <f>TEXT(Table1[[#This Row],[Date]],"MMMM")</f>
        <v>March</v>
      </c>
      <c r="C967" t="str">
        <f>TEXT(Table1[[#This Row],[Date]],"DDDD")</f>
        <v>Tuesday</v>
      </c>
      <c r="D967" t="s">
        <v>35</v>
      </c>
      <c r="E967" t="s">
        <v>36</v>
      </c>
      <c r="F967" t="s">
        <v>41</v>
      </c>
      <c r="G967" t="s">
        <v>37</v>
      </c>
      <c r="H967" t="s">
        <v>46</v>
      </c>
      <c r="I967" t="s">
        <v>39</v>
      </c>
      <c r="J967" s="3">
        <v>60000</v>
      </c>
      <c r="K967">
        <v>3</v>
      </c>
      <c r="L967" t="s">
        <v>42</v>
      </c>
      <c r="M967" s="3">
        <v>48000</v>
      </c>
      <c r="N967" s="3">
        <f>Table1[[#This Row],[Unit Price]]*Table1[[#This Row],[Quantity]]</f>
        <v>180000</v>
      </c>
      <c r="O967" s="3">
        <f>Table1[[#This Row],[Cost Price]]*Table1[[#This Row],[Quantity]]</f>
        <v>144000</v>
      </c>
      <c r="P967" s="3">
        <f>Table1[[#This Row],[Revenue]]-Table1[[#This Row],[COGS]]</f>
        <v>36000</v>
      </c>
      <c r="Q967" s="1">
        <v>966</v>
      </c>
    </row>
    <row r="968" spans="1:17">
      <c r="A968" t="s">
        <v>152</v>
      </c>
      <c r="B968" t="str">
        <f>TEXT(Table1[[#This Row],[Date]],"MMMM")</f>
        <v>January</v>
      </c>
      <c r="C968" t="str">
        <f>TEXT(Table1[[#This Row],[Date]],"DDDD")</f>
        <v>Friday</v>
      </c>
      <c r="D968" t="s">
        <v>27</v>
      </c>
      <c r="E968" t="s">
        <v>53</v>
      </c>
      <c r="F968" t="s">
        <v>41</v>
      </c>
      <c r="G968" t="s">
        <v>30</v>
      </c>
      <c r="H968" t="s">
        <v>31</v>
      </c>
      <c r="I968" t="s">
        <v>32</v>
      </c>
      <c r="J968" s="3">
        <v>85000</v>
      </c>
      <c r="K968">
        <v>1</v>
      </c>
      <c r="L968" t="s">
        <v>42</v>
      </c>
      <c r="M968" s="3">
        <v>68000</v>
      </c>
      <c r="N968" s="3">
        <f>Table1[[#This Row],[Unit Price]]*Table1[[#This Row],[Quantity]]</f>
        <v>85000</v>
      </c>
      <c r="O968" s="3">
        <f>Table1[[#This Row],[Cost Price]]*Table1[[#This Row],[Quantity]]</f>
        <v>68000</v>
      </c>
      <c r="P968" s="3">
        <f>Table1[[#This Row],[Revenue]]-Table1[[#This Row],[COGS]]</f>
        <v>17000</v>
      </c>
      <c r="Q968" s="1">
        <v>967</v>
      </c>
    </row>
    <row r="969" spans="1:17">
      <c r="A969" t="s">
        <v>119</v>
      </c>
      <c r="B969" t="str">
        <f>TEXT(Table1[[#This Row],[Date]],"MMMM")</f>
        <v>February</v>
      </c>
      <c r="C969" t="str">
        <f>TEXT(Table1[[#This Row],[Date]],"DDDD")</f>
        <v>Sunday</v>
      </c>
      <c r="D969" t="s">
        <v>35</v>
      </c>
      <c r="E969" t="s">
        <v>36</v>
      </c>
      <c r="F969" t="s">
        <v>41</v>
      </c>
      <c r="G969" t="s">
        <v>30</v>
      </c>
      <c r="H969" t="s">
        <v>54</v>
      </c>
      <c r="I969" t="s">
        <v>39</v>
      </c>
      <c r="J969" s="3">
        <v>180000</v>
      </c>
      <c r="K969">
        <v>7</v>
      </c>
      <c r="L969" t="s">
        <v>33</v>
      </c>
      <c r="M969" s="3">
        <v>144000</v>
      </c>
      <c r="N969" s="3">
        <f>Table1[[#This Row],[Unit Price]]*Table1[[#This Row],[Quantity]]</f>
        <v>1260000</v>
      </c>
      <c r="O969" s="3">
        <f>Table1[[#This Row],[Cost Price]]*Table1[[#This Row],[Quantity]]</f>
        <v>1008000</v>
      </c>
      <c r="P969" s="3">
        <f>Table1[[#This Row],[Revenue]]-Table1[[#This Row],[COGS]]</f>
        <v>252000</v>
      </c>
      <c r="Q969" s="1">
        <v>968</v>
      </c>
    </row>
    <row r="970" spans="1:17">
      <c r="A970" t="s">
        <v>171</v>
      </c>
      <c r="B970" t="str">
        <f>TEXT(Table1[[#This Row],[Date]],"MMMM")</f>
        <v>March</v>
      </c>
      <c r="C970" t="str">
        <f>TEXT(Table1[[#This Row],[Date]],"DDDD")</f>
        <v>Monday</v>
      </c>
      <c r="D970" t="s">
        <v>35</v>
      </c>
      <c r="E970" t="s">
        <v>45</v>
      </c>
      <c r="F970" t="s">
        <v>41</v>
      </c>
      <c r="G970" t="s">
        <v>30</v>
      </c>
      <c r="H970" t="s">
        <v>71</v>
      </c>
      <c r="I970" t="s">
        <v>51</v>
      </c>
      <c r="J970" s="3">
        <v>250000</v>
      </c>
      <c r="K970">
        <v>6</v>
      </c>
      <c r="L970" t="s">
        <v>47</v>
      </c>
      <c r="M970" s="3">
        <v>200000</v>
      </c>
      <c r="N970" s="3">
        <f>Table1[[#This Row],[Unit Price]]*Table1[[#This Row],[Quantity]]</f>
        <v>1500000</v>
      </c>
      <c r="O970" s="3">
        <f>Table1[[#This Row],[Cost Price]]*Table1[[#This Row],[Quantity]]</f>
        <v>1200000</v>
      </c>
      <c r="P970" s="3">
        <f>Table1[[#This Row],[Revenue]]-Table1[[#This Row],[COGS]]</f>
        <v>300000</v>
      </c>
      <c r="Q970" s="1">
        <v>969</v>
      </c>
    </row>
    <row r="971" spans="1:17">
      <c r="A971" t="s">
        <v>100</v>
      </c>
      <c r="B971" t="str">
        <f>TEXT(Table1[[#This Row],[Date]],"MMMM")</f>
        <v>January</v>
      </c>
      <c r="C971" t="str">
        <f>TEXT(Table1[[#This Row],[Date]],"DDDD")</f>
        <v>Monday</v>
      </c>
      <c r="D971" t="s">
        <v>27</v>
      </c>
      <c r="E971" t="s">
        <v>28</v>
      </c>
      <c r="F971" t="s">
        <v>41</v>
      </c>
      <c r="G971" t="s">
        <v>30</v>
      </c>
      <c r="H971" t="s">
        <v>67</v>
      </c>
      <c r="I971" t="s">
        <v>51</v>
      </c>
      <c r="J971" s="3">
        <v>420000</v>
      </c>
      <c r="K971">
        <v>3</v>
      </c>
      <c r="L971" t="s">
        <v>33</v>
      </c>
      <c r="M971" s="3">
        <v>336000</v>
      </c>
      <c r="N971" s="3">
        <f>Table1[[#This Row],[Unit Price]]*Table1[[#This Row],[Quantity]]</f>
        <v>1260000</v>
      </c>
      <c r="O971" s="3">
        <f>Table1[[#This Row],[Cost Price]]*Table1[[#This Row],[Quantity]]</f>
        <v>1008000</v>
      </c>
      <c r="P971" s="3">
        <f>Table1[[#This Row],[Revenue]]-Table1[[#This Row],[COGS]]</f>
        <v>252000</v>
      </c>
      <c r="Q971" s="1">
        <v>970</v>
      </c>
    </row>
    <row r="972" spans="1:17">
      <c r="A972" t="s">
        <v>157</v>
      </c>
      <c r="B972" t="str">
        <f>TEXT(Table1[[#This Row],[Date]],"MMMM")</f>
        <v>April</v>
      </c>
      <c r="C972" t="str">
        <f>TEXT(Table1[[#This Row],[Date]],"DDDD")</f>
        <v>Tuesday</v>
      </c>
      <c r="D972" t="s">
        <v>27</v>
      </c>
      <c r="E972" t="s">
        <v>28</v>
      </c>
      <c r="F972" t="s">
        <v>29</v>
      </c>
      <c r="G972" t="s">
        <v>30</v>
      </c>
      <c r="H972" t="s">
        <v>38</v>
      </c>
      <c r="I972" t="s">
        <v>39</v>
      </c>
      <c r="J972" s="3">
        <v>30000</v>
      </c>
      <c r="K972">
        <v>1</v>
      </c>
      <c r="L972" t="s">
        <v>47</v>
      </c>
      <c r="M972" s="3">
        <v>24000</v>
      </c>
      <c r="N972" s="3">
        <f>Table1[[#This Row],[Unit Price]]*Table1[[#This Row],[Quantity]]</f>
        <v>30000</v>
      </c>
      <c r="O972" s="3">
        <f>Table1[[#This Row],[Cost Price]]*Table1[[#This Row],[Quantity]]</f>
        <v>24000</v>
      </c>
      <c r="P972" s="3">
        <f>Table1[[#This Row],[Revenue]]-Table1[[#This Row],[COGS]]</f>
        <v>6000</v>
      </c>
      <c r="Q972" s="1">
        <v>971</v>
      </c>
    </row>
    <row r="973" spans="1:17">
      <c r="A973" t="s">
        <v>146</v>
      </c>
      <c r="B973" t="str">
        <f>TEXT(Table1[[#This Row],[Date]],"MMMM")</f>
        <v>January</v>
      </c>
      <c r="C973" t="str">
        <f>TEXT(Table1[[#This Row],[Date]],"DDDD")</f>
        <v>Tuesday</v>
      </c>
      <c r="D973" t="s">
        <v>49</v>
      </c>
      <c r="E973" t="s">
        <v>28</v>
      </c>
      <c r="F973" t="s">
        <v>41</v>
      </c>
      <c r="G973" t="s">
        <v>37</v>
      </c>
      <c r="H973" t="s">
        <v>71</v>
      </c>
      <c r="I973" t="s">
        <v>51</v>
      </c>
      <c r="J973" s="3">
        <v>250000</v>
      </c>
      <c r="K973">
        <v>3</v>
      </c>
      <c r="L973" t="s">
        <v>33</v>
      </c>
      <c r="M973" s="3">
        <v>200000</v>
      </c>
      <c r="N973" s="3">
        <f>Table1[[#This Row],[Unit Price]]*Table1[[#This Row],[Quantity]]</f>
        <v>750000</v>
      </c>
      <c r="O973" s="3">
        <f>Table1[[#This Row],[Cost Price]]*Table1[[#This Row],[Quantity]]</f>
        <v>600000</v>
      </c>
      <c r="P973" s="3">
        <f>Table1[[#This Row],[Revenue]]-Table1[[#This Row],[COGS]]</f>
        <v>150000</v>
      </c>
      <c r="Q973" s="1">
        <v>972</v>
      </c>
    </row>
    <row r="974" spans="1:17">
      <c r="A974" t="s">
        <v>60</v>
      </c>
      <c r="B974" t="str">
        <f>TEXT(Table1[[#This Row],[Date]],"MMMM")</f>
        <v>March</v>
      </c>
      <c r="C974" t="str">
        <f>TEXT(Table1[[#This Row],[Date]],"DDDD")</f>
        <v>Wednesday</v>
      </c>
      <c r="D974" t="s">
        <v>35</v>
      </c>
      <c r="E974" t="s">
        <v>45</v>
      </c>
      <c r="F974" t="s">
        <v>29</v>
      </c>
      <c r="G974" t="s">
        <v>30</v>
      </c>
      <c r="H974" t="s">
        <v>56</v>
      </c>
      <c r="I974" t="s">
        <v>32</v>
      </c>
      <c r="J974" s="3">
        <v>320000</v>
      </c>
      <c r="K974">
        <v>10</v>
      </c>
      <c r="L974" t="s">
        <v>33</v>
      </c>
      <c r="M974" s="3">
        <v>256000</v>
      </c>
      <c r="N974" s="3">
        <f>Table1[[#This Row],[Unit Price]]*Table1[[#This Row],[Quantity]]</f>
        <v>3200000</v>
      </c>
      <c r="O974" s="3">
        <f>Table1[[#This Row],[Cost Price]]*Table1[[#This Row],[Quantity]]</f>
        <v>2560000</v>
      </c>
      <c r="P974" s="3">
        <f>Table1[[#This Row],[Revenue]]-Table1[[#This Row],[COGS]]</f>
        <v>640000</v>
      </c>
      <c r="Q974" s="1">
        <v>973</v>
      </c>
    </row>
    <row r="975" spans="1:17">
      <c r="A975" t="s">
        <v>142</v>
      </c>
      <c r="B975" t="str">
        <f>TEXT(Table1[[#This Row],[Date]],"MMMM")</f>
        <v>April</v>
      </c>
      <c r="C975" t="str">
        <f>TEXT(Table1[[#This Row],[Date]],"DDDD")</f>
        <v>Monday</v>
      </c>
      <c r="D975" t="s">
        <v>27</v>
      </c>
      <c r="E975" t="s">
        <v>28</v>
      </c>
      <c r="F975" t="s">
        <v>29</v>
      </c>
      <c r="G975" t="s">
        <v>37</v>
      </c>
      <c r="H975" t="s">
        <v>71</v>
      </c>
      <c r="I975" t="s">
        <v>51</v>
      </c>
      <c r="J975" s="3">
        <v>250000</v>
      </c>
      <c r="K975">
        <v>7</v>
      </c>
      <c r="L975" t="s">
        <v>42</v>
      </c>
      <c r="M975" s="3">
        <v>200000</v>
      </c>
      <c r="N975" s="3">
        <f>Table1[[#This Row],[Unit Price]]*Table1[[#This Row],[Quantity]]</f>
        <v>1750000</v>
      </c>
      <c r="O975" s="3">
        <f>Table1[[#This Row],[Cost Price]]*Table1[[#This Row],[Quantity]]</f>
        <v>1400000</v>
      </c>
      <c r="P975" s="3">
        <f>Table1[[#This Row],[Revenue]]-Table1[[#This Row],[COGS]]</f>
        <v>350000</v>
      </c>
      <c r="Q975" s="1">
        <v>974</v>
      </c>
    </row>
    <row r="976" spans="1:17">
      <c r="A976" t="s">
        <v>90</v>
      </c>
      <c r="B976" t="str">
        <f>TEXT(Table1[[#This Row],[Date]],"MMMM")</f>
        <v>February</v>
      </c>
      <c r="C976" t="str">
        <f>TEXT(Table1[[#This Row],[Date]],"DDDD")</f>
        <v>Tuesday</v>
      </c>
      <c r="D976" t="s">
        <v>49</v>
      </c>
      <c r="E976" t="s">
        <v>36</v>
      </c>
      <c r="F976" t="s">
        <v>41</v>
      </c>
      <c r="G976" t="s">
        <v>30</v>
      </c>
      <c r="H976" t="s">
        <v>56</v>
      </c>
      <c r="I976" t="s">
        <v>32</v>
      </c>
      <c r="J976" s="3">
        <v>320000</v>
      </c>
      <c r="K976">
        <v>2</v>
      </c>
      <c r="L976" t="s">
        <v>47</v>
      </c>
      <c r="M976" s="3">
        <v>256000</v>
      </c>
      <c r="N976" s="3">
        <f>Table1[[#This Row],[Unit Price]]*Table1[[#This Row],[Quantity]]</f>
        <v>640000</v>
      </c>
      <c r="O976" s="3">
        <f>Table1[[#This Row],[Cost Price]]*Table1[[#This Row],[Quantity]]</f>
        <v>512000</v>
      </c>
      <c r="P976" s="3">
        <f>Table1[[#This Row],[Revenue]]-Table1[[#This Row],[COGS]]</f>
        <v>128000</v>
      </c>
      <c r="Q976" s="1">
        <v>975</v>
      </c>
    </row>
    <row r="977" spans="1:17">
      <c r="A977" t="s">
        <v>121</v>
      </c>
      <c r="B977" t="str">
        <f>TEXT(Table1[[#This Row],[Date]],"MMMM")</f>
        <v>April</v>
      </c>
      <c r="C977" t="str">
        <f>TEXT(Table1[[#This Row],[Date]],"DDDD")</f>
        <v>Wednesday</v>
      </c>
      <c r="D977" t="s">
        <v>49</v>
      </c>
      <c r="E977" t="s">
        <v>28</v>
      </c>
      <c r="F977" t="s">
        <v>41</v>
      </c>
      <c r="G977" t="s">
        <v>37</v>
      </c>
      <c r="H977" t="s">
        <v>73</v>
      </c>
      <c r="I977" t="s">
        <v>39</v>
      </c>
      <c r="J977" s="3">
        <v>220000</v>
      </c>
      <c r="K977">
        <v>5</v>
      </c>
      <c r="L977" t="s">
        <v>58</v>
      </c>
      <c r="M977" s="3">
        <v>176000</v>
      </c>
      <c r="N977" s="3">
        <f>Table1[[#This Row],[Unit Price]]*Table1[[#This Row],[Quantity]]</f>
        <v>1100000</v>
      </c>
      <c r="O977" s="3">
        <f>Table1[[#This Row],[Cost Price]]*Table1[[#This Row],[Quantity]]</f>
        <v>880000</v>
      </c>
      <c r="P977" s="3">
        <f>Table1[[#This Row],[Revenue]]-Table1[[#This Row],[COGS]]</f>
        <v>220000</v>
      </c>
      <c r="Q977" s="1">
        <v>976</v>
      </c>
    </row>
    <row r="978" spans="1:17">
      <c r="A978" t="s">
        <v>148</v>
      </c>
      <c r="B978" t="str">
        <f>TEXT(Table1[[#This Row],[Date]],"MMMM")</f>
        <v>February</v>
      </c>
      <c r="C978" t="str">
        <f>TEXT(Table1[[#This Row],[Date]],"DDDD")</f>
        <v>Sunday</v>
      </c>
      <c r="D978" t="s">
        <v>49</v>
      </c>
      <c r="E978" t="s">
        <v>53</v>
      </c>
      <c r="F978" t="s">
        <v>41</v>
      </c>
      <c r="G978" t="s">
        <v>37</v>
      </c>
      <c r="H978" t="s">
        <v>67</v>
      </c>
      <c r="I978" t="s">
        <v>51</v>
      </c>
      <c r="J978" s="3">
        <v>420000</v>
      </c>
      <c r="K978">
        <v>3</v>
      </c>
      <c r="L978" t="s">
        <v>58</v>
      </c>
      <c r="M978" s="3">
        <v>336000</v>
      </c>
      <c r="N978" s="3">
        <f>Table1[[#This Row],[Unit Price]]*Table1[[#This Row],[Quantity]]</f>
        <v>1260000</v>
      </c>
      <c r="O978" s="3">
        <f>Table1[[#This Row],[Cost Price]]*Table1[[#This Row],[Quantity]]</f>
        <v>1008000</v>
      </c>
      <c r="P978" s="3">
        <f>Table1[[#This Row],[Revenue]]-Table1[[#This Row],[COGS]]</f>
        <v>252000</v>
      </c>
      <c r="Q978" s="1">
        <v>977</v>
      </c>
    </row>
    <row r="979" spans="1:17">
      <c r="A979" t="s">
        <v>80</v>
      </c>
      <c r="B979" t="str">
        <f>TEXT(Table1[[#This Row],[Date]],"MMMM")</f>
        <v>February</v>
      </c>
      <c r="C979" t="str">
        <f>TEXT(Table1[[#This Row],[Date]],"DDDD")</f>
        <v>Sunday</v>
      </c>
      <c r="D979" t="s">
        <v>49</v>
      </c>
      <c r="E979" t="s">
        <v>36</v>
      </c>
      <c r="F979" t="s">
        <v>41</v>
      </c>
      <c r="G979" t="s">
        <v>30</v>
      </c>
      <c r="H979" t="s">
        <v>73</v>
      </c>
      <c r="I979" t="s">
        <v>39</v>
      </c>
      <c r="J979" s="3">
        <v>220000</v>
      </c>
      <c r="K979">
        <v>3</v>
      </c>
      <c r="L979" t="s">
        <v>47</v>
      </c>
      <c r="M979" s="3">
        <v>176000</v>
      </c>
      <c r="N979" s="3">
        <f>Table1[[#This Row],[Unit Price]]*Table1[[#This Row],[Quantity]]</f>
        <v>660000</v>
      </c>
      <c r="O979" s="3">
        <f>Table1[[#This Row],[Cost Price]]*Table1[[#This Row],[Quantity]]</f>
        <v>528000</v>
      </c>
      <c r="P979" s="3">
        <f>Table1[[#This Row],[Revenue]]-Table1[[#This Row],[COGS]]</f>
        <v>132000</v>
      </c>
      <c r="Q979" s="1">
        <v>978</v>
      </c>
    </row>
    <row r="980" spans="1:17">
      <c r="A980" t="s">
        <v>114</v>
      </c>
      <c r="B980" t="str">
        <f>TEXT(Table1[[#This Row],[Date]],"MMMM")</f>
        <v>April</v>
      </c>
      <c r="C980" t="str">
        <f>TEXT(Table1[[#This Row],[Date]],"DDDD")</f>
        <v>Sunday</v>
      </c>
      <c r="D980" t="s">
        <v>44</v>
      </c>
      <c r="E980" t="s">
        <v>28</v>
      </c>
      <c r="F980" t="s">
        <v>41</v>
      </c>
      <c r="G980" t="s">
        <v>30</v>
      </c>
      <c r="H980" t="s">
        <v>56</v>
      </c>
      <c r="I980" t="s">
        <v>32</v>
      </c>
      <c r="J980" s="3">
        <v>320000</v>
      </c>
      <c r="K980">
        <v>5</v>
      </c>
      <c r="L980" t="s">
        <v>42</v>
      </c>
      <c r="M980" s="3">
        <v>256000</v>
      </c>
      <c r="N980" s="3">
        <f>Table1[[#This Row],[Unit Price]]*Table1[[#This Row],[Quantity]]</f>
        <v>1600000</v>
      </c>
      <c r="O980" s="3">
        <f>Table1[[#This Row],[Cost Price]]*Table1[[#This Row],[Quantity]]</f>
        <v>1280000</v>
      </c>
      <c r="P980" s="3">
        <f>Table1[[#This Row],[Revenue]]-Table1[[#This Row],[COGS]]</f>
        <v>320000</v>
      </c>
      <c r="Q980" s="1">
        <v>979</v>
      </c>
    </row>
    <row r="981" spans="1:17">
      <c r="A981" t="s">
        <v>86</v>
      </c>
      <c r="B981" t="str">
        <f>TEXT(Table1[[#This Row],[Date]],"MMMM")</f>
        <v>February</v>
      </c>
      <c r="C981" t="str">
        <f>TEXT(Table1[[#This Row],[Date]],"DDDD")</f>
        <v>Thursday</v>
      </c>
      <c r="D981" t="s">
        <v>35</v>
      </c>
      <c r="E981" t="s">
        <v>45</v>
      </c>
      <c r="F981" t="s">
        <v>29</v>
      </c>
      <c r="G981" t="s">
        <v>37</v>
      </c>
      <c r="H981" t="s">
        <v>31</v>
      </c>
      <c r="I981" t="s">
        <v>32</v>
      </c>
      <c r="J981" s="3">
        <v>85000</v>
      </c>
      <c r="K981">
        <v>8</v>
      </c>
      <c r="L981" t="s">
        <v>33</v>
      </c>
      <c r="M981" s="3">
        <v>68000</v>
      </c>
      <c r="N981" s="3">
        <f>Table1[[#This Row],[Unit Price]]*Table1[[#This Row],[Quantity]]</f>
        <v>680000</v>
      </c>
      <c r="O981" s="3">
        <f>Table1[[#This Row],[Cost Price]]*Table1[[#This Row],[Quantity]]</f>
        <v>544000</v>
      </c>
      <c r="P981" s="3">
        <f>Table1[[#This Row],[Revenue]]-Table1[[#This Row],[COGS]]</f>
        <v>136000</v>
      </c>
      <c r="Q981" s="1">
        <v>980</v>
      </c>
    </row>
    <row r="982" spans="1:17">
      <c r="A982" t="s">
        <v>86</v>
      </c>
      <c r="B982" t="str">
        <f>TEXT(Table1[[#This Row],[Date]],"MMMM")</f>
        <v>February</v>
      </c>
      <c r="C982" t="str">
        <f>TEXT(Table1[[#This Row],[Date]],"DDDD")</f>
        <v>Thursday</v>
      </c>
      <c r="D982" t="s">
        <v>35</v>
      </c>
      <c r="E982" t="s">
        <v>53</v>
      </c>
      <c r="F982" t="s">
        <v>41</v>
      </c>
      <c r="G982" t="s">
        <v>37</v>
      </c>
      <c r="H982" t="s">
        <v>62</v>
      </c>
      <c r="I982" t="s">
        <v>51</v>
      </c>
      <c r="J982" s="3">
        <v>150000</v>
      </c>
      <c r="K982">
        <v>9</v>
      </c>
      <c r="L982" t="s">
        <v>69</v>
      </c>
      <c r="M982" s="3">
        <v>120000</v>
      </c>
      <c r="N982" s="3">
        <f>Table1[[#This Row],[Unit Price]]*Table1[[#This Row],[Quantity]]</f>
        <v>1350000</v>
      </c>
      <c r="O982" s="3">
        <f>Table1[[#This Row],[Cost Price]]*Table1[[#This Row],[Quantity]]</f>
        <v>1080000</v>
      </c>
      <c r="P982" s="3">
        <f>Table1[[#This Row],[Revenue]]-Table1[[#This Row],[COGS]]</f>
        <v>270000</v>
      </c>
      <c r="Q982" s="1">
        <v>981</v>
      </c>
    </row>
    <row r="983" spans="1:17">
      <c r="A983" t="s">
        <v>72</v>
      </c>
      <c r="B983" t="str">
        <f>TEXT(Table1[[#This Row],[Date]],"MMMM")</f>
        <v>February</v>
      </c>
      <c r="C983" t="str">
        <f>TEXT(Table1[[#This Row],[Date]],"DDDD")</f>
        <v>Wednesday</v>
      </c>
      <c r="D983" t="s">
        <v>27</v>
      </c>
      <c r="E983" t="s">
        <v>28</v>
      </c>
      <c r="F983" t="s">
        <v>41</v>
      </c>
      <c r="G983" t="s">
        <v>30</v>
      </c>
      <c r="H983" t="s">
        <v>71</v>
      </c>
      <c r="I983" t="s">
        <v>51</v>
      </c>
      <c r="J983" s="3">
        <v>250000</v>
      </c>
      <c r="K983">
        <v>4</v>
      </c>
      <c r="L983" t="s">
        <v>58</v>
      </c>
      <c r="M983" s="3">
        <v>200000</v>
      </c>
      <c r="N983" s="3">
        <f>Table1[[#This Row],[Unit Price]]*Table1[[#This Row],[Quantity]]</f>
        <v>1000000</v>
      </c>
      <c r="O983" s="3">
        <f>Table1[[#This Row],[Cost Price]]*Table1[[#This Row],[Quantity]]</f>
        <v>800000</v>
      </c>
      <c r="P983" s="3">
        <f>Table1[[#This Row],[Revenue]]-Table1[[#This Row],[COGS]]</f>
        <v>200000</v>
      </c>
      <c r="Q983" s="1">
        <v>982</v>
      </c>
    </row>
    <row r="984" spans="1:17">
      <c r="A984" t="s">
        <v>95</v>
      </c>
      <c r="B984" t="str">
        <f>TEXT(Table1[[#This Row],[Date]],"MMMM")</f>
        <v>February</v>
      </c>
      <c r="C984" t="str">
        <f>TEXT(Table1[[#This Row],[Date]],"DDDD")</f>
        <v>Saturday</v>
      </c>
      <c r="D984" t="s">
        <v>49</v>
      </c>
      <c r="E984" t="s">
        <v>36</v>
      </c>
      <c r="F984" t="s">
        <v>29</v>
      </c>
      <c r="G984" t="s">
        <v>37</v>
      </c>
      <c r="H984" t="s">
        <v>73</v>
      </c>
      <c r="I984" t="s">
        <v>39</v>
      </c>
      <c r="J984" s="3">
        <v>220000</v>
      </c>
      <c r="K984">
        <v>4</v>
      </c>
      <c r="L984" t="s">
        <v>58</v>
      </c>
      <c r="M984" s="3">
        <v>176000</v>
      </c>
      <c r="N984" s="3">
        <f>Table1[[#This Row],[Unit Price]]*Table1[[#This Row],[Quantity]]</f>
        <v>880000</v>
      </c>
      <c r="O984" s="3">
        <f>Table1[[#This Row],[Cost Price]]*Table1[[#This Row],[Quantity]]</f>
        <v>704000</v>
      </c>
      <c r="P984" s="3">
        <f>Table1[[#This Row],[Revenue]]-Table1[[#This Row],[COGS]]</f>
        <v>176000</v>
      </c>
      <c r="Q984" s="1">
        <v>983</v>
      </c>
    </row>
    <row r="985" spans="1:17">
      <c r="A985" t="s">
        <v>137</v>
      </c>
      <c r="B985" t="str">
        <f>TEXT(Table1[[#This Row],[Date]],"MMMM")</f>
        <v>April</v>
      </c>
      <c r="C985" t="str">
        <f>TEXT(Table1[[#This Row],[Date]],"DDDD")</f>
        <v>Wednesday</v>
      </c>
      <c r="D985" t="s">
        <v>49</v>
      </c>
      <c r="E985" t="s">
        <v>28</v>
      </c>
      <c r="F985" t="s">
        <v>41</v>
      </c>
      <c r="G985" t="s">
        <v>37</v>
      </c>
      <c r="H985" t="s">
        <v>31</v>
      </c>
      <c r="I985" t="s">
        <v>32</v>
      </c>
      <c r="J985" s="3">
        <v>85000</v>
      </c>
      <c r="K985">
        <v>2</v>
      </c>
      <c r="L985" t="s">
        <v>33</v>
      </c>
      <c r="M985" s="3">
        <v>68000</v>
      </c>
      <c r="N985" s="3">
        <f>Table1[[#This Row],[Unit Price]]*Table1[[#This Row],[Quantity]]</f>
        <v>170000</v>
      </c>
      <c r="O985" s="3">
        <f>Table1[[#This Row],[Cost Price]]*Table1[[#This Row],[Quantity]]</f>
        <v>136000</v>
      </c>
      <c r="P985" s="3">
        <f>Table1[[#This Row],[Revenue]]-Table1[[#This Row],[COGS]]</f>
        <v>34000</v>
      </c>
      <c r="Q985" s="1">
        <v>984</v>
      </c>
    </row>
    <row r="986" spans="1:17">
      <c r="A986" t="s">
        <v>159</v>
      </c>
      <c r="B986" t="str">
        <f>TEXT(Table1[[#This Row],[Date]],"MMMM")</f>
        <v>February</v>
      </c>
      <c r="C986" t="str">
        <f>TEXT(Table1[[#This Row],[Date]],"DDDD")</f>
        <v>Sunday</v>
      </c>
      <c r="D986" t="s">
        <v>35</v>
      </c>
      <c r="E986" t="s">
        <v>28</v>
      </c>
      <c r="F986" t="s">
        <v>29</v>
      </c>
      <c r="G986" t="s">
        <v>30</v>
      </c>
      <c r="H986" t="s">
        <v>71</v>
      </c>
      <c r="I986" t="s">
        <v>51</v>
      </c>
      <c r="J986" s="3">
        <v>250000</v>
      </c>
      <c r="K986">
        <v>3</v>
      </c>
      <c r="L986" t="s">
        <v>58</v>
      </c>
      <c r="M986" s="3">
        <v>200000</v>
      </c>
      <c r="N986" s="3">
        <f>Table1[[#This Row],[Unit Price]]*Table1[[#This Row],[Quantity]]</f>
        <v>750000</v>
      </c>
      <c r="O986" s="3">
        <f>Table1[[#This Row],[Cost Price]]*Table1[[#This Row],[Quantity]]</f>
        <v>600000</v>
      </c>
      <c r="P986" s="3">
        <f>Table1[[#This Row],[Revenue]]-Table1[[#This Row],[COGS]]</f>
        <v>150000</v>
      </c>
      <c r="Q986" s="1">
        <v>985</v>
      </c>
    </row>
    <row r="987" spans="1:17">
      <c r="A987" t="s">
        <v>150</v>
      </c>
      <c r="B987" t="str">
        <f>TEXT(Table1[[#This Row],[Date]],"MMMM")</f>
        <v>January</v>
      </c>
      <c r="C987" t="str">
        <f>TEXT(Table1[[#This Row],[Date]],"DDDD")</f>
        <v>Sunday</v>
      </c>
      <c r="D987" t="s">
        <v>49</v>
      </c>
      <c r="E987" t="s">
        <v>45</v>
      </c>
      <c r="F987" t="s">
        <v>41</v>
      </c>
      <c r="G987" t="s">
        <v>30</v>
      </c>
      <c r="H987" t="s">
        <v>62</v>
      </c>
      <c r="I987" t="s">
        <v>51</v>
      </c>
      <c r="J987" s="3">
        <v>150000</v>
      </c>
      <c r="K987">
        <v>4</v>
      </c>
      <c r="L987" t="s">
        <v>58</v>
      </c>
      <c r="M987" s="3">
        <v>120000</v>
      </c>
      <c r="N987" s="3">
        <f>Table1[[#This Row],[Unit Price]]*Table1[[#This Row],[Quantity]]</f>
        <v>600000</v>
      </c>
      <c r="O987" s="3">
        <f>Table1[[#This Row],[Cost Price]]*Table1[[#This Row],[Quantity]]</f>
        <v>480000</v>
      </c>
      <c r="P987" s="3">
        <f>Table1[[#This Row],[Revenue]]-Table1[[#This Row],[COGS]]</f>
        <v>120000</v>
      </c>
      <c r="Q987" s="1">
        <v>986</v>
      </c>
    </row>
    <row r="988" spans="1:17">
      <c r="A988" t="s">
        <v>154</v>
      </c>
      <c r="B988" t="str">
        <f>TEXT(Table1[[#This Row],[Date]],"MMMM")</f>
        <v>February</v>
      </c>
      <c r="C988" t="str">
        <f>TEXT(Table1[[#This Row],[Date]],"DDDD")</f>
        <v>Saturday</v>
      </c>
      <c r="D988" t="s">
        <v>49</v>
      </c>
      <c r="E988" t="s">
        <v>28</v>
      </c>
      <c r="F988" t="s">
        <v>29</v>
      </c>
      <c r="G988" t="s">
        <v>30</v>
      </c>
      <c r="H988" t="s">
        <v>31</v>
      </c>
      <c r="I988" t="s">
        <v>32</v>
      </c>
      <c r="J988" s="3">
        <v>85000</v>
      </c>
      <c r="K988">
        <v>2</v>
      </c>
      <c r="L988" t="s">
        <v>33</v>
      </c>
      <c r="M988" s="3">
        <v>68000</v>
      </c>
      <c r="N988" s="3">
        <f>Table1[[#This Row],[Unit Price]]*Table1[[#This Row],[Quantity]]</f>
        <v>170000</v>
      </c>
      <c r="O988" s="3">
        <f>Table1[[#This Row],[Cost Price]]*Table1[[#This Row],[Quantity]]</f>
        <v>136000</v>
      </c>
      <c r="P988" s="3">
        <f>Table1[[#This Row],[Revenue]]-Table1[[#This Row],[COGS]]</f>
        <v>34000</v>
      </c>
      <c r="Q988" s="1">
        <v>987</v>
      </c>
    </row>
    <row r="989" spans="1:17">
      <c r="A989" t="s">
        <v>98</v>
      </c>
      <c r="B989" t="str">
        <f>TEXT(Table1[[#This Row],[Date]],"MMMM")</f>
        <v>January</v>
      </c>
      <c r="C989" t="str">
        <f>TEXT(Table1[[#This Row],[Date]],"DDDD")</f>
        <v>Friday</v>
      </c>
      <c r="D989" t="s">
        <v>27</v>
      </c>
      <c r="E989" t="s">
        <v>45</v>
      </c>
      <c r="F989" t="s">
        <v>41</v>
      </c>
      <c r="G989" t="s">
        <v>37</v>
      </c>
      <c r="H989" t="s">
        <v>62</v>
      </c>
      <c r="I989" t="s">
        <v>51</v>
      </c>
      <c r="J989" s="3">
        <v>150000</v>
      </c>
      <c r="K989">
        <v>4</v>
      </c>
      <c r="L989" t="s">
        <v>47</v>
      </c>
      <c r="M989" s="3">
        <v>120000</v>
      </c>
      <c r="N989" s="3">
        <f>Table1[[#This Row],[Unit Price]]*Table1[[#This Row],[Quantity]]</f>
        <v>600000</v>
      </c>
      <c r="O989" s="3">
        <f>Table1[[#This Row],[Cost Price]]*Table1[[#This Row],[Quantity]]</f>
        <v>480000</v>
      </c>
      <c r="P989" s="3">
        <f>Table1[[#This Row],[Revenue]]-Table1[[#This Row],[COGS]]</f>
        <v>120000</v>
      </c>
      <c r="Q989" s="1">
        <v>988</v>
      </c>
    </row>
    <row r="990" spans="1:17">
      <c r="A990" t="s">
        <v>86</v>
      </c>
      <c r="B990" t="str">
        <f>TEXT(Table1[[#This Row],[Date]],"MMMM")</f>
        <v>February</v>
      </c>
      <c r="C990" t="str">
        <f>TEXT(Table1[[#This Row],[Date]],"DDDD")</f>
        <v>Thursday</v>
      </c>
      <c r="D990" t="s">
        <v>49</v>
      </c>
      <c r="E990" t="s">
        <v>28</v>
      </c>
      <c r="F990" t="s">
        <v>29</v>
      </c>
      <c r="G990" t="s">
        <v>30</v>
      </c>
      <c r="H990" t="s">
        <v>62</v>
      </c>
      <c r="I990" t="s">
        <v>51</v>
      </c>
      <c r="J990" s="3">
        <v>150000</v>
      </c>
      <c r="K990">
        <v>3</v>
      </c>
      <c r="L990" t="s">
        <v>42</v>
      </c>
      <c r="M990" s="3">
        <v>120000</v>
      </c>
      <c r="N990" s="3">
        <f>Table1[[#This Row],[Unit Price]]*Table1[[#This Row],[Quantity]]</f>
        <v>450000</v>
      </c>
      <c r="O990" s="3">
        <f>Table1[[#This Row],[Cost Price]]*Table1[[#This Row],[Quantity]]</f>
        <v>360000</v>
      </c>
      <c r="P990" s="3">
        <f>Table1[[#This Row],[Revenue]]-Table1[[#This Row],[COGS]]</f>
        <v>90000</v>
      </c>
      <c r="Q990" s="1">
        <v>989</v>
      </c>
    </row>
    <row r="991" spans="1:17">
      <c r="A991" t="s">
        <v>133</v>
      </c>
      <c r="B991" t="str">
        <f>TEXT(Table1[[#This Row],[Date]],"MMMM")</f>
        <v>January</v>
      </c>
      <c r="C991" t="str">
        <f>TEXT(Table1[[#This Row],[Date]],"DDDD")</f>
        <v>Wednesday</v>
      </c>
      <c r="D991" t="s">
        <v>49</v>
      </c>
      <c r="E991" t="s">
        <v>28</v>
      </c>
      <c r="F991" t="s">
        <v>41</v>
      </c>
      <c r="G991" t="s">
        <v>30</v>
      </c>
      <c r="H991" t="s">
        <v>38</v>
      </c>
      <c r="I991" t="s">
        <v>39</v>
      </c>
      <c r="J991" s="3">
        <v>30000</v>
      </c>
      <c r="K991">
        <v>3</v>
      </c>
      <c r="L991" t="s">
        <v>42</v>
      </c>
      <c r="M991" s="3">
        <v>24000</v>
      </c>
      <c r="N991" s="3">
        <f>Table1[[#This Row],[Unit Price]]*Table1[[#This Row],[Quantity]]</f>
        <v>90000</v>
      </c>
      <c r="O991" s="3">
        <f>Table1[[#This Row],[Cost Price]]*Table1[[#This Row],[Quantity]]</f>
        <v>72000</v>
      </c>
      <c r="P991" s="3">
        <f>Table1[[#This Row],[Revenue]]-Table1[[#This Row],[COGS]]</f>
        <v>18000</v>
      </c>
      <c r="Q991" s="1">
        <v>990</v>
      </c>
    </row>
    <row r="992" spans="1:17">
      <c r="A992" t="s">
        <v>43</v>
      </c>
      <c r="B992" t="str">
        <f>TEXT(Table1[[#This Row],[Date]],"MMMM")</f>
        <v>April</v>
      </c>
      <c r="C992" t="str">
        <f>TEXT(Table1[[#This Row],[Date]],"DDDD")</f>
        <v>Friday</v>
      </c>
      <c r="D992" t="s">
        <v>49</v>
      </c>
      <c r="E992" t="s">
        <v>36</v>
      </c>
      <c r="F992" t="s">
        <v>41</v>
      </c>
      <c r="G992" t="s">
        <v>37</v>
      </c>
      <c r="H992" t="s">
        <v>56</v>
      </c>
      <c r="I992" t="s">
        <v>32</v>
      </c>
      <c r="J992" s="3">
        <v>320000</v>
      </c>
      <c r="K992">
        <v>5</v>
      </c>
      <c r="L992" t="s">
        <v>69</v>
      </c>
      <c r="M992" s="3">
        <v>256000</v>
      </c>
      <c r="N992" s="3">
        <f>Table1[[#This Row],[Unit Price]]*Table1[[#This Row],[Quantity]]</f>
        <v>1600000</v>
      </c>
      <c r="O992" s="3">
        <f>Table1[[#This Row],[Cost Price]]*Table1[[#This Row],[Quantity]]</f>
        <v>1280000</v>
      </c>
      <c r="P992" s="3">
        <f>Table1[[#This Row],[Revenue]]-Table1[[#This Row],[COGS]]</f>
        <v>320000</v>
      </c>
      <c r="Q992" s="1">
        <v>991</v>
      </c>
    </row>
    <row r="993" spans="1:17">
      <c r="A993" t="s">
        <v>43</v>
      </c>
      <c r="B993" t="str">
        <f>TEXT(Table1[[#This Row],[Date]],"MMMM")</f>
        <v>April</v>
      </c>
      <c r="C993" t="str">
        <f>TEXT(Table1[[#This Row],[Date]],"DDDD")</f>
        <v>Friday</v>
      </c>
      <c r="D993" t="s">
        <v>35</v>
      </c>
      <c r="E993" t="s">
        <v>53</v>
      </c>
      <c r="F993" t="s">
        <v>41</v>
      </c>
      <c r="G993" t="s">
        <v>30</v>
      </c>
      <c r="H993" t="s">
        <v>71</v>
      </c>
      <c r="I993" t="s">
        <v>51</v>
      </c>
      <c r="J993" s="3">
        <v>250000</v>
      </c>
      <c r="K993">
        <v>3</v>
      </c>
      <c r="L993" t="s">
        <v>33</v>
      </c>
      <c r="M993" s="3">
        <v>200000</v>
      </c>
      <c r="N993" s="3">
        <f>Table1[[#This Row],[Unit Price]]*Table1[[#This Row],[Quantity]]</f>
        <v>750000</v>
      </c>
      <c r="O993" s="3">
        <f>Table1[[#This Row],[Cost Price]]*Table1[[#This Row],[Quantity]]</f>
        <v>600000</v>
      </c>
      <c r="P993" s="3">
        <f>Table1[[#This Row],[Revenue]]-Table1[[#This Row],[COGS]]</f>
        <v>150000</v>
      </c>
      <c r="Q993" s="1">
        <v>992</v>
      </c>
    </row>
    <row r="994" spans="1:17">
      <c r="A994" t="s">
        <v>79</v>
      </c>
      <c r="B994" t="str">
        <f>TEXT(Table1[[#This Row],[Date]],"MMMM")</f>
        <v>February</v>
      </c>
      <c r="C994" t="str">
        <f>TEXT(Table1[[#This Row],[Date]],"DDDD")</f>
        <v>Wednesday</v>
      </c>
      <c r="D994" t="s">
        <v>35</v>
      </c>
      <c r="E994" t="s">
        <v>45</v>
      </c>
      <c r="F994" t="s">
        <v>41</v>
      </c>
      <c r="G994" t="s">
        <v>37</v>
      </c>
      <c r="H994" t="s">
        <v>46</v>
      </c>
      <c r="I994" t="s">
        <v>39</v>
      </c>
      <c r="J994" s="3">
        <v>60000</v>
      </c>
      <c r="K994">
        <v>10</v>
      </c>
      <c r="L994" t="s">
        <v>69</v>
      </c>
      <c r="M994" s="3">
        <v>48000</v>
      </c>
      <c r="N994" s="3">
        <f>Table1[[#This Row],[Unit Price]]*Table1[[#This Row],[Quantity]]</f>
        <v>600000</v>
      </c>
      <c r="O994" s="3">
        <f>Table1[[#This Row],[Cost Price]]*Table1[[#This Row],[Quantity]]</f>
        <v>480000</v>
      </c>
      <c r="P994" s="3">
        <f>Table1[[#This Row],[Revenue]]-Table1[[#This Row],[COGS]]</f>
        <v>120000</v>
      </c>
      <c r="Q994" s="1">
        <v>993</v>
      </c>
    </row>
    <row r="995" spans="1:17">
      <c r="A995" t="s">
        <v>79</v>
      </c>
      <c r="B995" t="str">
        <f>TEXT(Table1[[#This Row],[Date]],"MMMM")</f>
        <v>February</v>
      </c>
      <c r="C995" t="str">
        <f>TEXT(Table1[[#This Row],[Date]],"DDDD")</f>
        <v>Wednesday</v>
      </c>
      <c r="D995" t="s">
        <v>49</v>
      </c>
      <c r="E995" t="s">
        <v>28</v>
      </c>
      <c r="F995" t="s">
        <v>29</v>
      </c>
      <c r="G995" t="s">
        <v>37</v>
      </c>
      <c r="H995" t="s">
        <v>46</v>
      </c>
      <c r="I995" t="s">
        <v>39</v>
      </c>
      <c r="J995" s="3">
        <v>60000</v>
      </c>
      <c r="K995">
        <v>3</v>
      </c>
      <c r="L995" t="s">
        <v>65</v>
      </c>
      <c r="M995" s="3">
        <v>48000</v>
      </c>
      <c r="N995" s="3">
        <f>Table1[[#This Row],[Unit Price]]*Table1[[#This Row],[Quantity]]</f>
        <v>180000</v>
      </c>
      <c r="O995" s="3">
        <f>Table1[[#This Row],[Cost Price]]*Table1[[#This Row],[Quantity]]</f>
        <v>144000</v>
      </c>
      <c r="P995" s="3">
        <f>Table1[[#This Row],[Revenue]]-Table1[[#This Row],[COGS]]</f>
        <v>36000</v>
      </c>
      <c r="Q995" s="1">
        <v>994</v>
      </c>
    </row>
    <row r="996" spans="1:17">
      <c r="A996" t="s">
        <v>85</v>
      </c>
      <c r="B996" t="str">
        <f>TEXT(Table1[[#This Row],[Date]],"MMMM")</f>
        <v>February</v>
      </c>
      <c r="C996" t="str">
        <f>TEXT(Table1[[#This Row],[Date]],"DDDD")</f>
        <v>Thursday</v>
      </c>
      <c r="D996" t="s">
        <v>35</v>
      </c>
      <c r="E996" t="s">
        <v>36</v>
      </c>
      <c r="F996" t="s">
        <v>41</v>
      </c>
      <c r="G996" t="s">
        <v>37</v>
      </c>
      <c r="H996" t="s">
        <v>31</v>
      </c>
      <c r="I996" t="s">
        <v>32</v>
      </c>
      <c r="J996" s="3">
        <v>85000</v>
      </c>
      <c r="K996">
        <v>9</v>
      </c>
      <c r="L996" t="s">
        <v>58</v>
      </c>
      <c r="M996" s="3">
        <v>68000</v>
      </c>
      <c r="N996" s="3">
        <f>Table1[[#This Row],[Unit Price]]*Table1[[#This Row],[Quantity]]</f>
        <v>765000</v>
      </c>
      <c r="O996" s="3">
        <f>Table1[[#This Row],[Cost Price]]*Table1[[#This Row],[Quantity]]</f>
        <v>612000</v>
      </c>
      <c r="P996" s="3">
        <f>Table1[[#This Row],[Revenue]]-Table1[[#This Row],[COGS]]</f>
        <v>153000</v>
      </c>
      <c r="Q996" s="1">
        <v>995</v>
      </c>
    </row>
    <row r="997" spans="1:17">
      <c r="A997" t="s">
        <v>131</v>
      </c>
      <c r="B997" t="str">
        <f>TEXT(Table1[[#This Row],[Date]],"MMMM")</f>
        <v>March</v>
      </c>
      <c r="C997" t="str">
        <f>TEXT(Table1[[#This Row],[Date]],"DDDD")</f>
        <v>Friday</v>
      </c>
      <c r="D997" t="s">
        <v>35</v>
      </c>
      <c r="E997" t="s">
        <v>53</v>
      </c>
      <c r="F997" t="s">
        <v>41</v>
      </c>
      <c r="G997" t="s">
        <v>37</v>
      </c>
      <c r="H997" t="s">
        <v>67</v>
      </c>
      <c r="I997" t="s">
        <v>51</v>
      </c>
      <c r="J997" s="3">
        <v>420000</v>
      </c>
      <c r="K997">
        <v>4</v>
      </c>
      <c r="L997" t="s">
        <v>58</v>
      </c>
      <c r="M997" s="3">
        <v>336000</v>
      </c>
      <c r="N997" s="3">
        <f>Table1[[#This Row],[Unit Price]]*Table1[[#This Row],[Quantity]]</f>
        <v>1680000</v>
      </c>
      <c r="O997" s="3">
        <f>Table1[[#This Row],[Cost Price]]*Table1[[#This Row],[Quantity]]</f>
        <v>1344000</v>
      </c>
      <c r="P997" s="3">
        <f>Table1[[#This Row],[Revenue]]-Table1[[#This Row],[COGS]]</f>
        <v>336000</v>
      </c>
      <c r="Q997" s="1">
        <v>996</v>
      </c>
    </row>
    <row r="998" spans="1:17">
      <c r="A998" t="s">
        <v>84</v>
      </c>
      <c r="B998" t="str">
        <f>TEXT(Table1[[#This Row],[Date]],"MMMM")</f>
        <v>January</v>
      </c>
      <c r="C998" t="str">
        <f>TEXT(Table1[[#This Row],[Date]],"DDDD")</f>
        <v>Wednesday</v>
      </c>
      <c r="D998" t="s">
        <v>49</v>
      </c>
      <c r="E998" t="s">
        <v>45</v>
      </c>
      <c r="F998" t="s">
        <v>41</v>
      </c>
      <c r="G998" t="s">
        <v>30</v>
      </c>
      <c r="H998" t="s">
        <v>62</v>
      </c>
      <c r="I998" t="s">
        <v>51</v>
      </c>
      <c r="J998" s="3">
        <v>150000</v>
      </c>
      <c r="K998">
        <v>6</v>
      </c>
      <c r="L998" t="s">
        <v>65</v>
      </c>
      <c r="M998" s="3">
        <v>120000</v>
      </c>
      <c r="N998" s="3">
        <f>Table1[[#This Row],[Unit Price]]*Table1[[#This Row],[Quantity]]</f>
        <v>900000</v>
      </c>
      <c r="O998" s="3">
        <f>Table1[[#This Row],[Cost Price]]*Table1[[#This Row],[Quantity]]</f>
        <v>720000</v>
      </c>
      <c r="P998" s="3">
        <f>Table1[[#This Row],[Revenue]]-Table1[[#This Row],[COGS]]</f>
        <v>180000</v>
      </c>
      <c r="Q998" s="1">
        <v>997</v>
      </c>
    </row>
    <row r="999" spans="1:17">
      <c r="A999" t="s">
        <v>163</v>
      </c>
      <c r="B999" t="str">
        <f>TEXT(Table1[[#This Row],[Date]],"MMMM")</f>
        <v>April</v>
      </c>
      <c r="C999" t="str">
        <f>TEXT(Table1[[#This Row],[Date]],"DDDD")</f>
        <v>Tuesday</v>
      </c>
      <c r="D999" t="s">
        <v>49</v>
      </c>
      <c r="E999" t="s">
        <v>45</v>
      </c>
      <c r="F999" t="s">
        <v>41</v>
      </c>
      <c r="G999" t="s">
        <v>30</v>
      </c>
      <c r="H999" t="s">
        <v>56</v>
      </c>
      <c r="I999" t="s">
        <v>32</v>
      </c>
      <c r="J999" s="3">
        <v>320000</v>
      </c>
      <c r="K999">
        <v>3</v>
      </c>
      <c r="L999" t="s">
        <v>58</v>
      </c>
      <c r="M999" s="3">
        <v>256000</v>
      </c>
      <c r="N999" s="3">
        <f>Table1[[#This Row],[Unit Price]]*Table1[[#This Row],[Quantity]]</f>
        <v>960000</v>
      </c>
      <c r="O999" s="3">
        <f>Table1[[#This Row],[Cost Price]]*Table1[[#This Row],[Quantity]]</f>
        <v>768000</v>
      </c>
      <c r="P999" s="3">
        <f>Table1[[#This Row],[Revenue]]-Table1[[#This Row],[COGS]]</f>
        <v>192000</v>
      </c>
      <c r="Q999" s="1">
        <v>998</v>
      </c>
    </row>
    <row r="1000" spans="1:17">
      <c r="A1000" t="s">
        <v>109</v>
      </c>
      <c r="B1000" t="str">
        <f>TEXT(Table1[[#This Row],[Date]],"MMMM")</f>
        <v>March</v>
      </c>
      <c r="C1000" t="str">
        <f>TEXT(Table1[[#This Row],[Date]],"DDDD")</f>
        <v>Monday</v>
      </c>
      <c r="D1000" t="s">
        <v>44</v>
      </c>
      <c r="E1000" t="s">
        <v>53</v>
      </c>
      <c r="F1000" t="s">
        <v>29</v>
      </c>
      <c r="G1000" t="s">
        <v>37</v>
      </c>
      <c r="H1000" t="s">
        <v>50</v>
      </c>
      <c r="I1000" t="s">
        <v>51</v>
      </c>
      <c r="J1000" s="3">
        <v>300000</v>
      </c>
      <c r="K1000">
        <v>2</v>
      </c>
      <c r="L1000" t="s">
        <v>33</v>
      </c>
      <c r="M1000" s="3">
        <v>240000</v>
      </c>
      <c r="N1000" s="3">
        <f>Table1[[#This Row],[Unit Price]]*Table1[[#This Row],[Quantity]]</f>
        <v>600000</v>
      </c>
      <c r="O1000" s="3">
        <f>Table1[[#This Row],[Cost Price]]*Table1[[#This Row],[Quantity]]</f>
        <v>480000</v>
      </c>
      <c r="P1000" s="3">
        <f>Table1[[#This Row],[Revenue]]-Table1[[#This Row],[COGS]]</f>
        <v>120000</v>
      </c>
      <c r="Q1000" s="1">
        <v>999</v>
      </c>
    </row>
    <row r="1001" spans="1:17">
      <c r="A1001" t="s">
        <v>97</v>
      </c>
      <c r="B1001" t="str">
        <f>TEXT(Table1[[#This Row],[Date]],"MMMM")</f>
        <v>January</v>
      </c>
      <c r="C1001" t="str">
        <f>TEXT(Table1[[#This Row],[Date]],"DDDD")</f>
        <v>Sunday</v>
      </c>
      <c r="D1001" t="s">
        <v>35</v>
      </c>
      <c r="E1001" t="s">
        <v>45</v>
      </c>
      <c r="F1001" t="s">
        <v>41</v>
      </c>
      <c r="G1001" t="s">
        <v>30</v>
      </c>
      <c r="H1001" t="s">
        <v>62</v>
      </c>
      <c r="I1001" t="s">
        <v>51</v>
      </c>
      <c r="J1001" s="3">
        <v>150000</v>
      </c>
      <c r="K1001">
        <v>10</v>
      </c>
      <c r="L1001" t="s">
        <v>65</v>
      </c>
      <c r="M1001" s="3">
        <v>120000</v>
      </c>
      <c r="N1001" s="3">
        <f>Table1[[#This Row],[Unit Price]]*Table1[[#This Row],[Quantity]]</f>
        <v>1500000</v>
      </c>
      <c r="O1001" s="3">
        <f>Table1[[#This Row],[Cost Price]]*Table1[[#This Row],[Quantity]]</f>
        <v>1200000</v>
      </c>
      <c r="P1001" s="3">
        <f>Table1[[#This Row],[Revenue]]-Table1[[#This Row],[COGS]]</f>
        <v>300000</v>
      </c>
      <c r="Q1001" s="1">
        <v>1000</v>
      </c>
    </row>
    <row r="1002" spans="1:17">
      <c r="A1002" t="s">
        <v>112</v>
      </c>
      <c r="B1002" t="str">
        <f>TEXT(Table1[[#This Row],[Date]],"MMMM")</f>
        <v>February</v>
      </c>
      <c r="C1002" t="str">
        <f>TEXT(Table1[[#This Row],[Date]],"DDDD")</f>
        <v>Monday</v>
      </c>
      <c r="D1002" t="s">
        <v>35</v>
      </c>
      <c r="E1002" t="s">
        <v>53</v>
      </c>
      <c r="F1002" t="s">
        <v>29</v>
      </c>
      <c r="G1002" t="s">
        <v>37</v>
      </c>
      <c r="H1002" t="s">
        <v>67</v>
      </c>
      <c r="I1002" t="s">
        <v>51</v>
      </c>
      <c r="J1002" s="3">
        <v>420000</v>
      </c>
      <c r="K1002">
        <v>10</v>
      </c>
      <c r="L1002" t="s">
        <v>47</v>
      </c>
      <c r="M1002" s="3">
        <v>336000</v>
      </c>
      <c r="N1002" s="3">
        <f>Table1[[#This Row],[Unit Price]]*Table1[[#This Row],[Quantity]]</f>
        <v>4200000</v>
      </c>
      <c r="O1002" s="3">
        <f>Table1[[#This Row],[Cost Price]]*Table1[[#This Row],[Quantity]]</f>
        <v>3360000</v>
      </c>
      <c r="P1002" s="3">
        <f>Table1[[#This Row],[Revenue]]-Table1[[#This Row],[COGS]]</f>
        <v>840000</v>
      </c>
      <c r="Q1002" s="1">
        <v>1001</v>
      </c>
    </row>
    <row r="1003" spans="1:17">
      <c r="A1003" t="s">
        <v>52</v>
      </c>
      <c r="B1003" t="str">
        <f>TEXT(Table1[[#This Row],[Date]],"MMMM")</f>
        <v>March</v>
      </c>
      <c r="C1003" t="str">
        <f>TEXT(Table1[[#This Row],[Date]],"DDDD")</f>
        <v>Saturday</v>
      </c>
      <c r="D1003" t="s">
        <v>49</v>
      </c>
      <c r="E1003" t="s">
        <v>53</v>
      </c>
      <c r="F1003" t="s">
        <v>41</v>
      </c>
      <c r="G1003" t="s">
        <v>37</v>
      </c>
      <c r="H1003" t="s">
        <v>54</v>
      </c>
      <c r="I1003" t="s">
        <v>39</v>
      </c>
      <c r="J1003" s="3">
        <v>180000</v>
      </c>
      <c r="K1003">
        <v>5</v>
      </c>
      <c r="L1003" t="s">
        <v>65</v>
      </c>
      <c r="M1003" s="3">
        <v>144000</v>
      </c>
      <c r="N1003" s="3">
        <f>Table1[[#This Row],[Unit Price]]*Table1[[#This Row],[Quantity]]</f>
        <v>900000</v>
      </c>
      <c r="O1003" s="3">
        <f>Table1[[#This Row],[Cost Price]]*Table1[[#This Row],[Quantity]]</f>
        <v>720000</v>
      </c>
      <c r="P1003" s="3">
        <f>Table1[[#This Row],[Revenue]]-Table1[[#This Row],[COGS]]</f>
        <v>180000</v>
      </c>
      <c r="Q1003" s="1">
        <v>1002</v>
      </c>
    </row>
    <row r="1004" spans="1:17">
      <c r="A1004" t="s">
        <v>133</v>
      </c>
      <c r="B1004" t="str">
        <f>TEXT(Table1[[#This Row],[Date]],"MMMM")</f>
        <v>January</v>
      </c>
      <c r="C1004" t="str">
        <f>TEXT(Table1[[#This Row],[Date]],"DDDD")</f>
        <v>Wednesday</v>
      </c>
      <c r="D1004" t="s">
        <v>35</v>
      </c>
      <c r="E1004" t="s">
        <v>53</v>
      </c>
      <c r="F1004" t="s">
        <v>41</v>
      </c>
      <c r="G1004" t="s">
        <v>37</v>
      </c>
      <c r="H1004" t="s">
        <v>71</v>
      </c>
      <c r="I1004" t="s">
        <v>51</v>
      </c>
      <c r="J1004" s="3">
        <v>250000</v>
      </c>
      <c r="K1004">
        <v>7</v>
      </c>
      <c r="L1004" t="s">
        <v>47</v>
      </c>
      <c r="M1004" s="3">
        <v>200000</v>
      </c>
      <c r="N1004" s="3">
        <f>Table1[[#This Row],[Unit Price]]*Table1[[#This Row],[Quantity]]</f>
        <v>1750000</v>
      </c>
      <c r="O1004" s="3">
        <f>Table1[[#This Row],[Cost Price]]*Table1[[#This Row],[Quantity]]</f>
        <v>1400000</v>
      </c>
      <c r="P1004" s="3">
        <f>Table1[[#This Row],[Revenue]]-Table1[[#This Row],[COGS]]</f>
        <v>350000</v>
      </c>
      <c r="Q1004" s="1">
        <v>1003</v>
      </c>
    </row>
    <row r="1005" spans="1:17">
      <c r="A1005" t="s">
        <v>140</v>
      </c>
      <c r="B1005" t="str">
        <f>TEXT(Table1[[#This Row],[Date]],"MMMM")</f>
        <v>April</v>
      </c>
      <c r="C1005" t="str">
        <f>TEXT(Table1[[#This Row],[Date]],"DDDD")</f>
        <v>Thursday</v>
      </c>
      <c r="D1005" t="s">
        <v>27</v>
      </c>
      <c r="E1005" t="s">
        <v>36</v>
      </c>
      <c r="F1005" t="s">
        <v>29</v>
      </c>
      <c r="G1005" t="s">
        <v>37</v>
      </c>
      <c r="H1005" t="s">
        <v>56</v>
      </c>
      <c r="I1005" t="s">
        <v>32</v>
      </c>
      <c r="J1005" s="3">
        <v>320000</v>
      </c>
      <c r="K1005">
        <v>4</v>
      </c>
      <c r="L1005" t="s">
        <v>42</v>
      </c>
      <c r="M1005" s="3">
        <v>256000</v>
      </c>
      <c r="N1005" s="3">
        <f>Table1[[#This Row],[Unit Price]]*Table1[[#This Row],[Quantity]]</f>
        <v>1280000</v>
      </c>
      <c r="O1005" s="3">
        <f>Table1[[#This Row],[Cost Price]]*Table1[[#This Row],[Quantity]]</f>
        <v>1024000</v>
      </c>
      <c r="P1005" s="3">
        <f>Table1[[#This Row],[Revenue]]-Table1[[#This Row],[COGS]]</f>
        <v>256000</v>
      </c>
      <c r="Q1005" s="1">
        <v>1004</v>
      </c>
    </row>
    <row r="1006" spans="1:17">
      <c r="A1006" t="s">
        <v>175</v>
      </c>
      <c r="B1006" t="str">
        <f>TEXT(Table1[[#This Row],[Date]],"MMMM")</f>
        <v>January</v>
      </c>
      <c r="C1006" t="str">
        <f>TEXT(Table1[[#This Row],[Date]],"DDDD")</f>
        <v>Wednesday</v>
      </c>
      <c r="D1006" t="s">
        <v>35</v>
      </c>
      <c r="E1006" t="s">
        <v>36</v>
      </c>
      <c r="F1006" t="s">
        <v>29</v>
      </c>
      <c r="G1006" t="s">
        <v>30</v>
      </c>
      <c r="H1006" t="s">
        <v>38</v>
      </c>
      <c r="I1006" t="s">
        <v>39</v>
      </c>
      <c r="J1006" s="3">
        <v>30000</v>
      </c>
      <c r="K1006">
        <v>2</v>
      </c>
      <c r="L1006" t="s">
        <v>33</v>
      </c>
      <c r="M1006" s="3">
        <v>24000</v>
      </c>
      <c r="N1006" s="3">
        <f>Table1[[#This Row],[Unit Price]]*Table1[[#This Row],[Quantity]]</f>
        <v>60000</v>
      </c>
      <c r="O1006" s="3">
        <f>Table1[[#This Row],[Cost Price]]*Table1[[#This Row],[Quantity]]</f>
        <v>48000</v>
      </c>
      <c r="P1006" s="3">
        <f>Table1[[#This Row],[Revenue]]-Table1[[#This Row],[COGS]]</f>
        <v>12000</v>
      </c>
      <c r="Q1006" s="1">
        <v>1005</v>
      </c>
    </row>
    <row r="1007" spans="1:17">
      <c r="A1007" t="s">
        <v>63</v>
      </c>
      <c r="B1007" t="str">
        <f>TEXT(Table1[[#This Row],[Date]],"MMMM")</f>
        <v>January</v>
      </c>
      <c r="C1007" t="str">
        <f>TEXT(Table1[[#This Row],[Date]],"DDDD")</f>
        <v>Monday</v>
      </c>
      <c r="D1007" t="s">
        <v>49</v>
      </c>
      <c r="E1007" t="s">
        <v>53</v>
      </c>
      <c r="F1007" t="s">
        <v>29</v>
      </c>
      <c r="G1007" t="s">
        <v>30</v>
      </c>
      <c r="H1007" t="s">
        <v>62</v>
      </c>
      <c r="I1007" t="s">
        <v>51</v>
      </c>
      <c r="J1007" s="3">
        <v>150000</v>
      </c>
      <c r="K1007">
        <v>4</v>
      </c>
      <c r="L1007" t="s">
        <v>33</v>
      </c>
      <c r="M1007" s="3">
        <v>120000</v>
      </c>
      <c r="N1007" s="3">
        <f>Table1[[#This Row],[Unit Price]]*Table1[[#This Row],[Quantity]]</f>
        <v>600000</v>
      </c>
      <c r="O1007" s="3">
        <f>Table1[[#This Row],[Cost Price]]*Table1[[#This Row],[Quantity]]</f>
        <v>480000</v>
      </c>
      <c r="P1007" s="3">
        <f>Table1[[#This Row],[Revenue]]-Table1[[#This Row],[COGS]]</f>
        <v>120000</v>
      </c>
      <c r="Q1007" s="1">
        <v>1006</v>
      </c>
    </row>
    <row r="1008" spans="1:17">
      <c r="A1008" t="s">
        <v>138</v>
      </c>
      <c r="B1008" t="str">
        <f>TEXT(Table1[[#This Row],[Date]],"MMMM")</f>
        <v>April</v>
      </c>
      <c r="C1008" t="str">
        <f>TEXT(Table1[[#This Row],[Date]],"DDDD")</f>
        <v>Monday</v>
      </c>
      <c r="D1008" t="s">
        <v>49</v>
      </c>
      <c r="E1008" t="s">
        <v>45</v>
      </c>
      <c r="F1008" t="s">
        <v>41</v>
      </c>
      <c r="G1008" t="s">
        <v>37</v>
      </c>
      <c r="H1008" t="s">
        <v>46</v>
      </c>
      <c r="I1008" t="s">
        <v>39</v>
      </c>
      <c r="J1008" s="3">
        <v>60000</v>
      </c>
      <c r="K1008">
        <v>4</v>
      </c>
      <c r="L1008" t="s">
        <v>47</v>
      </c>
      <c r="M1008" s="3">
        <v>48000</v>
      </c>
      <c r="N1008" s="3">
        <f>Table1[[#This Row],[Unit Price]]*Table1[[#This Row],[Quantity]]</f>
        <v>240000</v>
      </c>
      <c r="O1008" s="3">
        <f>Table1[[#This Row],[Cost Price]]*Table1[[#This Row],[Quantity]]</f>
        <v>192000</v>
      </c>
      <c r="P1008" s="3">
        <f>Table1[[#This Row],[Revenue]]-Table1[[#This Row],[COGS]]</f>
        <v>48000</v>
      </c>
      <c r="Q1008" s="1">
        <v>1007</v>
      </c>
    </row>
    <row r="1009" spans="1:17">
      <c r="A1009" t="s">
        <v>160</v>
      </c>
      <c r="B1009" t="str">
        <f>TEXT(Table1[[#This Row],[Date]],"MMMM")</f>
        <v>January</v>
      </c>
      <c r="C1009" t="str">
        <f>TEXT(Table1[[#This Row],[Date]],"DDDD")</f>
        <v>Saturday</v>
      </c>
      <c r="D1009" t="s">
        <v>35</v>
      </c>
      <c r="E1009" t="s">
        <v>53</v>
      </c>
      <c r="F1009" t="s">
        <v>29</v>
      </c>
      <c r="G1009" t="s">
        <v>37</v>
      </c>
      <c r="H1009" t="s">
        <v>56</v>
      </c>
      <c r="I1009" t="s">
        <v>32</v>
      </c>
      <c r="J1009" s="3">
        <v>320000</v>
      </c>
      <c r="K1009">
        <v>4</v>
      </c>
      <c r="L1009" t="s">
        <v>65</v>
      </c>
      <c r="M1009" s="3">
        <v>256000</v>
      </c>
      <c r="N1009" s="3">
        <f>Table1[[#This Row],[Unit Price]]*Table1[[#This Row],[Quantity]]</f>
        <v>1280000</v>
      </c>
      <c r="O1009" s="3">
        <f>Table1[[#This Row],[Cost Price]]*Table1[[#This Row],[Quantity]]</f>
        <v>1024000</v>
      </c>
      <c r="P1009" s="3">
        <f>Table1[[#This Row],[Revenue]]-Table1[[#This Row],[COGS]]</f>
        <v>256000</v>
      </c>
      <c r="Q1009" s="1">
        <v>1008</v>
      </c>
    </row>
    <row r="1010" spans="1:17">
      <c r="A1010" t="s">
        <v>140</v>
      </c>
      <c r="B1010" t="str">
        <f>TEXT(Table1[[#This Row],[Date]],"MMMM")</f>
        <v>April</v>
      </c>
      <c r="C1010" t="str">
        <f>TEXT(Table1[[#This Row],[Date]],"DDDD")</f>
        <v>Thursday</v>
      </c>
      <c r="D1010" t="s">
        <v>49</v>
      </c>
      <c r="E1010" t="s">
        <v>36</v>
      </c>
      <c r="F1010" t="s">
        <v>29</v>
      </c>
      <c r="G1010" t="s">
        <v>30</v>
      </c>
      <c r="H1010" t="s">
        <v>46</v>
      </c>
      <c r="I1010" t="s">
        <v>39</v>
      </c>
      <c r="J1010" s="3">
        <v>60000</v>
      </c>
      <c r="K1010">
        <v>2</v>
      </c>
      <c r="L1010" t="s">
        <v>42</v>
      </c>
      <c r="M1010" s="3">
        <v>48000</v>
      </c>
      <c r="N1010" s="3">
        <f>Table1[[#This Row],[Unit Price]]*Table1[[#This Row],[Quantity]]</f>
        <v>120000</v>
      </c>
      <c r="O1010" s="3">
        <f>Table1[[#This Row],[Cost Price]]*Table1[[#This Row],[Quantity]]</f>
        <v>96000</v>
      </c>
      <c r="P1010" s="3">
        <f>Table1[[#This Row],[Revenue]]-Table1[[#This Row],[COGS]]</f>
        <v>24000</v>
      </c>
      <c r="Q1010" s="1">
        <v>1009</v>
      </c>
    </row>
    <row r="1011" spans="1:17">
      <c r="A1011" t="s">
        <v>43</v>
      </c>
      <c r="B1011" t="str">
        <f>TEXT(Table1[[#This Row],[Date]],"MMMM")</f>
        <v>April</v>
      </c>
      <c r="C1011" t="str">
        <f>TEXT(Table1[[#This Row],[Date]],"DDDD")</f>
        <v>Friday</v>
      </c>
      <c r="D1011" t="s">
        <v>27</v>
      </c>
      <c r="E1011" t="s">
        <v>28</v>
      </c>
      <c r="F1011" t="s">
        <v>41</v>
      </c>
      <c r="G1011" t="s">
        <v>30</v>
      </c>
      <c r="H1011" t="s">
        <v>38</v>
      </c>
      <c r="I1011" t="s">
        <v>39</v>
      </c>
      <c r="J1011" s="3">
        <v>30000</v>
      </c>
      <c r="K1011">
        <v>7</v>
      </c>
      <c r="L1011" t="s">
        <v>58</v>
      </c>
      <c r="M1011" s="3">
        <v>24000</v>
      </c>
      <c r="N1011" s="3">
        <f>Table1[[#This Row],[Unit Price]]*Table1[[#This Row],[Quantity]]</f>
        <v>210000</v>
      </c>
      <c r="O1011" s="3">
        <f>Table1[[#This Row],[Cost Price]]*Table1[[#This Row],[Quantity]]</f>
        <v>168000</v>
      </c>
      <c r="P1011" s="3">
        <f>Table1[[#This Row],[Revenue]]-Table1[[#This Row],[COGS]]</f>
        <v>42000</v>
      </c>
      <c r="Q1011" s="1">
        <v>1010</v>
      </c>
    </row>
    <row r="1012" spans="1:17">
      <c r="A1012" t="s">
        <v>134</v>
      </c>
      <c r="B1012" t="str">
        <f>TEXT(Table1[[#This Row],[Date]],"MMMM")</f>
        <v>January</v>
      </c>
      <c r="C1012" t="str">
        <f>TEXT(Table1[[#This Row],[Date]],"DDDD")</f>
        <v>Wednesday</v>
      </c>
      <c r="D1012" t="s">
        <v>35</v>
      </c>
      <c r="E1012" t="s">
        <v>28</v>
      </c>
      <c r="F1012" t="s">
        <v>29</v>
      </c>
      <c r="G1012" t="s">
        <v>37</v>
      </c>
      <c r="H1012" t="s">
        <v>71</v>
      </c>
      <c r="I1012" t="s">
        <v>51</v>
      </c>
      <c r="J1012" s="3">
        <v>250000</v>
      </c>
      <c r="K1012">
        <v>6</v>
      </c>
      <c r="L1012" t="s">
        <v>58</v>
      </c>
      <c r="M1012" s="3">
        <v>200000</v>
      </c>
      <c r="N1012" s="3">
        <f>Table1[[#This Row],[Unit Price]]*Table1[[#This Row],[Quantity]]</f>
        <v>1500000</v>
      </c>
      <c r="O1012" s="3">
        <f>Table1[[#This Row],[Cost Price]]*Table1[[#This Row],[Quantity]]</f>
        <v>1200000</v>
      </c>
      <c r="P1012" s="3">
        <f>Table1[[#This Row],[Revenue]]-Table1[[#This Row],[COGS]]</f>
        <v>300000</v>
      </c>
      <c r="Q1012" s="1">
        <v>1011</v>
      </c>
    </row>
    <row r="1013" spans="1:17">
      <c r="A1013" t="s">
        <v>82</v>
      </c>
      <c r="B1013" t="str">
        <f>TEXT(Table1[[#This Row],[Date]],"MMMM")</f>
        <v>March</v>
      </c>
      <c r="C1013" t="str">
        <f>TEXT(Table1[[#This Row],[Date]],"DDDD")</f>
        <v>Saturday</v>
      </c>
      <c r="D1013" t="s">
        <v>49</v>
      </c>
      <c r="E1013" t="s">
        <v>45</v>
      </c>
      <c r="F1013" t="s">
        <v>29</v>
      </c>
      <c r="G1013" t="s">
        <v>30</v>
      </c>
      <c r="H1013" t="s">
        <v>73</v>
      </c>
      <c r="I1013" t="s">
        <v>39</v>
      </c>
      <c r="J1013" s="3">
        <v>220000</v>
      </c>
      <c r="K1013">
        <v>9</v>
      </c>
      <c r="L1013" t="s">
        <v>33</v>
      </c>
      <c r="M1013" s="3">
        <v>176000</v>
      </c>
      <c r="N1013" s="3">
        <f>Table1[[#This Row],[Unit Price]]*Table1[[#This Row],[Quantity]]</f>
        <v>1980000</v>
      </c>
      <c r="O1013" s="3">
        <f>Table1[[#This Row],[Cost Price]]*Table1[[#This Row],[Quantity]]</f>
        <v>1584000</v>
      </c>
      <c r="P1013" s="3">
        <f>Table1[[#This Row],[Revenue]]-Table1[[#This Row],[COGS]]</f>
        <v>396000</v>
      </c>
      <c r="Q1013" s="1">
        <v>1012</v>
      </c>
    </row>
    <row r="1014" spans="1:17">
      <c r="A1014" t="s">
        <v>152</v>
      </c>
      <c r="B1014" t="str">
        <f>TEXT(Table1[[#This Row],[Date]],"MMMM")</f>
        <v>January</v>
      </c>
      <c r="C1014" t="str">
        <f>TEXT(Table1[[#This Row],[Date]],"DDDD")</f>
        <v>Friday</v>
      </c>
      <c r="D1014" t="s">
        <v>35</v>
      </c>
      <c r="E1014" t="s">
        <v>45</v>
      </c>
      <c r="F1014" t="s">
        <v>41</v>
      </c>
      <c r="G1014" t="s">
        <v>30</v>
      </c>
      <c r="H1014" t="s">
        <v>50</v>
      </c>
      <c r="I1014" t="s">
        <v>51</v>
      </c>
      <c r="J1014" s="3">
        <v>300000</v>
      </c>
      <c r="K1014">
        <v>2</v>
      </c>
      <c r="L1014" t="s">
        <v>42</v>
      </c>
      <c r="M1014" s="3">
        <v>240000</v>
      </c>
      <c r="N1014" s="3">
        <f>Table1[[#This Row],[Unit Price]]*Table1[[#This Row],[Quantity]]</f>
        <v>600000</v>
      </c>
      <c r="O1014" s="3">
        <f>Table1[[#This Row],[Cost Price]]*Table1[[#This Row],[Quantity]]</f>
        <v>480000</v>
      </c>
      <c r="P1014" s="3">
        <f>Table1[[#This Row],[Revenue]]-Table1[[#This Row],[COGS]]</f>
        <v>120000</v>
      </c>
      <c r="Q1014" s="1">
        <v>1013</v>
      </c>
    </row>
    <row r="1015" spans="1:17">
      <c r="A1015" t="s">
        <v>128</v>
      </c>
      <c r="B1015" t="str">
        <f>TEXT(Table1[[#This Row],[Date]],"MMMM")</f>
        <v>March</v>
      </c>
      <c r="C1015" t="str">
        <f>TEXT(Table1[[#This Row],[Date]],"DDDD")</f>
        <v>Friday</v>
      </c>
      <c r="D1015" t="s">
        <v>27</v>
      </c>
      <c r="E1015" t="s">
        <v>45</v>
      </c>
      <c r="F1015" t="s">
        <v>29</v>
      </c>
      <c r="G1015" t="s">
        <v>37</v>
      </c>
      <c r="H1015" t="s">
        <v>67</v>
      </c>
      <c r="I1015" t="s">
        <v>51</v>
      </c>
      <c r="J1015" s="3">
        <v>420000</v>
      </c>
      <c r="K1015">
        <v>2</v>
      </c>
      <c r="L1015" t="s">
        <v>42</v>
      </c>
      <c r="M1015" s="3">
        <v>336000</v>
      </c>
      <c r="N1015" s="3">
        <f>Table1[[#This Row],[Unit Price]]*Table1[[#This Row],[Quantity]]</f>
        <v>840000</v>
      </c>
      <c r="O1015" s="3">
        <f>Table1[[#This Row],[Cost Price]]*Table1[[#This Row],[Quantity]]</f>
        <v>672000</v>
      </c>
      <c r="P1015" s="3">
        <f>Table1[[#This Row],[Revenue]]-Table1[[#This Row],[COGS]]</f>
        <v>168000</v>
      </c>
      <c r="Q1015" s="1">
        <v>1014</v>
      </c>
    </row>
    <row r="1016" spans="1:17">
      <c r="A1016" t="s">
        <v>75</v>
      </c>
      <c r="B1016" t="str">
        <f>TEXT(Table1[[#This Row],[Date]],"MMMM")</f>
        <v>March</v>
      </c>
      <c r="C1016" t="str">
        <f>TEXT(Table1[[#This Row],[Date]],"DDDD")</f>
        <v>Monday</v>
      </c>
      <c r="D1016" t="s">
        <v>44</v>
      </c>
      <c r="E1016" t="s">
        <v>36</v>
      </c>
      <c r="F1016" t="s">
        <v>29</v>
      </c>
      <c r="G1016" t="s">
        <v>37</v>
      </c>
      <c r="H1016" t="s">
        <v>73</v>
      </c>
      <c r="I1016" t="s">
        <v>39</v>
      </c>
      <c r="J1016" s="3">
        <v>220000</v>
      </c>
      <c r="K1016">
        <v>3</v>
      </c>
      <c r="L1016" t="s">
        <v>58</v>
      </c>
      <c r="M1016" s="3">
        <v>176000</v>
      </c>
      <c r="N1016" s="3">
        <f>Table1[[#This Row],[Unit Price]]*Table1[[#This Row],[Quantity]]</f>
        <v>660000</v>
      </c>
      <c r="O1016" s="3">
        <f>Table1[[#This Row],[Cost Price]]*Table1[[#This Row],[Quantity]]</f>
        <v>528000</v>
      </c>
      <c r="P1016" s="3">
        <f>Table1[[#This Row],[Revenue]]-Table1[[#This Row],[COGS]]</f>
        <v>132000</v>
      </c>
      <c r="Q1016" s="1">
        <v>1015</v>
      </c>
    </row>
    <row r="1017" spans="1:17">
      <c r="A1017" t="s">
        <v>60</v>
      </c>
      <c r="B1017" t="str">
        <f>TEXT(Table1[[#This Row],[Date]],"MMMM")</f>
        <v>March</v>
      </c>
      <c r="C1017" t="str">
        <f>TEXT(Table1[[#This Row],[Date]],"DDDD")</f>
        <v>Wednesday</v>
      </c>
      <c r="D1017" t="s">
        <v>44</v>
      </c>
      <c r="E1017" t="s">
        <v>28</v>
      </c>
      <c r="F1017" t="s">
        <v>41</v>
      </c>
      <c r="G1017" t="s">
        <v>30</v>
      </c>
      <c r="H1017" t="s">
        <v>73</v>
      </c>
      <c r="I1017" t="s">
        <v>39</v>
      </c>
      <c r="J1017" s="3">
        <v>220000</v>
      </c>
      <c r="K1017">
        <v>10</v>
      </c>
      <c r="L1017" t="s">
        <v>58</v>
      </c>
      <c r="M1017" s="3">
        <v>176000</v>
      </c>
      <c r="N1017" s="3">
        <f>Table1[[#This Row],[Unit Price]]*Table1[[#This Row],[Quantity]]</f>
        <v>2200000</v>
      </c>
      <c r="O1017" s="3">
        <f>Table1[[#This Row],[Cost Price]]*Table1[[#This Row],[Quantity]]</f>
        <v>1760000</v>
      </c>
      <c r="P1017" s="3">
        <f>Table1[[#This Row],[Revenue]]-Table1[[#This Row],[COGS]]</f>
        <v>440000</v>
      </c>
      <c r="Q1017" s="1">
        <v>1016</v>
      </c>
    </row>
    <row r="1018" spans="1:17">
      <c r="A1018" t="s">
        <v>88</v>
      </c>
      <c r="B1018" t="str">
        <f>TEXT(Table1[[#This Row],[Date]],"MMMM")</f>
        <v>February</v>
      </c>
      <c r="C1018" t="str">
        <f>TEXT(Table1[[#This Row],[Date]],"DDDD")</f>
        <v>Monday</v>
      </c>
      <c r="D1018" t="s">
        <v>44</v>
      </c>
      <c r="E1018" t="s">
        <v>53</v>
      </c>
      <c r="F1018" t="s">
        <v>41</v>
      </c>
      <c r="G1018" t="s">
        <v>37</v>
      </c>
      <c r="H1018" t="s">
        <v>71</v>
      </c>
      <c r="I1018" t="s">
        <v>51</v>
      </c>
      <c r="J1018" s="3">
        <v>250000</v>
      </c>
      <c r="K1018">
        <v>8</v>
      </c>
      <c r="L1018" t="s">
        <v>33</v>
      </c>
      <c r="M1018" s="3">
        <v>200000</v>
      </c>
      <c r="N1018" s="3">
        <f>Table1[[#This Row],[Unit Price]]*Table1[[#This Row],[Quantity]]</f>
        <v>2000000</v>
      </c>
      <c r="O1018" s="3">
        <f>Table1[[#This Row],[Cost Price]]*Table1[[#This Row],[Quantity]]</f>
        <v>1600000</v>
      </c>
      <c r="P1018" s="3">
        <f>Table1[[#This Row],[Revenue]]-Table1[[#This Row],[COGS]]</f>
        <v>400000</v>
      </c>
      <c r="Q1018" s="1">
        <v>1017</v>
      </c>
    </row>
    <row r="1019" spans="1:17">
      <c r="A1019" t="s">
        <v>85</v>
      </c>
      <c r="B1019" t="str">
        <f>TEXT(Table1[[#This Row],[Date]],"MMMM")</f>
        <v>February</v>
      </c>
      <c r="C1019" t="str">
        <f>TEXT(Table1[[#This Row],[Date]],"DDDD")</f>
        <v>Thursday</v>
      </c>
      <c r="D1019" t="s">
        <v>35</v>
      </c>
      <c r="E1019" t="s">
        <v>53</v>
      </c>
      <c r="F1019" t="s">
        <v>29</v>
      </c>
      <c r="G1019" t="s">
        <v>30</v>
      </c>
      <c r="H1019" t="s">
        <v>46</v>
      </c>
      <c r="I1019" t="s">
        <v>39</v>
      </c>
      <c r="J1019" s="3">
        <v>60000</v>
      </c>
      <c r="K1019">
        <v>6</v>
      </c>
      <c r="L1019" t="s">
        <v>47</v>
      </c>
      <c r="M1019" s="3">
        <v>48000</v>
      </c>
      <c r="N1019" s="3">
        <f>Table1[[#This Row],[Unit Price]]*Table1[[#This Row],[Quantity]]</f>
        <v>360000</v>
      </c>
      <c r="O1019" s="3">
        <f>Table1[[#This Row],[Cost Price]]*Table1[[#This Row],[Quantity]]</f>
        <v>288000</v>
      </c>
      <c r="P1019" s="3">
        <f>Table1[[#This Row],[Revenue]]-Table1[[#This Row],[COGS]]</f>
        <v>72000</v>
      </c>
      <c r="Q1019" s="1">
        <v>1018</v>
      </c>
    </row>
    <row r="1020" spans="1:17">
      <c r="A1020" t="s">
        <v>124</v>
      </c>
      <c r="B1020" t="str">
        <f>TEXT(Table1[[#This Row],[Date]],"MMMM")</f>
        <v>February</v>
      </c>
      <c r="C1020" t="str">
        <f>TEXT(Table1[[#This Row],[Date]],"DDDD")</f>
        <v>Monday</v>
      </c>
      <c r="D1020" t="s">
        <v>35</v>
      </c>
      <c r="E1020" t="s">
        <v>36</v>
      </c>
      <c r="F1020" t="s">
        <v>29</v>
      </c>
      <c r="G1020" t="s">
        <v>30</v>
      </c>
      <c r="H1020" t="s">
        <v>56</v>
      </c>
      <c r="I1020" t="s">
        <v>32</v>
      </c>
      <c r="J1020" s="3">
        <v>320000</v>
      </c>
      <c r="K1020">
        <v>4</v>
      </c>
      <c r="L1020" t="s">
        <v>69</v>
      </c>
      <c r="M1020" s="3">
        <v>256000</v>
      </c>
      <c r="N1020" s="3">
        <f>Table1[[#This Row],[Unit Price]]*Table1[[#This Row],[Quantity]]</f>
        <v>1280000</v>
      </c>
      <c r="O1020" s="3">
        <f>Table1[[#This Row],[Cost Price]]*Table1[[#This Row],[Quantity]]</f>
        <v>1024000</v>
      </c>
      <c r="P1020" s="3">
        <f>Table1[[#This Row],[Revenue]]-Table1[[#This Row],[COGS]]</f>
        <v>256000</v>
      </c>
      <c r="Q1020" s="1">
        <v>1019</v>
      </c>
    </row>
    <row r="1021" spans="1:17">
      <c r="A1021" t="s">
        <v>63</v>
      </c>
      <c r="B1021" t="str">
        <f>TEXT(Table1[[#This Row],[Date]],"MMMM")</f>
        <v>January</v>
      </c>
      <c r="C1021" t="str">
        <f>TEXT(Table1[[#This Row],[Date]],"DDDD")</f>
        <v>Monday</v>
      </c>
      <c r="D1021" t="s">
        <v>35</v>
      </c>
      <c r="E1021" t="s">
        <v>28</v>
      </c>
      <c r="F1021" t="s">
        <v>29</v>
      </c>
      <c r="G1021" t="s">
        <v>37</v>
      </c>
      <c r="H1021" t="s">
        <v>54</v>
      </c>
      <c r="I1021" t="s">
        <v>39</v>
      </c>
      <c r="J1021" s="3">
        <v>180000</v>
      </c>
      <c r="K1021">
        <v>7</v>
      </c>
      <c r="L1021" t="s">
        <v>69</v>
      </c>
      <c r="M1021" s="3">
        <v>144000</v>
      </c>
      <c r="N1021" s="3">
        <f>Table1[[#This Row],[Unit Price]]*Table1[[#This Row],[Quantity]]</f>
        <v>1260000</v>
      </c>
      <c r="O1021" s="3">
        <f>Table1[[#This Row],[Cost Price]]*Table1[[#This Row],[Quantity]]</f>
        <v>1008000</v>
      </c>
      <c r="P1021" s="3">
        <f>Table1[[#This Row],[Revenue]]-Table1[[#This Row],[COGS]]</f>
        <v>252000</v>
      </c>
      <c r="Q1021" s="1">
        <v>1020</v>
      </c>
    </row>
    <row r="1022" spans="1:17">
      <c r="A1022" t="s">
        <v>176</v>
      </c>
      <c r="B1022" t="str">
        <f>TEXT(Table1[[#This Row],[Date]],"MMMM")</f>
        <v>January</v>
      </c>
      <c r="C1022" t="str">
        <f>TEXT(Table1[[#This Row],[Date]],"DDDD")</f>
        <v>Saturday</v>
      </c>
      <c r="D1022" t="s">
        <v>35</v>
      </c>
      <c r="E1022" t="s">
        <v>28</v>
      </c>
      <c r="F1022" t="s">
        <v>29</v>
      </c>
      <c r="G1022" t="s">
        <v>30</v>
      </c>
      <c r="H1022" t="s">
        <v>46</v>
      </c>
      <c r="I1022" t="s">
        <v>39</v>
      </c>
      <c r="J1022" s="3">
        <v>60000</v>
      </c>
      <c r="K1022">
        <v>7</v>
      </c>
      <c r="L1022" t="s">
        <v>33</v>
      </c>
      <c r="M1022" s="3">
        <v>48000</v>
      </c>
      <c r="N1022" s="3">
        <f>Table1[[#This Row],[Unit Price]]*Table1[[#This Row],[Quantity]]</f>
        <v>420000</v>
      </c>
      <c r="O1022" s="3">
        <f>Table1[[#This Row],[Cost Price]]*Table1[[#This Row],[Quantity]]</f>
        <v>336000</v>
      </c>
      <c r="P1022" s="3">
        <f>Table1[[#This Row],[Revenue]]-Table1[[#This Row],[COGS]]</f>
        <v>84000</v>
      </c>
      <c r="Q1022" s="1">
        <v>1021</v>
      </c>
    </row>
    <row r="1023" spans="1:17">
      <c r="A1023" t="s">
        <v>176</v>
      </c>
      <c r="B1023" t="str">
        <f>TEXT(Table1[[#This Row],[Date]],"MMMM")</f>
        <v>January</v>
      </c>
      <c r="C1023" t="str">
        <f>TEXT(Table1[[#This Row],[Date]],"DDDD")</f>
        <v>Saturday</v>
      </c>
      <c r="D1023" t="s">
        <v>44</v>
      </c>
      <c r="E1023" t="s">
        <v>53</v>
      </c>
      <c r="F1023" t="s">
        <v>29</v>
      </c>
      <c r="G1023" t="s">
        <v>30</v>
      </c>
      <c r="H1023" t="s">
        <v>54</v>
      </c>
      <c r="I1023" t="s">
        <v>39</v>
      </c>
      <c r="J1023" s="3">
        <v>180000</v>
      </c>
      <c r="K1023">
        <v>9</v>
      </c>
      <c r="L1023" t="s">
        <v>42</v>
      </c>
      <c r="M1023" s="3">
        <v>144000</v>
      </c>
      <c r="N1023" s="3">
        <f>Table1[[#This Row],[Unit Price]]*Table1[[#This Row],[Quantity]]</f>
        <v>1620000</v>
      </c>
      <c r="O1023" s="3">
        <f>Table1[[#This Row],[Cost Price]]*Table1[[#This Row],[Quantity]]</f>
        <v>1296000</v>
      </c>
      <c r="P1023" s="3">
        <f>Table1[[#This Row],[Revenue]]-Table1[[#This Row],[COGS]]</f>
        <v>324000</v>
      </c>
      <c r="Q1023" s="1">
        <v>1022</v>
      </c>
    </row>
    <row r="1024" spans="1:17">
      <c r="A1024" t="s">
        <v>92</v>
      </c>
      <c r="B1024" t="str">
        <f>TEXT(Table1[[#This Row],[Date]],"MMMM")</f>
        <v>January</v>
      </c>
      <c r="C1024" t="str">
        <f>TEXT(Table1[[#This Row],[Date]],"DDDD")</f>
        <v>Tuesday</v>
      </c>
      <c r="D1024" t="s">
        <v>49</v>
      </c>
      <c r="E1024" t="s">
        <v>28</v>
      </c>
      <c r="F1024" t="s">
        <v>41</v>
      </c>
      <c r="G1024" t="s">
        <v>30</v>
      </c>
      <c r="H1024" t="s">
        <v>38</v>
      </c>
      <c r="I1024" t="s">
        <v>39</v>
      </c>
      <c r="J1024" s="3">
        <v>30000</v>
      </c>
      <c r="K1024">
        <v>6</v>
      </c>
      <c r="L1024" t="s">
        <v>42</v>
      </c>
      <c r="M1024" s="3">
        <v>24000</v>
      </c>
      <c r="N1024" s="3">
        <f>Table1[[#This Row],[Unit Price]]*Table1[[#This Row],[Quantity]]</f>
        <v>180000</v>
      </c>
      <c r="O1024" s="3">
        <f>Table1[[#This Row],[Cost Price]]*Table1[[#This Row],[Quantity]]</f>
        <v>144000</v>
      </c>
      <c r="P1024" s="3">
        <f>Table1[[#This Row],[Revenue]]-Table1[[#This Row],[COGS]]</f>
        <v>36000</v>
      </c>
      <c r="Q1024" s="1">
        <v>1023</v>
      </c>
    </row>
    <row r="1025" spans="1:17">
      <c r="A1025" t="s">
        <v>130</v>
      </c>
      <c r="B1025" t="str">
        <f>TEXT(Table1[[#This Row],[Date]],"MMMM")</f>
        <v>January</v>
      </c>
      <c r="C1025" t="str">
        <f>TEXT(Table1[[#This Row],[Date]],"DDDD")</f>
        <v>Monday</v>
      </c>
      <c r="D1025" t="s">
        <v>44</v>
      </c>
      <c r="E1025" t="s">
        <v>36</v>
      </c>
      <c r="F1025" t="s">
        <v>29</v>
      </c>
      <c r="G1025" t="s">
        <v>30</v>
      </c>
      <c r="H1025" t="s">
        <v>50</v>
      </c>
      <c r="I1025" t="s">
        <v>51</v>
      </c>
      <c r="J1025" s="3">
        <v>300000</v>
      </c>
      <c r="K1025">
        <v>10</v>
      </c>
      <c r="L1025" t="s">
        <v>65</v>
      </c>
      <c r="M1025" s="3">
        <v>240000</v>
      </c>
      <c r="N1025" s="3">
        <f>Table1[[#This Row],[Unit Price]]*Table1[[#This Row],[Quantity]]</f>
        <v>3000000</v>
      </c>
      <c r="O1025" s="3">
        <f>Table1[[#This Row],[Cost Price]]*Table1[[#This Row],[Quantity]]</f>
        <v>2400000</v>
      </c>
      <c r="P1025" s="3">
        <f>Table1[[#This Row],[Revenue]]-Table1[[#This Row],[COGS]]</f>
        <v>600000</v>
      </c>
      <c r="Q1025" s="1">
        <v>1024</v>
      </c>
    </row>
    <row r="1026" spans="1:17">
      <c r="A1026" t="s">
        <v>130</v>
      </c>
      <c r="B1026" t="str">
        <f>TEXT(Table1[[#This Row],[Date]],"MMMM")</f>
        <v>January</v>
      </c>
      <c r="C1026" t="str">
        <f>TEXT(Table1[[#This Row],[Date]],"DDDD")</f>
        <v>Monday</v>
      </c>
      <c r="D1026" t="s">
        <v>44</v>
      </c>
      <c r="E1026" t="s">
        <v>53</v>
      </c>
      <c r="F1026" t="s">
        <v>41</v>
      </c>
      <c r="G1026" t="s">
        <v>30</v>
      </c>
      <c r="H1026" t="s">
        <v>38</v>
      </c>
      <c r="I1026" t="s">
        <v>39</v>
      </c>
      <c r="J1026" s="3">
        <v>30000</v>
      </c>
      <c r="K1026">
        <v>2</v>
      </c>
      <c r="L1026" t="s">
        <v>47</v>
      </c>
      <c r="M1026" s="3">
        <v>24000</v>
      </c>
      <c r="N1026" s="3">
        <f>Table1[[#This Row],[Unit Price]]*Table1[[#This Row],[Quantity]]</f>
        <v>60000</v>
      </c>
      <c r="O1026" s="3">
        <f>Table1[[#This Row],[Cost Price]]*Table1[[#This Row],[Quantity]]</f>
        <v>48000</v>
      </c>
      <c r="P1026" s="3">
        <f>Table1[[#This Row],[Revenue]]-Table1[[#This Row],[COGS]]</f>
        <v>12000</v>
      </c>
      <c r="Q1026" s="1">
        <v>1025</v>
      </c>
    </row>
    <row r="1027" spans="1:17">
      <c r="A1027" t="s">
        <v>104</v>
      </c>
      <c r="B1027" t="str">
        <f>TEXT(Table1[[#This Row],[Date]],"MMMM")</f>
        <v>March</v>
      </c>
      <c r="C1027" t="str">
        <f>TEXT(Table1[[#This Row],[Date]],"DDDD")</f>
        <v>Friday</v>
      </c>
      <c r="D1027" t="s">
        <v>35</v>
      </c>
      <c r="E1027" t="s">
        <v>45</v>
      </c>
      <c r="F1027" t="s">
        <v>41</v>
      </c>
      <c r="G1027" t="s">
        <v>30</v>
      </c>
      <c r="H1027" t="s">
        <v>38</v>
      </c>
      <c r="I1027" t="s">
        <v>39</v>
      </c>
      <c r="J1027" s="3">
        <v>30000</v>
      </c>
      <c r="K1027">
        <v>8</v>
      </c>
      <c r="L1027" t="s">
        <v>69</v>
      </c>
      <c r="M1027" s="3">
        <v>24000</v>
      </c>
      <c r="N1027" s="3">
        <f>Table1[[#This Row],[Unit Price]]*Table1[[#This Row],[Quantity]]</f>
        <v>240000</v>
      </c>
      <c r="O1027" s="3">
        <f>Table1[[#This Row],[Cost Price]]*Table1[[#This Row],[Quantity]]</f>
        <v>192000</v>
      </c>
      <c r="P1027" s="3">
        <f>Table1[[#This Row],[Revenue]]-Table1[[#This Row],[COGS]]</f>
        <v>48000</v>
      </c>
      <c r="Q1027" s="1">
        <v>1026</v>
      </c>
    </row>
    <row r="1028" spans="1:17">
      <c r="A1028" t="s">
        <v>101</v>
      </c>
      <c r="B1028" t="str">
        <f>TEXT(Table1[[#This Row],[Date]],"MMMM")</f>
        <v>January</v>
      </c>
      <c r="C1028" t="str">
        <f>TEXT(Table1[[#This Row],[Date]],"DDDD")</f>
        <v>Thursday</v>
      </c>
      <c r="D1028" t="s">
        <v>44</v>
      </c>
      <c r="E1028" t="s">
        <v>45</v>
      </c>
      <c r="F1028" t="s">
        <v>41</v>
      </c>
      <c r="G1028" t="s">
        <v>37</v>
      </c>
      <c r="H1028" t="s">
        <v>38</v>
      </c>
      <c r="I1028" t="s">
        <v>39</v>
      </c>
      <c r="J1028" s="3">
        <v>30000</v>
      </c>
      <c r="K1028">
        <v>9</v>
      </c>
      <c r="L1028" t="s">
        <v>47</v>
      </c>
      <c r="M1028" s="3">
        <v>24000</v>
      </c>
      <c r="N1028" s="3">
        <f>Table1[[#This Row],[Unit Price]]*Table1[[#This Row],[Quantity]]</f>
        <v>270000</v>
      </c>
      <c r="O1028" s="3">
        <f>Table1[[#This Row],[Cost Price]]*Table1[[#This Row],[Quantity]]</f>
        <v>216000</v>
      </c>
      <c r="P1028" s="3">
        <f>Table1[[#This Row],[Revenue]]-Table1[[#This Row],[COGS]]</f>
        <v>54000</v>
      </c>
      <c r="Q1028" s="1">
        <v>1027</v>
      </c>
    </row>
    <row r="1029" spans="1:17">
      <c r="A1029" t="s">
        <v>105</v>
      </c>
      <c r="B1029" t="str">
        <f>TEXT(Table1[[#This Row],[Date]],"MMMM")</f>
        <v>March</v>
      </c>
      <c r="C1029" t="str">
        <f>TEXT(Table1[[#This Row],[Date]],"DDDD")</f>
        <v>Friday</v>
      </c>
      <c r="D1029" t="s">
        <v>49</v>
      </c>
      <c r="E1029" t="s">
        <v>28</v>
      </c>
      <c r="F1029" t="s">
        <v>29</v>
      </c>
      <c r="G1029" t="s">
        <v>37</v>
      </c>
      <c r="H1029" t="s">
        <v>73</v>
      </c>
      <c r="I1029" t="s">
        <v>39</v>
      </c>
      <c r="J1029" s="3">
        <v>220000</v>
      </c>
      <c r="K1029">
        <v>2</v>
      </c>
      <c r="L1029" t="s">
        <v>69</v>
      </c>
      <c r="M1029" s="3">
        <v>176000</v>
      </c>
      <c r="N1029" s="3">
        <f>Table1[[#This Row],[Unit Price]]*Table1[[#This Row],[Quantity]]</f>
        <v>440000</v>
      </c>
      <c r="O1029" s="3">
        <f>Table1[[#This Row],[Cost Price]]*Table1[[#This Row],[Quantity]]</f>
        <v>352000</v>
      </c>
      <c r="P1029" s="3">
        <f>Table1[[#This Row],[Revenue]]-Table1[[#This Row],[COGS]]</f>
        <v>88000</v>
      </c>
      <c r="Q1029" s="1">
        <v>1028</v>
      </c>
    </row>
    <row r="1030" spans="1:17">
      <c r="A1030" t="s">
        <v>136</v>
      </c>
      <c r="B1030" t="str">
        <f>TEXT(Table1[[#This Row],[Date]],"MMMM")</f>
        <v>February</v>
      </c>
      <c r="C1030" t="str">
        <f>TEXT(Table1[[#This Row],[Date]],"DDDD")</f>
        <v>Saturday</v>
      </c>
      <c r="D1030" t="s">
        <v>44</v>
      </c>
      <c r="E1030" t="s">
        <v>45</v>
      </c>
      <c r="F1030" t="s">
        <v>29</v>
      </c>
      <c r="G1030" t="s">
        <v>37</v>
      </c>
      <c r="H1030" t="s">
        <v>73</v>
      </c>
      <c r="I1030" t="s">
        <v>39</v>
      </c>
      <c r="J1030" s="3">
        <v>220000</v>
      </c>
      <c r="K1030">
        <v>3</v>
      </c>
      <c r="L1030" t="s">
        <v>69</v>
      </c>
      <c r="M1030" s="3">
        <v>176000</v>
      </c>
      <c r="N1030" s="3">
        <f>Table1[[#This Row],[Unit Price]]*Table1[[#This Row],[Quantity]]</f>
        <v>660000</v>
      </c>
      <c r="O1030" s="3">
        <f>Table1[[#This Row],[Cost Price]]*Table1[[#This Row],[Quantity]]</f>
        <v>528000</v>
      </c>
      <c r="P1030" s="3">
        <f>Table1[[#This Row],[Revenue]]-Table1[[#This Row],[COGS]]</f>
        <v>132000</v>
      </c>
      <c r="Q1030" s="1">
        <v>1029</v>
      </c>
    </row>
    <row r="1031" spans="1:17">
      <c r="A1031" t="s">
        <v>43</v>
      </c>
      <c r="B1031" t="str">
        <f>TEXT(Table1[[#This Row],[Date]],"MMMM")</f>
        <v>April</v>
      </c>
      <c r="C1031" t="str">
        <f>TEXT(Table1[[#This Row],[Date]],"DDDD")</f>
        <v>Friday</v>
      </c>
      <c r="D1031" t="s">
        <v>44</v>
      </c>
      <c r="E1031" t="s">
        <v>53</v>
      </c>
      <c r="F1031" t="s">
        <v>29</v>
      </c>
      <c r="G1031" t="s">
        <v>37</v>
      </c>
      <c r="H1031" t="s">
        <v>31</v>
      </c>
      <c r="I1031" t="s">
        <v>32</v>
      </c>
      <c r="J1031" s="3">
        <v>85000</v>
      </c>
      <c r="K1031">
        <v>3</v>
      </c>
      <c r="L1031" t="s">
        <v>42</v>
      </c>
      <c r="M1031" s="3">
        <v>68000</v>
      </c>
      <c r="N1031" s="3">
        <f>Table1[[#This Row],[Unit Price]]*Table1[[#This Row],[Quantity]]</f>
        <v>255000</v>
      </c>
      <c r="O1031" s="3">
        <f>Table1[[#This Row],[Cost Price]]*Table1[[#This Row],[Quantity]]</f>
        <v>204000</v>
      </c>
      <c r="P1031" s="3">
        <f>Table1[[#This Row],[Revenue]]-Table1[[#This Row],[COGS]]</f>
        <v>51000</v>
      </c>
      <c r="Q1031" s="1">
        <v>1030</v>
      </c>
    </row>
    <row r="1032" spans="1:17">
      <c r="A1032" t="s">
        <v>107</v>
      </c>
      <c r="B1032" t="str">
        <f>TEXT(Table1[[#This Row],[Date]],"MMMM")</f>
        <v>February</v>
      </c>
      <c r="C1032" t="str">
        <f>TEXT(Table1[[#This Row],[Date]],"DDDD")</f>
        <v>Wednesday</v>
      </c>
      <c r="D1032" t="s">
        <v>27</v>
      </c>
      <c r="E1032" t="s">
        <v>36</v>
      </c>
      <c r="F1032" t="s">
        <v>41</v>
      </c>
      <c r="G1032" t="s">
        <v>30</v>
      </c>
      <c r="H1032" t="s">
        <v>46</v>
      </c>
      <c r="I1032" t="s">
        <v>39</v>
      </c>
      <c r="J1032" s="3">
        <v>60000</v>
      </c>
      <c r="K1032">
        <v>3</v>
      </c>
      <c r="L1032" t="s">
        <v>58</v>
      </c>
      <c r="M1032" s="3">
        <v>48000</v>
      </c>
      <c r="N1032" s="3">
        <f>Table1[[#This Row],[Unit Price]]*Table1[[#This Row],[Quantity]]</f>
        <v>180000</v>
      </c>
      <c r="O1032" s="3">
        <f>Table1[[#This Row],[Cost Price]]*Table1[[#This Row],[Quantity]]</f>
        <v>144000</v>
      </c>
      <c r="P1032" s="3">
        <f>Table1[[#This Row],[Revenue]]-Table1[[#This Row],[COGS]]</f>
        <v>36000</v>
      </c>
      <c r="Q1032" s="1">
        <v>1031</v>
      </c>
    </row>
    <row r="1033" spans="1:17">
      <c r="A1033" t="s">
        <v>43</v>
      </c>
      <c r="B1033" t="str">
        <f>TEXT(Table1[[#This Row],[Date]],"MMMM")</f>
        <v>April</v>
      </c>
      <c r="C1033" t="str">
        <f>TEXT(Table1[[#This Row],[Date]],"DDDD")</f>
        <v>Friday</v>
      </c>
      <c r="D1033" t="s">
        <v>27</v>
      </c>
      <c r="E1033" t="s">
        <v>45</v>
      </c>
      <c r="F1033" t="s">
        <v>41</v>
      </c>
      <c r="G1033" t="s">
        <v>37</v>
      </c>
      <c r="H1033" t="s">
        <v>73</v>
      </c>
      <c r="I1033" t="s">
        <v>39</v>
      </c>
      <c r="J1033" s="3">
        <v>220000</v>
      </c>
      <c r="K1033">
        <v>3</v>
      </c>
      <c r="L1033" t="s">
        <v>69</v>
      </c>
      <c r="M1033" s="3">
        <v>176000</v>
      </c>
      <c r="N1033" s="3">
        <f>Table1[[#This Row],[Unit Price]]*Table1[[#This Row],[Quantity]]</f>
        <v>660000</v>
      </c>
      <c r="O1033" s="3">
        <f>Table1[[#This Row],[Cost Price]]*Table1[[#This Row],[Quantity]]</f>
        <v>528000</v>
      </c>
      <c r="P1033" s="3">
        <f>Table1[[#This Row],[Revenue]]-Table1[[#This Row],[COGS]]</f>
        <v>132000</v>
      </c>
      <c r="Q1033" s="1">
        <v>1032</v>
      </c>
    </row>
    <row r="1034" spans="1:17">
      <c r="A1034" t="s">
        <v>177</v>
      </c>
      <c r="B1034" t="str">
        <f>TEXT(Table1[[#This Row],[Date]],"MMMM")</f>
        <v>March</v>
      </c>
      <c r="C1034" t="str">
        <f>TEXT(Table1[[#This Row],[Date]],"DDDD")</f>
        <v>Wednesday</v>
      </c>
      <c r="D1034" t="s">
        <v>27</v>
      </c>
      <c r="E1034" t="s">
        <v>28</v>
      </c>
      <c r="F1034" t="s">
        <v>29</v>
      </c>
      <c r="G1034" t="s">
        <v>37</v>
      </c>
      <c r="H1034" t="s">
        <v>38</v>
      </c>
      <c r="I1034" t="s">
        <v>39</v>
      </c>
      <c r="J1034" s="3">
        <v>30000</v>
      </c>
      <c r="K1034">
        <v>1</v>
      </c>
      <c r="L1034" t="s">
        <v>33</v>
      </c>
      <c r="M1034" s="3">
        <v>24000</v>
      </c>
      <c r="N1034" s="3">
        <f>Table1[[#This Row],[Unit Price]]*Table1[[#This Row],[Quantity]]</f>
        <v>30000</v>
      </c>
      <c r="O1034" s="3">
        <f>Table1[[#This Row],[Cost Price]]*Table1[[#This Row],[Quantity]]</f>
        <v>24000</v>
      </c>
      <c r="P1034" s="3">
        <f>Table1[[#This Row],[Revenue]]-Table1[[#This Row],[COGS]]</f>
        <v>6000</v>
      </c>
      <c r="Q1034" s="1">
        <v>1033</v>
      </c>
    </row>
    <row r="1035" spans="1:17">
      <c r="A1035" t="s">
        <v>89</v>
      </c>
      <c r="B1035" t="str">
        <f>TEXT(Table1[[#This Row],[Date]],"MMMM")</f>
        <v>February</v>
      </c>
      <c r="C1035" t="str">
        <f>TEXT(Table1[[#This Row],[Date]],"DDDD")</f>
        <v>Tuesday</v>
      </c>
      <c r="D1035" t="s">
        <v>35</v>
      </c>
      <c r="E1035" t="s">
        <v>53</v>
      </c>
      <c r="F1035" t="s">
        <v>41</v>
      </c>
      <c r="G1035" t="s">
        <v>37</v>
      </c>
      <c r="H1035" t="s">
        <v>67</v>
      </c>
      <c r="I1035" t="s">
        <v>51</v>
      </c>
      <c r="J1035" s="3">
        <v>420000</v>
      </c>
      <c r="K1035">
        <v>1</v>
      </c>
      <c r="L1035" t="s">
        <v>69</v>
      </c>
      <c r="M1035" s="3">
        <v>336000</v>
      </c>
      <c r="N1035" s="3">
        <f>Table1[[#This Row],[Unit Price]]*Table1[[#This Row],[Quantity]]</f>
        <v>420000</v>
      </c>
      <c r="O1035" s="3">
        <f>Table1[[#This Row],[Cost Price]]*Table1[[#This Row],[Quantity]]</f>
        <v>336000</v>
      </c>
      <c r="P1035" s="3">
        <f>Table1[[#This Row],[Revenue]]-Table1[[#This Row],[COGS]]</f>
        <v>84000</v>
      </c>
      <c r="Q1035" s="1">
        <v>1034</v>
      </c>
    </row>
    <row r="1036" spans="1:17">
      <c r="A1036" t="s">
        <v>169</v>
      </c>
      <c r="B1036" t="str">
        <f>TEXT(Table1[[#This Row],[Date]],"MMMM")</f>
        <v>February</v>
      </c>
      <c r="C1036" t="str">
        <f>TEXT(Table1[[#This Row],[Date]],"DDDD")</f>
        <v>Saturday</v>
      </c>
      <c r="D1036" t="s">
        <v>27</v>
      </c>
      <c r="E1036" t="s">
        <v>36</v>
      </c>
      <c r="F1036" t="s">
        <v>29</v>
      </c>
      <c r="G1036" t="s">
        <v>37</v>
      </c>
      <c r="H1036" t="s">
        <v>73</v>
      </c>
      <c r="I1036" t="s">
        <v>39</v>
      </c>
      <c r="J1036" s="3">
        <v>220000</v>
      </c>
      <c r="K1036">
        <v>10</v>
      </c>
      <c r="L1036" t="s">
        <v>42</v>
      </c>
      <c r="M1036" s="3">
        <v>176000</v>
      </c>
      <c r="N1036" s="3">
        <f>Table1[[#This Row],[Unit Price]]*Table1[[#This Row],[Quantity]]</f>
        <v>2200000</v>
      </c>
      <c r="O1036" s="3">
        <f>Table1[[#This Row],[Cost Price]]*Table1[[#This Row],[Quantity]]</f>
        <v>1760000</v>
      </c>
      <c r="P1036" s="3">
        <f>Table1[[#This Row],[Revenue]]-Table1[[#This Row],[COGS]]</f>
        <v>440000</v>
      </c>
      <c r="Q1036" s="1">
        <v>1035</v>
      </c>
    </row>
    <row r="1037" spans="1:17">
      <c r="A1037" t="s">
        <v>108</v>
      </c>
      <c r="B1037" t="str">
        <f>TEXT(Table1[[#This Row],[Date]],"MMMM")</f>
        <v>April</v>
      </c>
      <c r="C1037" t="str">
        <f>TEXT(Table1[[#This Row],[Date]],"DDDD")</f>
        <v>Thursday</v>
      </c>
      <c r="D1037" t="s">
        <v>44</v>
      </c>
      <c r="E1037" t="s">
        <v>45</v>
      </c>
      <c r="F1037" t="s">
        <v>41</v>
      </c>
      <c r="G1037" t="s">
        <v>37</v>
      </c>
      <c r="H1037" t="s">
        <v>54</v>
      </c>
      <c r="I1037" t="s">
        <v>39</v>
      </c>
      <c r="J1037" s="3">
        <v>180000</v>
      </c>
      <c r="K1037">
        <v>10</v>
      </c>
      <c r="L1037" t="s">
        <v>69</v>
      </c>
      <c r="M1037" s="3">
        <v>144000</v>
      </c>
      <c r="N1037" s="3">
        <f>Table1[[#This Row],[Unit Price]]*Table1[[#This Row],[Quantity]]</f>
        <v>1800000</v>
      </c>
      <c r="O1037" s="3">
        <f>Table1[[#This Row],[Cost Price]]*Table1[[#This Row],[Quantity]]</f>
        <v>1440000</v>
      </c>
      <c r="P1037" s="3">
        <f>Table1[[#This Row],[Revenue]]-Table1[[#This Row],[COGS]]</f>
        <v>360000</v>
      </c>
      <c r="Q1037" s="1">
        <v>1036</v>
      </c>
    </row>
    <row r="1038" spans="1:17">
      <c r="A1038" t="s">
        <v>78</v>
      </c>
      <c r="B1038" t="str">
        <f>TEXT(Table1[[#This Row],[Date]],"MMMM")</f>
        <v>April</v>
      </c>
      <c r="C1038" t="str">
        <f>TEXT(Table1[[#This Row],[Date]],"DDDD")</f>
        <v>Tuesday</v>
      </c>
      <c r="D1038" t="s">
        <v>44</v>
      </c>
      <c r="E1038" t="s">
        <v>28</v>
      </c>
      <c r="F1038" t="s">
        <v>29</v>
      </c>
      <c r="G1038" t="s">
        <v>30</v>
      </c>
      <c r="H1038" t="s">
        <v>67</v>
      </c>
      <c r="I1038" t="s">
        <v>51</v>
      </c>
      <c r="J1038" s="3">
        <v>420000</v>
      </c>
      <c r="K1038">
        <v>3</v>
      </c>
      <c r="L1038" t="s">
        <v>65</v>
      </c>
      <c r="M1038" s="3">
        <v>336000</v>
      </c>
      <c r="N1038" s="3">
        <f>Table1[[#This Row],[Unit Price]]*Table1[[#This Row],[Quantity]]</f>
        <v>1260000</v>
      </c>
      <c r="O1038" s="3">
        <f>Table1[[#This Row],[Cost Price]]*Table1[[#This Row],[Quantity]]</f>
        <v>1008000</v>
      </c>
      <c r="P1038" s="3">
        <f>Table1[[#This Row],[Revenue]]-Table1[[#This Row],[COGS]]</f>
        <v>252000</v>
      </c>
      <c r="Q1038" s="1">
        <v>1037</v>
      </c>
    </row>
    <row r="1039" spans="1:17">
      <c r="A1039" t="s">
        <v>94</v>
      </c>
      <c r="B1039" t="str">
        <f>TEXT(Table1[[#This Row],[Date]],"MMMM")</f>
        <v>January</v>
      </c>
      <c r="C1039" t="str">
        <f>TEXT(Table1[[#This Row],[Date]],"DDDD")</f>
        <v>Friday</v>
      </c>
      <c r="D1039" t="s">
        <v>27</v>
      </c>
      <c r="E1039" t="s">
        <v>53</v>
      </c>
      <c r="F1039" t="s">
        <v>41</v>
      </c>
      <c r="G1039" t="s">
        <v>30</v>
      </c>
      <c r="H1039" t="s">
        <v>31</v>
      </c>
      <c r="I1039" t="s">
        <v>32</v>
      </c>
      <c r="J1039" s="3">
        <v>85000</v>
      </c>
      <c r="K1039">
        <v>4</v>
      </c>
      <c r="L1039" t="s">
        <v>47</v>
      </c>
      <c r="M1039" s="3">
        <v>68000</v>
      </c>
      <c r="N1039" s="3">
        <f>Table1[[#This Row],[Unit Price]]*Table1[[#This Row],[Quantity]]</f>
        <v>340000</v>
      </c>
      <c r="O1039" s="3">
        <f>Table1[[#This Row],[Cost Price]]*Table1[[#This Row],[Quantity]]</f>
        <v>272000</v>
      </c>
      <c r="P1039" s="3">
        <f>Table1[[#This Row],[Revenue]]-Table1[[#This Row],[COGS]]</f>
        <v>68000</v>
      </c>
      <c r="Q1039" s="1">
        <v>1038</v>
      </c>
    </row>
    <row r="1040" spans="1:17">
      <c r="A1040" t="s">
        <v>168</v>
      </c>
      <c r="B1040" t="str">
        <f>TEXT(Table1[[#This Row],[Date]],"MMMM")</f>
        <v>April</v>
      </c>
      <c r="C1040" t="str">
        <f>TEXT(Table1[[#This Row],[Date]],"DDDD")</f>
        <v>Wednesday</v>
      </c>
      <c r="D1040" t="s">
        <v>44</v>
      </c>
      <c r="E1040" t="s">
        <v>45</v>
      </c>
      <c r="F1040" t="s">
        <v>41</v>
      </c>
      <c r="G1040" t="s">
        <v>30</v>
      </c>
      <c r="H1040" t="s">
        <v>56</v>
      </c>
      <c r="I1040" t="s">
        <v>32</v>
      </c>
      <c r="J1040" s="3">
        <v>320000</v>
      </c>
      <c r="K1040">
        <v>4</v>
      </c>
      <c r="L1040" t="s">
        <v>58</v>
      </c>
      <c r="M1040" s="3">
        <v>256000</v>
      </c>
      <c r="N1040" s="3">
        <f>Table1[[#This Row],[Unit Price]]*Table1[[#This Row],[Quantity]]</f>
        <v>1280000</v>
      </c>
      <c r="O1040" s="3">
        <f>Table1[[#This Row],[Cost Price]]*Table1[[#This Row],[Quantity]]</f>
        <v>1024000</v>
      </c>
      <c r="P1040" s="3">
        <f>Table1[[#This Row],[Revenue]]-Table1[[#This Row],[COGS]]</f>
        <v>256000</v>
      </c>
      <c r="Q1040" s="1">
        <v>1039</v>
      </c>
    </row>
    <row r="1041" spans="1:17">
      <c r="A1041" t="s">
        <v>175</v>
      </c>
      <c r="B1041" t="str">
        <f>TEXT(Table1[[#This Row],[Date]],"MMMM")</f>
        <v>January</v>
      </c>
      <c r="C1041" t="str">
        <f>TEXT(Table1[[#This Row],[Date]],"DDDD")</f>
        <v>Wednesday</v>
      </c>
      <c r="D1041" t="s">
        <v>27</v>
      </c>
      <c r="E1041" t="s">
        <v>53</v>
      </c>
      <c r="F1041" t="s">
        <v>29</v>
      </c>
      <c r="G1041" t="s">
        <v>37</v>
      </c>
      <c r="H1041" t="s">
        <v>73</v>
      </c>
      <c r="I1041" t="s">
        <v>39</v>
      </c>
      <c r="J1041" s="3">
        <v>220000</v>
      </c>
      <c r="K1041">
        <v>1</v>
      </c>
      <c r="L1041" t="s">
        <v>65</v>
      </c>
      <c r="M1041" s="3">
        <v>176000</v>
      </c>
      <c r="N1041" s="3">
        <f>Table1[[#This Row],[Unit Price]]*Table1[[#This Row],[Quantity]]</f>
        <v>220000</v>
      </c>
      <c r="O1041" s="3">
        <f>Table1[[#This Row],[Cost Price]]*Table1[[#This Row],[Quantity]]</f>
        <v>176000</v>
      </c>
      <c r="P1041" s="3">
        <f>Table1[[#This Row],[Revenue]]-Table1[[#This Row],[COGS]]</f>
        <v>44000</v>
      </c>
      <c r="Q1041" s="1">
        <v>1040</v>
      </c>
    </row>
    <row r="1042" spans="1:17">
      <c r="A1042" t="s">
        <v>157</v>
      </c>
      <c r="B1042" t="str">
        <f>TEXT(Table1[[#This Row],[Date]],"MMMM")</f>
        <v>April</v>
      </c>
      <c r="C1042" t="str">
        <f>TEXT(Table1[[#This Row],[Date]],"DDDD")</f>
        <v>Tuesday</v>
      </c>
      <c r="D1042" t="s">
        <v>44</v>
      </c>
      <c r="E1042" t="s">
        <v>36</v>
      </c>
      <c r="F1042" t="s">
        <v>41</v>
      </c>
      <c r="G1042" t="s">
        <v>37</v>
      </c>
      <c r="H1042" t="s">
        <v>31</v>
      </c>
      <c r="I1042" t="s">
        <v>32</v>
      </c>
      <c r="J1042" s="3">
        <v>85000</v>
      </c>
      <c r="K1042">
        <v>1</v>
      </c>
      <c r="L1042" t="s">
        <v>42</v>
      </c>
      <c r="M1042" s="3">
        <v>68000</v>
      </c>
      <c r="N1042" s="3">
        <f>Table1[[#This Row],[Unit Price]]*Table1[[#This Row],[Quantity]]</f>
        <v>85000</v>
      </c>
      <c r="O1042" s="3">
        <f>Table1[[#This Row],[Cost Price]]*Table1[[#This Row],[Quantity]]</f>
        <v>68000</v>
      </c>
      <c r="P1042" s="3">
        <f>Table1[[#This Row],[Revenue]]-Table1[[#This Row],[COGS]]</f>
        <v>17000</v>
      </c>
      <c r="Q1042" s="1">
        <v>1041</v>
      </c>
    </row>
    <row r="1043" spans="1:17">
      <c r="A1043" t="s">
        <v>145</v>
      </c>
      <c r="B1043" t="str">
        <f>TEXT(Table1[[#This Row],[Date]],"MMMM")</f>
        <v>January</v>
      </c>
      <c r="C1043" t="str">
        <f>TEXT(Table1[[#This Row],[Date]],"DDDD")</f>
        <v>Friday</v>
      </c>
      <c r="D1043" t="s">
        <v>27</v>
      </c>
      <c r="E1043" t="s">
        <v>53</v>
      </c>
      <c r="F1043" t="s">
        <v>29</v>
      </c>
      <c r="G1043" t="s">
        <v>30</v>
      </c>
      <c r="H1043" t="s">
        <v>62</v>
      </c>
      <c r="I1043" t="s">
        <v>51</v>
      </c>
      <c r="J1043" s="3">
        <v>150000</v>
      </c>
      <c r="K1043">
        <v>8</v>
      </c>
      <c r="L1043" t="s">
        <v>69</v>
      </c>
      <c r="M1043" s="3">
        <v>120000</v>
      </c>
      <c r="N1043" s="3">
        <f>Table1[[#This Row],[Unit Price]]*Table1[[#This Row],[Quantity]]</f>
        <v>1200000</v>
      </c>
      <c r="O1043" s="3">
        <f>Table1[[#This Row],[Cost Price]]*Table1[[#This Row],[Quantity]]</f>
        <v>960000</v>
      </c>
      <c r="P1043" s="3">
        <f>Table1[[#This Row],[Revenue]]-Table1[[#This Row],[COGS]]</f>
        <v>240000</v>
      </c>
      <c r="Q1043" s="1">
        <v>1042</v>
      </c>
    </row>
    <row r="1044" spans="1:17">
      <c r="A1044" t="s">
        <v>158</v>
      </c>
      <c r="B1044" t="str">
        <f>TEXT(Table1[[#This Row],[Date]],"MMMM")</f>
        <v>January</v>
      </c>
      <c r="C1044" t="str">
        <f>TEXT(Table1[[#This Row],[Date]],"DDDD")</f>
        <v>Saturday</v>
      </c>
      <c r="D1044" t="s">
        <v>49</v>
      </c>
      <c r="E1044" t="s">
        <v>36</v>
      </c>
      <c r="F1044" t="s">
        <v>41</v>
      </c>
      <c r="G1044" t="s">
        <v>30</v>
      </c>
      <c r="H1044" t="s">
        <v>62</v>
      </c>
      <c r="I1044" t="s">
        <v>51</v>
      </c>
      <c r="J1044" s="3">
        <v>150000</v>
      </c>
      <c r="K1044">
        <v>9</v>
      </c>
      <c r="L1044" t="s">
        <v>33</v>
      </c>
      <c r="M1044" s="3">
        <v>120000</v>
      </c>
      <c r="N1044" s="3">
        <f>Table1[[#This Row],[Unit Price]]*Table1[[#This Row],[Quantity]]</f>
        <v>1350000</v>
      </c>
      <c r="O1044" s="3">
        <f>Table1[[#This Row],[Cost Price]]*Table1[[#This Row],[Quantity]]</f>
        <v>1080000</v>
      </c>
      <c r="P1044" s="3">
        <f>Table1[[#This Row],[Revenue]]-Table1[[#This Row],[COGS]]</f>
        <v>270000</v>
      </c>
      <c r="Q1044" s="1">
        <v>1043</v>
      </c>
    </row>
    <row r="1045" spans="1:17">
      <c r="A1045" t="s">
        <v>64</v>
      </c>
      <c r="B1045" t="str">
        <f>TEXT(Table1[[#This Row],[Date]],"MMMM")</f>
        <v>April</v>
      </c>
      <c r="C1045" t="str">
        <f>TEXT(Table1[[#This Row],[Date]],"DDDD")</f>
        <v>Saturday</v>
      </c>
      <c r="D1045" t="s">
        <v>27</v>
      </c>
      <c r="E1045" t="s">
        <v>36</v>
      </c>
      <c r="F1045" t="s">
        <v>41</v>
      </c>
      <c r="G1045" t="s">
        <v>30</v>
      </c>
      <c r="H1045" t="s">
        <v>50</v>
      </c>
      <c r="I1045" t="s">
        <v>51</v>
      </c>
      <c r="J1045" s="3">
        <v>300000</v>
      </c>
      <c r="K1045">
        <v>3</v>
      </c>
      <c r="L1045" t="s">
        <v>33</v>
      </c>
      <c r="M1045" s="3">
        <v>240000</v>
      </c>
      <c r="N1045" s="3">
        <f>Table1[[#This Row],[Unit Price]]*Table1[[#This Row],[Quantity]]</f>
        <v>900000</v>
      </c>
      <c r="O1045" s="3">
        <f>Table1[[#This Row],[Cost Price]]*Table1[[#This Row],[Quantity]]</f>
        <v>720000</v>
      </c>
      <c r="P1045" s="3">
        <f>Table1[[#This Row],[Revenue]]-Table1[[#This Row],[COGS]]</f>
        <v>180000</v>
      </c>
      <c r="Q1045" s="1">
        <v>1044</v>
      </c>
    </row>
    <row r="1046" spans="1:17">
      <c r="A1046" t="s">
        <v>143</v>
      </c>
      <c r="B1046" t="str">
        <f>TEXT(Table1[[#This Row],[Date]],"MMMM")</f>
        <v>April</v>
      </c>
      <c r="C1046" t="str">
        <f>TEXT(Table1[[#This Row],[Date]],"DDDD")</f>
        <v>Thursday</v>
      </c>
      <c r="D1046" t="s">
        <v>49</v>
      </c>
      <c r="E1046" t="s">
        <v>53</v>
      </c>
      <c r="F1046" t="s">
        <v>41</v>
      </c>
      <c r="G1046" t="s">
        <v>30</v>
      </c>
      <c r="H1046" t="s">
        <v>62</v>
      </c>
      <c r="I1046" t="s">
        <v>51</v>
      </c>
      <c r="J1046" s="3">
        <v>150000</v>
      </c>
      <c r="K1046">
        <v>10</v>
      </c>
      <c r="L1046" t="s">
        <v>58</v>
      </c>
      <c r="M1046" s="3">
        <v>120000</v>
      </c>
      <c r="N1046" s="3">
        <f>Table1[[#This Row],[Unit Price]]*Table1[[#This Row],[Quantity]]</f>
        <v>1500000</v>
      </c>
      <c r="O1046" s="3">
        <f>Table1[[#This Row],[Cost Price]]*Table1[[#This Row],[Quantity]]</f>
        <v>1200000</v>
      </c>
      <c r="P1046" s="3">
        <f>Table1[[#This Row],[Revenue]]-Table1[[#This Row],[COGS]]</f>
        <v>300000</v>
      </c>
      <c r="Q1046" s="1">
        <v>1045</v>
      </c>
    </row>
    <row r="1047" spans="1:17">
      <c r="A1047" t="s">
        <v>43</v>
      </c>
      <c r="B1047" t="str">
        <f>TEXT(Table1[[#This Row],[Date]],"MMMM")</f>
        <v>April</v>
      </c>
      <c r="C1047" t="str">
        <f>TEXT(Table1[[#This Row],[Date]],"DDDD")</f>
        <v>Friday</v>
      </c>
      <c r="D1047" t="s">
        <v>27</v>
      </c>
      <c r="E1047" t="s">
        <v>53</v>
      </c>
      <c r="F1047" t="s">
        <v>29</v>
      </c>
      <c r="G1047" t="s">
        <v>37</v>
      </c>
      <c r="H1047" t="s">
        <v>31</v>
      </c>
      <c r="I1047" t="s">
        <v>32</v>
      </c>
      <c r="J1047" s="3">
        <v>85000</v>
      </c>
      <c r="K1047">
        <v>2</v>
      </c>
      <c r="L1047" t="s">
        <v>58</v>
      </c>
      <c r="M1047" s="3">
        <v>68000</v>
      </c>
      <c r="N1047" s="3">
        <f>Table1[[#This Row],[Unit Price]]*Table1[[#This Row],[Quantity]]</f>
        <v>170000</v>
      </c>
      <c r="O1047" s="3">
        <f>Table1[[#This Row],[Cost Price]]*Table1[[#This Row],[Quantity]]</f>
        <v>136000</v>
      </c>
      <c r="P1047" s="3">
        <f>Table1[[#This Row],[Revenue]]-Table1[[#This Row],[COGS]]</f>
        <v>34000</v>
      </c>
      <c r="Q1047" s="1">
        <v>1046</v>
      </c>
    </row>
    <row r="1048" spans="1:17">
      <c r="A1048" t="s">
        <v>110</v>
      </c>
      <c r="B1048" t="str">
        <f>TEXT(Table1[[#This Row],[Date]],"MMMM")</f>
        <v>January</v>
      </c>
      <c r="C1048" t="str">
        <f>TEXT(Table1[[#This Row],[Date]],"DDDD")</f>
        <v>Thursday</v>
      </c>
      <c r="D1048" t="s">
        <v>35</v>
      </c>
      <c r="E1048" t="s">
        <v>28</v>
      </c>
      <c r="F1048" t="s">
        <v>41</v>
      </c>
      <c r="G1048" t="s">
        <v>37</v>
      </c>
      <c r="H1048" t="s">
        <v>67</v>
      </c>
      <c r="I1048" t="s">
        <v>51</v>
      </c>
      <c r="J1048" s="3">
        <v>420000</v>
      </c>
      <c r="K1048">
        <v>9</v>
      </c>
      <c r="L1048" t="s">
        <v>42</v>
      </c>
      <c r="M1048" s="3">
        <v>336000</v>
      </c>
      <c r="N1048" s="3">
        <f>Table1[[#This Row],[Unit Price]]*Table1[[#This Row],[Quantity]]</f>
        <v>3780000</v>
      </c>
      <c r="O1048" s="3">
        <f>Table1[[#This Row],[Cost Price]]*Table1[[#This Row],[Quantity]]</f>
        <v>3024000</v>
      </c>
      <c r="P1048" s="3">
        <f>Table1[[#This Row],[Revenue]]-Table1[[#This Row],[COGS]]</f>
        <v>756000</v>
      </c>
      <c r="Q1048" s="1">
        <v>1047</v>
      </c>
    </row>
    <row r="1049" spans="1:17">
      <c r="A1049" t="s">
        <v>110</v>
      </c>
      <c r="B1049" t="str">
        <f>TEXT(Table1[[#This Row],[Date]],"MMMM")</f>
        <v>January</v>
      </c>
      <c r="C1049" t="str">
        <f>TEXT(Table1[[#This Row],[Date]],"DDDD")</f>
        <v>Thursday</v>
      </c>
      <c r="D1049" t="s">
        <v>27</v>
      </c>
      <c r="E1049" t="s">
        <v>36</v>
      </c>
      <c r="F1049" t="s">
        <v>41</v>
      </c>
      <c r="G1049" t="s">
        <v>30</v>
      </c>
      <c r="H1049" t="s">
        <v>50</v>
      </c>
      <c r="I1049" t="s">
        <v>51</v>
      </c>
      <c r="J1049" s="3">
        <v>300000</v>
      </c>
      <c r="K1049">
        <v>2</v>
      </c>
      <c r="L1049" t="s">
        <v>69</v>
      </c>
      <c r="M1049" s="3">
        <v>240000</v>
      </c>
      <c r="N1049" s="3">
        <f>Table1[[#This Row],[Unit Price]]*Table1[[#This Row],[Quantity]]</f>
        <v>600000</v>
      </c>
      <c r="O1049" s="3">
        <f>Table1[[#This Row],[Cost Price]]*Table1[[#This Row],[Quantity]]</f>
        <v>480000</v>
      </c>
      <c r="P1049" s="3">
        <f>Table1[[#This Row],[Revenue]]-Table1[[#This Row],[COGS]]</f>
        <v>120000</v>
      </c>
      <c r="Q1049" s="1">
        <v>1048</v>
      </c>
    </row>
    <row r="1050" spans="1:17">
      <c r="A1050" t="s">
        <v>132</v>
      </c>
      <c r="B1050" t="str">
        <f>TEXT(Table1[[#This Row],[Date]],"MMMM")</f>
        <v>April</v>
      </c>
      <c r="C1050" t="str">
        <f>TEXT(Table1[[#This Row],[Date]],"DDDD")</f>
        <v>Saturday</v>
      </c>
      <c r="D1050" t="s">
        <v>35</v>
      </c>
      <c r="E1050" t="s">
        <v>45</v>
      </c>
      <c r="F1050" t="s">
        <v>41</v>
      </c>
      <c r="G1050" t="s">
        <v>30</v>
      </c>
      <c r="H1050" t="s">
        <v>62</v>
      </c>
      <c r="I1050" t="s">
        <v>51</v>
      </c>
      <c r="J1050" s="3">
        <v>150000</v>
      </c>
      <c r="K1050">
        <v>4</v>
      </c>
      <c r="L1050" t="s">
        <v>65</v>
      </c>
      <c r="M1050" s="3">
        <v>120000</v>
      </c>
      <c r="N1050" s="3">
        <f>Table1[[#This Row],[Unit Price]]*Table1[[#This Row],[Quantity]]</f>
        <v>600000</v>
      </c>
      <c r="O1050" s="3">
        <f>Table1[[#This Row],[Cost Price]]*Table1[[#This Row],[Quantity]]</f>
        <v>480000</v>
      </c>
      <c r="P1050" s="3">
        <f>Table1[[#This Row],[Revenue]]-Table1[[#This Row],[COGS]]</f>
        <v>120000</v>
      </c>
      <c r="Q1050" s="1">
        <v>1049</v>
      </c>
    </row>
    <row r="1051" spans="1:17">
      <c r="A1051" t="s">
        <v>70</v>
      </c>
      <c r="B1051" t="str">
        <f>TEXT(Table1[[#This Row],[Date]],"MMMM")</f>
        <v>April</v>
      </c>
      <c r="C1051" t="str">
        <f>TEXT(Table1[[#This Row],[Date]],"DDDD")</f>
        <v>Friday</v>
      </c>
      <c r="D1051" t="s">
        <v>35</v>
      </c>
      <c r="E1051" t="s">
        <v>36</v>
      </c>
      <c r="F1051" t="s">
        <v>29</v>
      </c>
      <c r="G1051" t="s">
        <v>30</v>
      </c>
      <c r="H1051" t="s">
        <v>67</v>
      </c>
      <c r="I1051" t="s">
        <v>51</v>
      </c>
      <c r="J1051" s="3">
        <v>420000</v>
      </c>
      <c r="K1051">
        <v>9</v>
      </c>
      <c r="L1051" t="s">
        <v>42</v>
      </c>
      <c r="M1051" s="3">
        <v>336000</v>
      </c>
      <c r="N1051" s="3">
        <f>Table1[[#This Row],[Unit Price]]*Table1[[#This Row],[Quantity]]</f>
        <v>3780000</v>
      </c>
      <c r="O1051" s="3">
        <f>Table1[[#This Row],[Cost Price]]*Table1[[#This Row],[Quantity]]</f>
        <v>3024000</v>
      </c>
      <c r="P1051" s="3">
        <f>Table1[[#This Row],[Revenue]]-Table1[[#This Row],[COGS]]</f>
        <v>756000</v>
      </c>
      <c r="Q1051" s="1">
        <v>1050</v>
      </c>
    </row>
    <row r="1052" spans="1:17">
      <c r="A1052" t="s">
        <v>166</v>
      </c>
      <c r="B1052" t="str">
        <f>TEXT(Table1[[#This Row],[Date]],"MMMM")</f>
        <v>January</v>
      </c>
      <c r="C1052" t="str">
        <f>TEXT(Table1[[#This Row],[Date]],"DDDD")</f>
        <v>Thursday</v>
      </c>
      <c r="D1052" t="s">
        <v>49</v>
      </c>
      <c r="E1052" t="s">
        <v>45</v>
      </c>
      <c r="F1052" t="s">
        <v>29</v>
      </c>
      <c r="G1052" t="s">
        <v>37</v>
      </c>
      <c r="H1052" t="s">
        <v>71</v>
      </c>
      <c r="I1052" t="s">
        <v>51</v>
      </c>
      <c r="J1052" s="3">
        <v>250000</v>
      </c>
      <c r="K1052">
        <v>5</v>
      </c>
      <c r="L1052" t="s">
        <v>42</v>
      </c>
      <c r="M1052" s="3">
        <v>200000</v>
      </c>
      <c r="N1052" s="3">
        <f>Table1[[#This Row],[Unit Price]]*Table1[[#This Row],[Quantity]]</f>
        <v>1250000</v>
      </c>
      <c r="O1052" s="3">
        <f>Table1[[#This Row],[Cost Price]]*Table1[[#This Row],[Quantity]]</f>
        <v>1000000</v>
      </c>
      <c r="P1052" s="3">
        <f>Table1[[#This Row],[Revenue]]-Table1[[#This Row],[COGS]]</f>
        <v>250000</v>
      </c>
      <c r="Q1052" s="1">
        <v>1051</v>
      </c>
    </row>
    <row r="1053" spans="1:17">
      <c r="A1053" t="s">
        <v>101</v>
      </c>
      <c r="B1053" t="str">
        <f>TEXT(Table1[[#This Row],[Date]],"MMMM")</f>
        <v>January</v>
      </c>
      <c r="C1053" t="str">
        <f>TEXT(Table1[[#This Row],[Date]],"DDDD")</f>
        <v>Thursday</v>
      </c>
      <c r="D1053" t="s">
        <v>49</v>
      </c>
      <c r="E1053" t="s">
        <v>53</v>
      </c>
      <c r="F1053" t="s">
        <v>41</v>
      </c>
      <c r="G1053" t="s">
        <v>30</v>
      </c>
      <c r="H1053" t="s">
        <v>38</v>
      </c>
      <c r="I1053" t="s">
        <v>39</v>
      </c>
      <c r="J1053" s="3">
        <v>30000</v>
      </c>
      <c r="K1053">
        <v>10</v>
      </c>
      <c r="L1053" t="s">
        <v>65</v>
      </c>
      <c r="M1053" s="3">
        <v>24000</v>
      </c>
      <c r="N1053" s="3">
        <f>Table1[[#This Row],[Unit Price]]*Table1[[#This Row],[Quantity]]</f>
        <v>300000</v>
      </c>
      <c r="O1053" s="3">
        <f>Table1[[#This Row],[Cost Price]]*Table1[[#This Row],[Quantity]]</f>
        <v>240000</v>
      </c>
      <c r="P1053" s="3">
        <f>Table1[[#This Row],[Revenue]]-Table1[[#This Row],[COGS]]</f>
        <v>60000</v>
      </c>
      <c r="Q1053" s="1">
        <v>1052</v>
      </c>
    </row>
    <row r="1054" spans="1:17">
      <c r="A1054" t="s">
        <v>76</v>
      </c>
      <c r="B1054" t="str">
        <f>TEXT(Table1[[#This Row],[Date]],"MMMM")</f>
        <v>May</v>
      </c>
      <c r="C1054" t="str">
        <f>TEXT(Table1[[#This Row],[Date]],"DDDD")</f>
        <v>Thursday</v>
      </c>
      <c r="D1054" t="s">
        <v>44</v>
      </c>
      <c r="E1054" t="s">
        <v>45</v>
      </c>
      <c r="F1054" t="s">
        <v>29</v>
      </c>
      <c r="G1054" t="s">
        <v>37</v>
      </c>
      <c r="H1054" t="s">
        <v>67</v>
      </c>
      <c r="I1054" t="s">
        <v>51</v>
      </c>
      <c r="J1054" s="3">
        <v>420000</v>
      </c>
      <c r="K1054">
        <v>3</v>
      </c>
      <c r="L1054" t="s">
        <v>33</v>
      </c>
      <c r="M1054" s="3">
        <v>336000</v>
      </c>
      <c r="N1054" s="3">
        <f>Table1[[#This Row],[Unit Price]]*Table1[[#This Row],[Quantity]]</f>
        <v>1260000</v>
      </c>
      <c r="O1054" s="3">
        <f>Table1[[#This Row],[Cost Price]]*Table1[[#This Row],[Quantity]]</f>
        <v>1008000</v>
      </c>
      <c r="P1054" s="3">
        <f>Table1[[#This Row],[Revenue]]-Table1[[#This Row],[COGS]]</f>
        <v>252000</v>
      </c>
      <c r="Q1054" s="1">
        <v>1053</v>
      </c>
    </row>
    <row r="1055" spans="1:17">
      <c r="A1055" t="s">
        <v>40</v>
      </c>
      <c r="B1055" t="str">
        <f>TEXT(Table1[[#This Row],[Date]],"MMMM")</f>
        <v>February</v>
      </c>
      <c r="C1055" t="str">
        <f>TEXT(Table1[[#This Row],[Date]],"DDDD")</f>
        <v>Thursday</v>
      </c>
      <c r="D1055" t="s">
        <v>44</v>
      </c>
      <c r="E1055" t="s">
        <v>53</v>
      </c>
      <c r="F1055" t="s">
        <v>29</v>
      </c>
      <c r="G1055" t="s">
        <v>30</v>
      </c>
      <c r="H1055" t="s">
        <v>56</v>
      </c>
      <c r="I1055" t="s">
        <v>32</v>
      </c>
      <c r="J1055" s="3">
        <v>320000</v>
      </c>
      <c r="K1055">
        <v>8</v>
      </c>
      <c r="L1055" t="s">
        <v>65</v>
      </c>
      <c r="M1055" s="3">
        <v>256000</v>
      </c>
      <c r="N1055" s="3">
        <f>Table1[[#This Row],[Unit Price]]*Table1[[#This Row],[Quantity]]</f>
        <v>2560000</v>
      </c>
      <c r="O1055" s="3">
        <f>Table1[[#This Row],[Cost Price]]*Table1[[#This Row],[Quantity]]</f>
        <v>2048000</v>
      </c>
      <c r="P1055" s="3">
        <f>Table1[[#This Row],[Revenue]]-Table1[[#This Row],[COGS]]</f>
        <v>512000</v>
      </c>
      <c r="Q1055" s="1">
        <v>1054</v>
      </c>
    </row>
    <row r="1056" spans="1:17">
      <c r="A1056" t="s">
        <v>74</v>
      </c>
      <c r="B1056" t="str">
        <f>TEXT(Table1[[#This Row],[Date]],"MMMM")</f>
        <v>February</v>
      </c>
      <c r="C1056" t="str">
        <f>TEXT(Table1[[#This Row],[Date]],"DDDD")</f>
        <v>Monday</v>
      </c>
      <c r="D1056" t="s">
        <v>49</v>
      </c>
      <c r="E1056" t="s">
        <v>36</v>
      </c>
      <c r="F1056" t="s">
        <v>41</v>
      </c>
      <c r="G1056" t="s">
        <v>30</v>
      </c>
      <c r="H1056" t="s">
        <v>67</v>
      </c>
      <c r="I1056" t="s">
        <v>51</v>
      </c>
      <c r="J1056" s="3">
        <v>420000</v>
      </c>
      <c r="K1056">
        <v>8</v>
      </c>
      <c r="L1056" t="s">
        <v>65</v>
      </c>
      <c r="M1056" s="3">
        <v>336000</v>
      </c>
      <c r="N1056" s="3">
        <f>Table1[[#This Row],[Unit Price]]*Table1[[#This Row],[Quantity]]</f>
        <v>3360000</v>
      </c>
      <c r="O1056" s="3">
        <f>Table1[[#This Row],[Cost Price]]*Table1[[#This Row],[Quantity]]</f>
        <v>2688000</v>
      </c>
      <c r="P1056" s="3">
        <f>Table1[[#This Row],[Revenue]]-Table1[[#This Row],[COGS]]</f>
        <v>672000</v>
      </c>
      <c r="Q1056" s="1">
        <v>1055</v>
      </c>
    </row>
    <row r="1057" spans="1:17">
      <c r="A1057" t="s">
        <v>97</v>
      </c>
      <c r="B1057" t="str">
        <f>TEXT(Table1[[#This Row],[Date]],"MMMM")</f>
        <v>January</v>
      </c>
      <c r="C1057" t="str">
        <f>TEXT(Table1[[#This Row],[Date]],"DDDD")</f>
        <v>Sunday</v>
      </c>
      <c r="D1057" t="s">
        <v>44</v>
      </c>
      <c r="E1057" t="s">
        <v>45</v>
      </c>
      <c r="F1057" t="s">
        <v>41</v>
      </c>
      <c r="G1057" t="s">
        <v>30</v>
      </c>
      <c r="H1057" t="s">
        <v>62</v>
      </c>
      <c r="I1057" t="s">
        <v>51</v>
      </c>
      <c r="J1057" s="3">
        <v>150000</v>
      </c>
      <c r="K1057">
        <v>1</v>
      </c>
      <c r="L1057" t="s">
        <v>65</v>
      </c>
      <c r="M1057" s="3">
        <v>120000</v>
      </c>
      <c r="N1057" s="3">
        <f>Table1[[#This Row],[Unit Price]]*Table1[[#This Row],[Quantity]]</f>
        <v>150000</v>
      </c>
      <c r="O1057" s="3">
        <f>Table1[[#This Row],[Cost Price]]*Table1[[#This Row],[Quantity]]</f>
        <v>120000</v>
      </c>
      <c r="P1057" s="3">
        <f>Table1[[#This Row],[Revenue]]-Table1[[#This Row],[COGS]]</f>
        <v>30000</v>
      </c>
      <c r="Q1057" s="1">
        <v>1056</v>
      </c>
    </row>
    <row r="1058" spans="1:17">
      <c r="A1058" t="s">
        <v>177</v>
      </c>
      <c r="B1058" t="str">
        <f>TEXT(Table1[[#This Row],[Date]],"MMMM")</f>
        <v>March</v>
      </c>
      <c r="C1058" t="str">
        <f>TEXT(Table1[[#This Row],[Date]],"DDDD")</f>
        <v>Wednesday</v>
      </c>
      <c r="D1058" t="s">
        <v>44</v>
      </c>
      <c r="E1058" t="s">
        <v>36</v>
      </c>
      <c r="F1058" t="s">
        <v>29</v>
      </c>
      <c r="G1058" t="s">
        <v>30</v>
      </c>
      <c r="H1058" t="s">
        <v>46</v>
      </c>
      <c r="I1058" t="s">
        <v>39</v>
      </c>
      <c r="J1058" s="3">
        <v>60000</v>
      </c>
      <c r="K1058">
        <v>7</v>
      </c>
      <c r="L1058" t="s">
        <v>58</v>
      </c>
      <c r="M1058" s="3">
        <v>48000</v>
      </c>
      <c r="N1058" s="3">
        <f>Table1[[#This Row],[Unit Price]]*Table1[[#This Row],[Quantity]]</f>
        <v>420000</v>
      </c>
      <c r="O1058" s="3">
        <f>Table1[[#This Row],[Cost Price]]*Table1[[#This Row],[Quantity]]</f>
        <v>336000</v>
      </c>
      <c r="P1058" s="3">
        <f>Table1[[#This Row],[Revenue]]-Table1[[#This Row],[COGS]]</f>
        <v>84000</v>
      </c>
      <c r="Q1058" s="1">
        <v>1057</v>
      </c>
    </row>
    <row r="1059" spans="1:17">
      <c r="A1059" t="s">
        <v>136</v>
      </c>
      <c r="B1059" t="str">
        <f>TEXT(Table1[[#This Row],[Date]],"MMMM")</f>
        <v>February</v>
      </c>
      <c r="C1059" t="str">
        <f>TEXT(Table1[[#This Row],[Date]],"DDDD")</f>
        <v>Saturday</v>
      </c>
      <c r="D1059" t="s">
        <v>44</v>
      </c>
      <c r="E1059" t="s">
        <v>36</v>
      </c>
      <c r="F1059" t="s">
        <v>29</v>
      </c>
      <c r="G1059" t="s">
        <v>37</v>
      </c>
      <c r="H1059" t="s">
        <v>67</v>
      </c>
      <c r="I1059" t="s">
        <v>51</v>
      </c>
      <c r="J1059" s="3">
        <v>420000</v>
      </c>
      <c r="K1059">
        <v>9</v>
      </c>
      <c r="L1059" t="s">
        <v>65</v>
      </c>
      <c r="M1059" s="3">
        <v>336000</v>
      </c>
      <c r="N1059" s="3">
        <f>Table1[[#This Row],[Unit Price]]*Table1[[#This Row],[Quantity]]</f>
        <v>3780000</v>
      </c>
      <c r="O1059" s="3">
        <f>Table1[[#This Row],[Cost Price]]*Table1[[#This Row],[Quantity]]</f>
        <v>3024000</v>
      </c>
      <c r="P1059" s="3">
        <f>Table1[[#This Row],[Revenue]]-Table1[[#This Row],[COGS]]</f>
        <v>756000</v>
      </c>
      <c r="Q1059" s="1">
        <v>1058</v>
      </c>
    </row>
    <row r="1060" spans="1:17">
      <c r="A1060" t="s">
        <v>173</v>
      </c>
      <c r="B1060" t="str">
        <f>TEXT(Table1[[#This Row],[Date]],"MMMM")</f>
        <v>March</v>
      </c>
      <c r="C1060" t="str">
        <f>TEXT(Table1[[#This Row],[Date]],"DDDD")</f>
        <v>Saturday</v>
      </c>
      <c r="D1060" t="s">
        <v>35</v>
      </c>
      <c r="E1060" t="s">
        <v>45</v>
      </c>
      <c r="F1060" t="s">
        <v>41</v>
      </c>
      <c r="G1060" t="s">
        <v>37</v>
      </c>
      <c r="H1060" t="s">
        <v>67</v>
      </c>
      <c r="I1060" t="s">
        <v>51</v>
      </c>
      <c r="J1060" s="3">
        <v>420000</v>
      </c>
      <c r="K1060">
        <v>6</v>
      </c>
      <c r="L1060" t="s">
        <v>42</v>
      </c>
      <c r="M1060" s="3">
        <v>336000</v>
      </c>
      <c r="N1060" s="3">
        <f>Table1[[#This Row],[Unit Price]]*Table1[[#This Row],[Quantity]]</f>
        <v>2520000</v>
      </c>
      <c r="O1060" s="3">
        <f>Table1[[#This Row],[Cost Price]]*Table1[[#This Row],[Quantity]]</f>
        <v>2016000</v>
      </c>
      <c r="P1060" s="3">
        <f>Table1[[#This Row],[Revenue]]-Table1[[#This Row],[COGS]]</f>
        <v>504000</v>
      </c>
      <c r="Q1060" s="1">
        <v>1059</v>
      </c>
    </row>
    <row r="1061" spans="1:17">
      <c r="A1061" t="s">
        <v>101</v>
      </c>
      <c r="B1061" t="str">
        <f>TEXT(Table1[[#This Row],[Date]],"MMMM")</f>
        <v>January</v>
      </c>
      <c r="C1061" t="str">
        <f>TEXT(Table1[[#This Row],[Date]],"DDDD")</f>
        <v>Thursday</v>
      </c>
      <c r="D1061" t="s">
        <v>35</v>
      </c>
      <c r="E1061" t="s">
        <v>28</v>
      </c>
      <c r="F1061" t="s">
        <v>29</v>
      </c>
      <c r="G1061" t="s">
        <v>30</v>
      </c>
      <c r="H1061" t="s">
        <v>50</v>
      </c>
      <c r="I1061" t="s">
        <v>51</v>
      </c>
      <c r="J1061" s="3">
        <v>300000</v>
      </c>
      <c r="K1061">
        <v>9</v>
      </c>
      <c r="L1061" t="s">
        <v>65</v>
      </c>
      <c r="M1061" s="3">
        <v>240000</v>
      </c>
      <c r="N1061" s="3">
        <f>Table1[[#This Row],[Unit Price]]*Table1[[#This Row],[Quantity]]</f>
        <v>2700000</v>
      </c>
      <c r="O1061" s="3">
        <f>Table1[[#This Row],[Cost Price]]*Table1[[#This Row],[Quantity]]</f>
        <v>2160000</v>
      </c>
      <c r="P1061" s="3">
        <f>Table1[[#This Row],[Revenue]]-Table1[[#This Row],[COGS]]</f>
        <v>540000</v>
      </c>
      <c r="Q1061" s="1">
        <v>1060</v>
      </c>
    </row>
    <row r="1062" spans="1:17">
      <c r="A1062" t="s">
        <v>72</v>
      </c>
      <c r="B1062" t="str">
        <f>TEXT(Table1[[#This Row],[Date]],"MMMM")</f>
        <v>February</v>
      </c>
      <c r="C1062" t="str">
        <f>TEXT(Table1[[#This Row],[Date]],"DDDD")</f>
        <v>Wednesday</v>
      </c>
      <c r="D1062" t="s">
        <v>49</v>
      </c>
      <c r="E1062" t="s">
        <v>28</v>
      </c>
      <c r="F1062" t="s">
        <v>41</v>
      </c>
      <c r="G1062" t="s">
        <v>30</v>
      </c>
      <c r="H1062" t="s">
        <v>54</v>
      </c>
      <c r="I1062" t="s">
        <v>39</v>
      </c>
      <c r="J1062" s="3">
        <v>180000</v>
      </c>
      <c r="K1062">
        <v>5</v>
      </c>
      <c r="L1062" t="s">
        <v>69</v>
      </c>
      <c r="M1062" s="3">
        <v>144000</v>
      </c>
      <c r="N1062" s="3">
        <f>Table1[[#This Row],[Unit Price]]*Table1[[#This Row],[Quantity]]</f>
        <v>900000</v>
      </c>
      <c r="O1062" s="3">
        <f>Table1[[#This Row],[Cost Price]]*Table1[[#This Row],[Quantity]]</f>
        <v>720000</v>
      </c>
      <c r="P1062" s="3">
        <f>Table1[[#This Row],[Revenue]]-Table1[[#This Row],[COGS]]</f>
        <v>180000</v>
      </c>
      <c r="Q1062" s="1">
        <v>1061</v>
      </c>
    </row>
    <row r="1063" spans="1:17">
      <c r="A1063" t="s">
        <v>63</v>
      </c>
      <c r="B1063" t="str">
        <f>TEXT(Table1[[#This Row],[Date]],"MMMM")</f>
        <v>January</v>
      </c>
      <c r="C1063" t="str">
        <f>TEXT(Table1[[#This Row],[Date]],"DDDD")</f>
        <v>Monday</v>
      </c>
      <c r="D1063" t="s">
        <v>44</v>
      </c>
      <c r="E1063" t="s">
        <v>45</v>
      </c>
      <c r="F1063" t="s">
        <v>29</v>
      </c>
      <c r="G1063" t="s">
        <v>37</v>
      </c>
      <c r="H1063" t="s">
        <v>62</v>
      </c>
      <c r="I1063" t="s">
        <v>51</v>
      </c>
      <c r="J1063" s="3">
        <v>150000</v>
      </c>
      <c r="K1063">
        <v>5</v>
      </c>
      <c r="L1063" t="s">
        <v>47</v>
      </c>
      <c r="M1063" s="3">
        <v>120000</v>
      </c>
      <c r="N1063" s="3">
        <f>Table1[[#This Row],[Unit Price]]*Table1[[#This Row],[Quantity]]</f>
        <v>750000</v>
      </c>
      <c r="O1063" s="3">
        <f>Table1[[#This Row],[Cost Price]]*Table1[[#This Row],[Quantity]]</f>
        <v>600000</v>
      </c>
      <c r="P1063" s="3">
        <f>Table1[[#This Row],[Revenue]]-Table1[[#This Row],[COGS]]</f>
        <v>150000</v>
      </c>
      <c r="Q1063" s="1">
        <v>1062</v>
      </c>
    </row>
    <row r="1064" spans="1:17">
      <c r="A1064" t="s">
        <v>166</v>
      </c>
      <c r="B1064" t="str">
        <f>TEXT(Table1[[#This Row],[Date]],"MMMM")</f>
        <v>January</v>
      </c>
      <c r="C1064" t="str">
        <f>TEXT(Table1[[#This Row],[Date]],"DDDD")</f>
        <v>Thursday</v>
      </c>
      <c r="D1064" t="s">
        <v>35</v>
      </c>
      <c r="E1064" t="s">
        <v>28</v>
      </c>
      <c r="F1064" t="s">
        <v>29</v>
      </c>
      <c r="G1064" t="s">
        <v>30</v>
      </c>
      <c r="H1064" t="s">
        <v>31</v>
      </c>
      <c r="I1064" t="s">
        <v>32</v>
      </c>
      <c r="J1064" s="3">
        <v>85000</v>
      </c>
      <c r="K1064">
        <v>9</v>
      </c>
      <c r="L1064" t="s">
        <v>47</v>
      </c>
      <c r="M1064" s="3">
        <v>68000</v>
      </c>
      <c r="N1064" s="3">
        <f>Table1[[#This Row],[Unit Price]]*Table1[[#This Row],[Quantity]]</f>
        <v>765000</v>
      </c>
      <c r="O1064" s="3">
        <f>Table1[[#This Row],[Cost Price]]*Table1[[#This Row],[Quantity]]</f>
        <v>612000</v>
      </c>
      <c r="P1064" s="3">
        <f>Table1[[#This Row],[Revenue]]-Table1[[#This Row],[COGS]]</f>
        <v>153000</v>
      </c>
      <c r="Q1064" s="1">
        <v>1063</v>
      </c>
    </row>
    <row r="1065" spans="1:17">
      <c r="A1065" t="s">
        <v>136</v>
      </c>
      <c r="B1065" t="str">
        <f>TEXT(Table1[[#This Row],[Date]],"MMMM")</f>
        <v>February</v>
      </c>
      <c r="C1065" t="str">
        <f>TEXT(Table1[[#This Row],[Date]],"DDDD")</f>
        <v>Saturday</v>
      </c>
      <c r="D1065" t="s">
        <v>27</v>
      </c>
      <c r="E1065" t="s">
        <v>53</v>
      </c>
      <c r="F1065" t="s">
        <v>41</v>
      </c>
      <c r="G1065" t="s">
        <v>30</v>
      </c>
      <c r="H1065" t="s">
        <v>67</v>
      </c>
      <c r="I1065" t="s">
        <v>51</v>
      </c>
      <c r="J1065" s="3">
        <v>420000</v>
      </c>
      <c r="K1065">
        <v>5</v>
      </c>
      <c r="L1065" t="s">
        <v>69</v>
      </c>
      <c r="M1065" s="3">
        <v>336000</v>
      </c>
      <c r="N1065" s="3">
        <f>Table1[[#This Row],[Unit Price]]*Table1[[#This Row],[Quantity]]</f>
        <v>2100000</v>
      </c>
      <c r="O1065" s="3">
        <f>Table1[[#This Row],[Cost Price]]*Table1[[#This Row],[Quantity]]</f>
        <v>1680000</v>
      </c>
      <c r="P1065" s="3">
        <f>Table1[[#This Row],[Revenue]]-Table1[[#This Row],[COGS]]</f>
        <v>420000</v>
      </c>
      <c r="Q1065" s="1">
        <v>1064</v>
      </c>
    </row>
    <row r="1066" spans="1:17">
      <c r="A1066" t="s">
        <v>122</v>
      </c>
      <c r="B1066" t="str">
        <f>TEXT(Table1[[#This Row],[Date]],"MMMM")</f>
        <v>March</v>
      </c>
      <c r="C1066" t="str">
        <f>TEXT(Table1[[#This Row],[Date]],"DDDD")</f>
        <v>Thursday</v>
      </c>
      <c r="D1066" t="s">
        <v>35</v>
      </c>
      <c r="E1066" t="s">
        <v>36</v>
      </c>
      <c r="F1066" t="s">
        <v>29</v>
      </c>
      <c r="G1066" t="s">
        <v>37</v>
      </c>
      <c r="H1066" t="s">
        <v>56</v>
      </c>
      <c r="I1066" t="s">
        <v>32</v>
      </c>
      <c r="J1066" s="3">
        <v>320000</v>
      </c>
      <c r="K1066">
        <v>4</v>
      </c>
      <c r="L1066" t="s">
        <v>47</v>
      </c>
      <c r="M1066" s="3">
        <v>256000</v>
      </c>
      <c r="N1066" s="3">
        <f>Table1[[#This Row],[Unit Price]]*Table1[[#This Row],[Quantity]]</f>
        <v>1280000</v>
      </c>
      <c r="O1066" s="3">
        <f>Table1[[#This Row],[Cost Price]]*Table1[[#This Row],[Quantity]]</f>
        <v>1024000</v>
      </c>
      <c r="P1066" s="3">
        <f>Table1[[#This Row],[Revenue]]-Table1[[#This Row],[COGS]]</f>
        <v>256000</v>
      </c>
      <c r="Q1066" s="1">
        <v>1065</v>
      </c>
    </row>
    <row r="1067" spans="1:17">
      <c r="A1067" t="s">
        <v>164</v>
      </c>
      <c r="B1067" t="str">
        <f>TEXT(Table1[[#This Row],[Date]],"MMMM")</f>
        <v>March</v>
      </c>
      <c r="C1067" t="str">
        <f>TEXT(Table1[[#This Row],[Date]],"DDDD")</f>
        <v>Tuesday</v>
      </c>
      <c r="D1067" t="s">
        <v>35</v>
      </c>
      <c r="E1067" t="s">
        <v>36</v>
      </c>
      <c r="F1067" t="s">
        <v>41</v>
      </c>
      <c r="G1067" t="s">
        <v>30</v>
      </c>
      <c r="H1067" t="s">
        <v>38</v>
      </c>
      <c r="I1067" t="s">
        <v>39</v>
      </c>
      <c r="J1067" s="3">
        <v>30000</v>
      </c>
      <c r="K1067">
        <v>4</v>
      </c>
      <c r="L1067" t="s">
        <v>47</v>
      </c>
      <c r="M1067" s="3">
        <v>24000</v>
      </c>
      <c r="N1067" s="3">
        <f>Table1[[#This Row],[Unit Price]]*Table1[[#This Row],[Quantity]]</f>
        <v>120000</v>
      </c>
      <c r="O1067" s="3">
        <f>Table1[[#This Row],[Cost Price]]*Table1[[#This Row],[Quantity]]</f>
        <v>96000</v>
      </c>
      <c r="P1067" s="3">
        <f>Table1[[#This Row],[Revenue]]-Table1[[#This Row],[COGS]]</f>
        <v>24000</v>
      </c>
      <c r="Q1067" s="1">
        <v>1066</v>
      </c>
    </row>
    <row r="1068" spans="1:17">
      <c r="A1068" t="s">
        <v>147</v>
      </c>
      <c r="B1068" t="str">
        <f>TEXT(Table1[[#This Row],[Date]],"MMMM")</f>
        <v>January</v>
      </c>
      <c r="C1068" t="str">
        <f>TEXT(Table1[[#This Row],[Date]],"DDDD")</f>
        <v>Saturday</v>
      </c>
      <c r="D1068" t="s">
        <v>44</v>
      </c>
      <c r="E1068" t="s">
        <v>53</v>
      </c>
      <c r="F1068" t="s">
        <v>41</v>
      </c>
      <c r="G1068" t="s">
        <v>37</v>
      </c>
      <c r="H1068" t="s">
        <v>62</v>
      </c>
      <c r="I1068" t="s">
        <v>51</v>
      </c>
      <c r="J1068" s="3">
        <v>150000</v>
      </c>
      <c r="K1068">
        <v>3</v>
      </c>
      <c r="L1068" t="s">
        <v>65</v>
      </c>
      <c r="M1068" s="3">
        <v>120000</v>
      </c>
      <c r="N1068" s="3">
        <f>Table1[[#This Row],[Unit Price]]*Table1[[#This Row],[Quantity]]</f>
        <v>450000</v>
      </c>
      <c r="O1068" s="3">
        <f>Table1[[#This Row],[Cost Price]]*Table1[[#This Row],[Quantity]]</f>
        <v>360000</v>
      </c>
      <c r="P1068" s="3">
        <f>Table1[[#This Row],[Revenue]]-Table1[[#This Row],[COGS]]</f>
        <v>90000</v>
      </c>
      <c r="Q1068" s="1">
        <v>1067</v>
      </c>
    </row>
    <row r="1069" spans="1:17">
      <c r="A1069" t="s">
        <v>86</v>
      </c>
      <c r="B1069" t="str">
        <f>TEXT(Table1[[#This Row],[Date]],"MMMM")</f>
        <v>February</v>
      </c>
      <c r="C1069" t="str">
        <f>TEXT(Table1[[#This Row],[Date]],"DDDD")</f>
        <v>Thursday</v>
      </c>
      <c r="D1069" t="s">
        <v>27</v>
      </c>
      <c r="E1069" t="s">
        <v>36</v>
      </c>
      <c r="F1069" t="s">
        <v>29</v>
      </c>
      <c r="G1069" t="s">
        <v>30</v>
      </c>
      <c r="H1069" t="s">
        <v>73</v>
      </c>
      <c r="I1069" t="s">
        <v>39</v>
      </c>
      <c r="J1069" s="3">
        <v>220000</v>
      </c>
      <c r="K1069">
        <v>7</v>
      </c>
      <c r="L1069" t="s">
        <v>33</v>
      </c>
      <c r="M1069" s="3">
        <v>176000</v>
      </c>
      <c r="N1069" s="3">
        <f>Table1[[#This Row],[Unit Price]]*Table1[[#This Row],[Quantity]]</f>
        <v>1540000</v>
      </c>
      <c r="O1069" s="3">
        <f>Table1[[#This Row],[Cost Price]]*Table1[[#This Row],[Quantity]]</f>
        <v>1232000</v>
      </c>
      <c r="P1069" s="3">
        <f>Table1[[#This Row],[Revenue]]-Table1[[#This Row],[COGS]]</f>
        <v>308000</v>
      </c>
      <c r="Q1069" s="1">
        <v>1068</v>
      </c>
    </row>
    <row r="1070" spans="1:17">
      <c r="A1070" t="s">
        <v>83</v>
      </c>
      <c r="B1070" t="str">
        <f>TEXT(Table1[[#This Row],[Date]],"MMMM")</f>
        <v>January</v>
      </c>
      <c r="C1070" t="str">
        <f>TEXT(Table1[[#This Row],[Date]],"DDDD")</f>
        <v>Tuesday</v>
      </c>
      <c r="D1070" t="s">
        <v>35</v>
      </c>
      <c r="E1070" t="s">
        <v>28</v>
      </c>
      <c r="F1070" t="s">
        <v>29</v>
      </c>
      <c r="G1070" t="s">
        <v>37</v>
      </c>
      <c r="H1070" t="s">
        <v>54</v>
      </c>
      <c r="I1070" t="s">
        <v>39</v>
      </c>
      <c r="J1070" s="3">
        <v>180000</v>
      </c>
      <c r="K1070">
        <v>10</v>
      </c>
      <c r="L1070" t="s">
        <v>58</v>
      </c>
      <c r="M1070" s="3">
        <v>144000</v>
      </c>
      <c r="N1070" s="3">
        <f>Table1[[#This Row],[Unit Price]]*Table1[[#This Row],[Quantity]]</f>
        <v>1800000</v>
      </c>
      <c r="O1070" s="3">
        <f>Table1[[#This Row],[Cost Price]]*Table1[[#This Row],[Quantity]]</f>
        <v>1440000</v>
      </c>
      <c r="P1070" s="3">
        <f>Table1[[#This Row],[Revenue]]-Table1[[#This Row],[COGS]]</f>
        <v>360000</v>
      </c>
      <c r="Q1070" s="1">
        <v>1069</v>
      </c>
    </row>
    <row r="1071" spans="1:17">
      <c r="A1071" t="s">
        <v>153</v>
      </c>
      <c r="B1071" t="str">
        <f>TEXT(Table1[[#This Row],[Date]],"MMMM")</f>
        <v>March</v>
      </c>
      <c r="C1071" t="str">
        <f>TEXT(Table1[[#This Row],[Date]],"DDDD")</f>
        <v>Tuesday</v>
      </c>
      <c r="D1071" t="s">
        <v>27</v>
      </c>
      <c r="E1071" t="s">
        <v>53</v>
      </c>
      <c r="F1071" t="s">
        <v>41</v>
      </c>
      <c r="G1071" t="s">
        <v>30</v>
      </c>
      <c r="H1071" t="s">
        <v>31</v>
      </c>
      <c r="I1071" t="s">
        <v>32</v>
      </c>
      <c r="J1071" s="3">
        <v>85000</v>
      </c>
      <c r="K1071">
        <v>7</v>
      </c>
      <c r="L1071" t="s">
        <v>42</v>
      </c>
      <c r="M1071" s="3">
        <v>68000</v>
      </c>
      <c r="N1071" s="3">
        <f>Table1[[#This Row],[Unit Price]]*Table1[[#This Row],[Quantity]]</f>
        <v>595000</v>
      </c>
      <c r="O1071" s="3">
        <f>Table1[[#This Row],[Cost Price]]*Table1[[#This Row],[Quantity]]</f>
        <v>476000</v>
      </c>
      <c r="P1071" s="3">
        <f>Table1[[#This Row],[Revenue]]-Table1[[#This Row],[COGS]]</f>
        <v>119000</v>
      </c>
      <c r="Q1071" s="1">
        <v>1070</v>
      </c>
    </row>
    <row r="1072" spans="1:17">
      <c r="A1072" t="s">
        <v>119</v>
      </c>
      <c r="B1072" t="str">
        <f>TEXT(Table1[[#This Row],[Date]],"MMMM")</f>
        <v>February</v>
      </c>
      <c r="C1072" t="str">
        <f>TEXT(Table1[[#This Row],[Date]],"DDDD")</f>
        <v>Sunday</v>
      </c>
      <c r="D1072" t="s">
        <v>35</v>
      </c>
      <c r="E1072" t="s">
        <v>36</v>
      </c>
      <c r="F1072" t="s">
        <v>29</v>
      </c>
      <c r="G1072" t="s">
        <v>30</v>
      </c>
      <c r="H1072" t="s">
        <v>38</v>
      </c>
      <c r="I1072" t="s">
        <v>39</v>
      </c>
      <c r="J1072" s="3">
        <v>30000</v>
      </c>
      <c r="K1072">
        <v>3</v>
      </c>
      <c r="L1072" t="s">
        <v>42</v>
      </c>
      <c r="M1072" s="3">
        <v>24000</v>
      </c>
      <c r="N1072" s="3">
        <f>Table1[[#This Row],[Unit Price]]*Table1[[#This Row],[Quantity]]</f>
        <v>90000</v>
      </c>
      <c r="O1072" s="3">
        <f>Table1[[#This Row],[Cost Price]]*Table1[[#This Row],[Quantity]]</f>
        <v>72000</v>
      </c>
      <c r="P1072" s="3">
        <f>Table1[[#This Row],[Revenue]]-Table1[[#This Row],[COGS]]</f>
        <v>18000</v>
      </c>
      <c r="Q1072" s="1">
        <v>1071</v>
      </c>
    </row>
    <row r="1073" spans="1:17">
      <c r="A1073" t="s">
        <v>150</v>
      </c>
      <c r="B1073" t="str">
        <f>TEXT(Table1[[#This Row],[Date]],"MMMM")</f>
        <v>January</v>
      </c>
      <c r="C1073" t="str">
        <f>TEXT(Table1[[#This Row],[Date]],"DDDD")</f>
        <v>Sunday</v>
      </c>
      <c r="D1073" t="s">
        <v>49</v>
      </c>
      <c r="E1073" t="s">
        <v>28</v>
      </c>
      <c r="F1073" t="s">
        <v>41</v>
      </c>
      <c r="G1073" t="s">
        <v>30</v>
      </c>
      <c r="H1073" t="s">
        <v>56</v>
      </c>
      <c r="I1073" t="s">
        <v>32</v>
      </c>
      <c r="J1073" s="3">
        <v>320000</v>
      </c>
      <c r="K1073">
        <v>9</v>
      </c>
      <c r="L1073" t="s">
        <v>65</v>
      </c>
      <c r="M1073" s="3">
        <v>256000</v>
      </c>
      <c r="N1073" s="3">
        <f>Table1[[#This Row],[Unit Price]]*Table1[[#This Row],[Quantity]]</f>
        <v>2880000</v>
      </c>
      <c r="O1073" s="3">
        <f>Table1[[#This Row],[Cost Price]]*Table1[[#This Row],[Quantity]]</f>
        <v>2304000</v>
      </c>
      <c r="P1073" s="3">
        <f>Table1[[#This Row],[Revenue]]-Table1[[#This Row],[COGS]]</f>
        <v>576000</v>
      </c>
      <c r="Q1073" s="1">
        <v>1072</v>
      </c>
    </row>
    <row r="1074" spans="1:17">
      <c r="A1074" t="s">
        <v>125</v>
      </c>
      <c r="B1074" t="str">
        <f>TEXT(Table1[[#This Row],[Date]],"MMMM")</f>
        <v>February</v>
      </c>
      <c r="C1074" t="str">
        <f>TEXT(Table1[[#This Row],[Date]],"DDDD")</f>
        <v>Tuesday</v>
      </c>
      <c r="D1074" t="s">
        <v>27</v>
      </c>
      <c r="E1074" t="s">
        <v>36</v>
      </c>
      <c r="F1074" t="s">
        <v>29</v>
      </c>
      <c r="G1074" t="s">
        <v>37</v>
      </c>
      <c r="H1074" t="s">
        <v>62</v>
      </c>
      <c r="I1074" t="s">
        <v>51</v>
      </c>
      <c r="J1074" s="3">
        <v>150000</v>
      </c>
      <c r="K1074">
        <v>2</v>
      </c>
      <c r="L1074" t="s">
        <v>42</v>
      </c>
      <c r="M1074" s="3">
        <v>120000</v>
      </c>
      <c r="N1074" s="3">
        <f>Table1[[#This Row],[Unit Price]]*Table1[[#This Row],[Quantity]]</f>
        <v>300000</v>
      </c>
      <c r="O1074" s="3">
        <f>Table1[[#This Row],[Cost Price]]*Table1[[#This Row],[Quantity]]</f>
        <v>240000</v>
      </c>
      <c r="P1074" s="3">
        <f>Table1[[#This Row],[Revenue]]-Table1[[#This Row],[COGS]]</f>
        <v>60000</v>
      </c>
      <c r="Q1074" s="1">
        <v>1073</v>
      </c>
    </row>
    <row r="1075" spans="1:17">
      <c r="A1075" t="s">
        <v>154</v>
      </c>
      <c r="B1075" t="str">
        <f>TEXT(Table1[[#This Row],[Date]],"MMMM")</f>
        <v>February</v>
      </c>
      <c r="C1075" t="str">
        <f>TEXT(Table1[[#This Row],[Date]],"DDDD")</f>
        <v>Saturday</v>
      </c>
      <c r="D1075" t="s">
        <v>35</v>
      </c>
      <c r="E1075" t="s">
        <v>36</v>
      </c>
      <c r="F1075" t="s">
        <v>41</v>
      </c>
      <c r="G1075" t="s">
        <v>37</v>
      </c>
      <c r="H1075" t="s">
        <v>54</v>
      </c>
      <c r="I1075" t="s">
        <v>39</v>
      </c>
      <c r="J1075" s="3">
        <v>180000</v>
      </c>
      <c r="K1075">
        <v>8</v>
      </c>
      <c r="L1075" t="s">
        <v>65</v>
      </c>
      <c r="M1075" s="3">
        <v>144000</v>
      </c>
      <c r="N1075" s="3">
        <f>Table1[[#This Row],[Unit Price]]*Table1[[#This Row],[Quantity]]</f>
        <v>1440000</v>
      </c>
      <c r="O1075" s="3">
        <f>Table1[[#This Row],[Cost Price]]*Table1[[#This Row],[Quantity]]</f>
        <v>1152000</v>
      </c>
      <c r="P1075" s="3">
        <f>Table1[[#This Row],[Revenue]]-Table1[[#This Row],[COGS]]</f>
        <v>288000</v>
      </c>
      <c r="Q1075" s="1">
        <v>1074</v>
      </c>
    </row>
    <row r="1076" spans="1:17">
      <c r="A1076" t="s">
        <v>95</v>
      </c>
      <c r="B1076" t="str">
        <f>TEXT(Table1[[#This Row],[Date]],"MMMM")</f>
        <v>February</v>
      </c>
      <c r="C1076" t="str">
        <f>TEXT(Table1[[#This Row],[Date]],"DDDD")</f>
        <v>Saturday</v>
      </c>
      <c r="D1076" t="s">
        <v>35</v>
      </c>
      <c r="E1076" t="s">
        <v>36</v>
      </c>
      <c r="F1076" t="s">
        <v>41</v>
      </c>
      <c r="G1076" t="s">
        <v>37</v>
      </c>
      <c r="H1076" t="s">
        <v>31</v>
      </c>
      <c r="I1076" t="s">
        <v>32</v>
      </c>
      <c r="J1076" s="3">
        <v>85000</v>
      </c>
      <c r="K1076">
        <v>7</v>
      </c>
      <c r="L1076" t="s">
        <v>33</v>
      </c>
      <c r="M1076" s="3">
        <v>68000</v>
      </c>
      <c r="N1076" s="3">
        <f>Table1[[#This Row],[Unit Price]]*Table1[[#This Row],[Quantity]]</f>
        <v>595000</v>
      </c>
      <c r="O1076" s="3">
        <f>Table1[[#This Row],[Cost Price]]*Table1[[#This Row],[Quantity]]</f>
        <v>476000</v>
      </c>
      <c r="P1076" s="3">
        <f>Table1[[#This Row],[Revenue]]-Table1[[#This Row],[COGS]]</f>
        <v>119000</v>
      </c>
      <c r="Q1076" s="1">
        <v>1075</v>
      </c>
    </row>
    <row r="1077" spans="1:17">
      <c r="A1077" t="s">
        <v>48</v>
      </c>
      <c r="B1077" t="str">
        <f>TEXT(Table1[[#This Row],[Date]],"MMMM")</f>
        <v>April</v>
      </c>
      <c r="C1077" t="str">
        <f>TEXT(Table1[[#This Row],[Date]],"DDDD")</f>
        <v>Sunday</v>
      </c>
      <c r="D1077" t="s">
        <v>27</v>
      </c>
      <c r="E1077" t="s">
        <v>53</v>
      </c>
      <c r="F1077" t="s">
        <v>41</v>
      </c>
      <c r="G1077" t="s">
        <v>30</v>
      </c>
      <c r="H1077" t="s">
        <v>54</v>
      </c>
      <c r="I1077" t="s">
        <v>39</v>
      </c>
      <c r="J1077" s="3">
        <v>180000</v>
      </c>
      <c r="K1077">
        <v>8</v>
      </c>
      <c r="L1077" t="s">
        <v>69</v>
      </c>
      <c r="M1077" s="3">
        <v>144000</v>
      </c>
      <c r="N1077" s="3">
        <f>Table1[[#This Row],[Unit Price]]*Table1[[#This Row],[Quantity]]</f>
        <v>1440000</v>
      </c>
      <c r="O1077" s="3">
        <f>Table1[[#This Row],[Cost Price]]*Table1[[#This Row],[Quantity]]</f>
        <v>1152000</v>
      </c>
      <c r="P1077" s="3">
        <f>Table1[[#This Row],[Revenue]]-Table1[[#This Row],[COGS]]</f>
        <v>288000</v>
      </c>
      <c r="Q1077" s="1">
        <v>1076</v>
      </c>
    </row>
    <row r="1078" spans="1:17">
      <c r="A1078" t="s">
        <v>79</v>
      </c>
      <c r="B1078" t="str">
        <f>TEXT(Table1[[#This Row],[Date]],"MMMM")</f>
        <v>February</v>
      </c>
      <c r="C1078" t="str">
        <f>TEXT(Table1[[#This Row],[Date]],"DDDD")</f>
        <v>Wednesday</v>
      </c>
      <c r="D1078" t="s">
        <v>49</v>
      </c>
      <c r="E1078" t="s">
        <v>28</v>
      </c>
      <c r="F1078" t="s">
        <v>41</v>
      </c>
      <c r="G1078" t="s">
        <v>30</v>
      </c>
      <c r="H1078" t="s">
        <v>73</v>
      </c>
      <c r="I1078" t="s">
        <v>39</v>
      </c>
      <c r="J1078" s="3">
        <v>220000</v>
      </c>
      <c r="K1078">
        <v>5</v>
      </c>
      <c r="L1078" t="s">
        <v>69</v>
      </c>
      <c r="M1078" s="3">
        <v>176000</v>
      </c>
      <c r="N1078" s="3">
        <f>Table1[[#This Row],[Unit Price]]*Table1[[#This Row],[Quantity]]</f>
        <v>1100000</v>
      </c>
      <c r="O1078" s="3">
        <f>Table1[[#This Row],[Cost Price]]*Table1[[#This Row],[Quantity]]</f>
        <v>880000</v>
      </c>
      <c r="P1078" s="3">
        <f>Table1[[#This Row],[Revenue]]-Table1[[#This Row],[COGS]]</f>
        <v>220000</v>
      </c>
      <c r="Q1078" s="1">
        <v>1077</v>
      </c>
    </row>
    <row r="1079" spans="1:17">
      <c r="A1079" t="s">
        <v>86</v>
      </c>
      <c r="B1079" t="str">
        <f>TEXT(Table1[[#This Row],[Date]],"MMMM")</f>
        <v>February</v>
      </c>
      <c r="C1079" t="str">
        <f>TEXT(Table1[[#This Row],[Date]],"DDDD")</f>
        <v>Thursday</v>
      </c>
      <c r="D1079" t="s">
        <v>49</v>
      </c>
      <c r="E1079" t="s">
        <v>45</v>
      </c>
      <c r="F1079" t="s">
        <v>29</v>
      </c>
      <c r="G1079" t="s">
        <v>30</v>
      </c>
      <c r="H1079" t="s">
        <v>50</v>
      </c>
      <c r="I1079" t="s">
        <v>51</v>
      </c>
      <c r="J1079" s="3">
        <v>300000</v>
      </c>
      <c r="K1079">
        <v>5</v>
      </c>
      <c r="L1079" t="s">
        <v>65</v>
      </c>
      <c r="M1079" s="3">
        <v>240000</v>
      </c>
      <c r="N1079" s="3">
        <f>Table1[[#This Row],[Unit Price]]*Table1[[#This Row],[Quantity]]</f>
        <v>1500000</v>
      </c>
      <c r="O1079" s="3">
        <f>Table1[[#This Row],[Cost Price]]*Table1[[#This Row],[Quantity]]</f>
        <v>1200000</v>
      </c>
      <c r="P1079" s="3">
        <f>Table1[[#This Row],[Revenue]]-Table1[[#This Row],[COGS]]</f>
        <v>300000</v>
      </c>
      <c r="Q1079" s="1">
        <v>1078</v>
      </c>
    </row>
    <row r="1080" spans="1:17">
      <c r="A1080" t="s">
        <v>142</v>
      </c>
      <c r="B1080" t="str">
        <f>TEXT(Table1[[#This Row],[Date]],"MMMM")</f>
        <v>April</v>
      </c>
      <c r="C1080" t="str">
        <f>TEXT(Table1[[#This Row],[Date]],"DDDD")</f>
        <v>Monday</v>
      </c>
      <c r="D1080" t="s">
        <v>49</v>
      </c>
      <c r="E1080" t="s">
        <v>53</v>
      </c>
      <c r="F1080" t="s">
        <v>29</v>
      </c>
      <c r="G1080" t="s">
        <v>37</v>
      </c>
      <c r="H1080" t="s">
        <v>71</v>
      </c>
      <c r="I1080" t="s">
        <v>51</v>
      </c>
      <c r="J1080" s="3">
        <v>250000</v>
      </c>
      <c r="K1080">
        <v>7</v>
      </c>
      <c r="L1080" t="s">
        <v>33</v>
      </c>
      <c r="M1080" s="3">
        <v>200000</v>
      </c>
      <c r="N1080" s="3">
        <f>Table1[[#This Row],[Unit Price]]*Table1[[#This Row],[Quantity]]</f>
        <v>1750000</v>
      </c>
      <c r="O1080" s="3">
        <f>Table1[[#This Row],[Cost Price]]*Table1[[#This Row],[Quantity]]</f>
        <v>1400000</v>
      </c>
      <c r="P1080" s="3">
        <f>Table1[[#This Row],[Revenue]]-Table1[[#This Row],[COGS]]</f>
        <v>350000</v>
      </c>
      <c r="Q1080" s="1">
        <v>1079</v>
      </c>
    </row>
    <row r="1081" spans="1:17">
      <c r="A1081" t="s">
        <v>100</v>
      </c>
      <c r="B1081" t="str">
        <f>TEXT(Table1[[#This Row],[Date]],"MMMM")</f>
        <v>January</v>
      </c>
      <c r="C1081" t="str">
        <f>TEXT(Table1[[#This Row],[Date]],"DDDD")</f>
        <v>Monday</v>
      </c>
      <c r="D1081" t="s">
        <v>27</v>
      </c>
      <c r="E1081" t="s">
        <v>53</v>
      </c>
      <c r="F1081" t="s">
        <v>41</v>
      </c>
      <c r="G1081" t="s">
        <v>37</v>
      </c>
      <c r="H1081" t="s">
        <v>46</v>
      </c>
      <c r="I1081" t="s">
        <v>39</v>
      </c>
      <c r="J1081" s="3">
        <v>60000</v>
      </c>
      <c r="K1081">
        <v>7</v>
      </c>
      <c r="L1081" t="s">
        <v>65</v>
      </c>
      <c r="M1081" s="3">
        <v>48000</v>
      </c>
      <c r="N1081" s="3">
        <f>Table1[[#This Row],[Unit Price]]*Table1[[#This Row],[Quantity]]</f>
        <v>420000</v>
      </c>
      <c r="O1081" s="3">
        <f>Table1[[#This Row],[Cost Price]]*Table1[[#This Row],[Quantity]]</f>
        <v>336000</v>
      </c>
      <c r="P1081" s="3">
        <f>Table1[[#This Row],[Revenue]]-Table1[[#This Row],[COGS]]</f>
        <v>84000</v>
      </c>
      <c r="Q1081" s="1">
        <v>1080</v>
      </c>
    </row>
    <row r="1082" spans="1:17">
      <c r="A1082" t="s">
        <v>161</v>
      </c>
      <c r="B1082" t="str">
        <f>TEXT(Table1[[#This Row],[Date]],"MMMM")</f>
        <v>March</v>
      </c>
      <c r="C1082" t="str">
        <f>TEXT(Table1[[#This Row],[Date]],"DDDD")</f>
        <v>Thursday</v>
      </c>
      <c r="D1082" t="s">
        <v>35</v>
      </c>
      <c r="E1082" t="s">
        <v>28</v>
      </c>
      <c r="F1082" t="s">
        <v>41</v>
      </c>
      <c r="G1082" t="s">
        <v>30</v>
      </c>
      <c r="H1082" t="s">
        <v>31</v>
      </c>
      <c r="I1082" t="s">
        <v>32</v>
      </c>
      <c r="J1082" s="3">
        <v>85000</v>
      </c>
      <c r="K1082">
        <v>2</v>
      </c>
      <c r="L1082" t="s">
        <v>58</v>
      </c>
      <c r="M1082" s="3">
        <v>68000</v>
      </c>
      <c r="N1082" s="3">
        <f>Table1[[#This Row],[Unit Price]]*Table1[[#This Row],[Quantity]]</f>
        <v>170000</v>
      </c>
      <c r="O1082" s="3">
        <f>Table1[[#This Row],[Cost Price]]*Table1[[#This Row],[Quantity]]</f>
        <v>136000</v>
      </c>
      <c r="P1082" s="3">
        <f>Table1[[#This Row],[Revenue]]-Table1[[#This Row],[COGS]]</f>
        <v>34000</v>
      </c>
      <c r="Q1082" s="1">
        <v>1081</v>
      </c>
    </row>
    <row r="1083" spans="1:17">
      <c r="A1083" t="s">
        <v>146</v>
      </c>
      <c r="B1083" t="str">
        <f>TEXT(Table1[[#This Row],[Date]],"MMMM")</f>
        <v>January</v>
      </c>
      <c r="C1083" t="str">
        <f>TEXT(Table1[[#This Row],[Date]],"DDDD")</f>
        <v>Tuesday</v>
      </c>
      <c r="D1083" t="s">
        <v>27</v>
      </c>
      <c r="E1083" t="s">
        <v>28</v>
      </c>
      <c r="F1083" t="s">
        <v>29</v>
      </c>
      <c r="G1083" t="s">
        <v>37</v>
      </c>
      <c r="H1083" t="s">
        <v>46</v>
      </c>
      <c r="I1083" t="s">
        <v>39</v>
      </c>
      <c r="J1083" s="3">
        <v>60000</v>
      </c>
      <c r="K1083">
        <v>2</v>
      </c>
      <c r="L1083" t="s">
        <v>69</v>
      </c>
      <c r="M1083" s="3">
        <v>48000</v>
      </c>
      <c r="N1083" s="3">
        <f>Table1[[#This Row],[Unit Price]]*Table1[[#This Row],[Quantity]]</f>
        <v>120000</v>
      </c>
      <c r="O1083" s="3">
        <f>Table1[[#This Row],[Cost Price]]*Table1[[#This Row],[Quantity]]</f>
        <v>96000</v>
      </c>
      <c r="P1083" s="3">
        <f>Table1[[#This Row],[Revenue]]-Table1[[#This Row],[COGS]]</f>
        <v>24000</v>
      </c>
      <c r="Q1083" s="1">
        <v>1082</v>
      </c>
    </row>
    <row r="1084" spans="1:17">
      <c r="A1084" t="s">
        <v>145</v>
      </c>
      <c r="B1084" t="str">
        <f>TEXT(Table1[[#This Row],[Date]],"MMMM")</f>
        <v>January</v>
      </c>
      <c r="C1084" t="str">
        <f>TEXT(Table1[[#This Row],[Date]],"DDDD")</f>
        <v>Friday</v>
      </c>
      <c r="D1084" t="s">
        <v>35</v>
      </c>
      <c r="E1084" t="s">
        <v>53</v>
      </c>
      <c r="F1084" t="s">
        <v>41</v>
      </c>
      <c r="G1084" t="s">
        <v>30</v>
      </c>
      <c r="H1084" t="s">
        <v>38</v>
      </c>
      <c r="I1084" t="s">
        <v>39</v>
      </c>
      <c r="J1084" s="3">
        <v>30000</v>
      </c>
      <c r="K1084">
        <v>10</v>
      </c>
      <c r="L1084" t="s">
        <v>69</v>
      </c>
      <c r="M1084" s="3">
        <v>24000</v>
      </c>
      <c r="N1084" s="3">
        <f>Table1[[#This Row],[Unit Price]]*Table1[[#This Row],[Quantity]]</f>
        <v>300000</v>
      </c>
      <c r="O1084" s="3">
        <f>Table1[[#This Row],[Cost Price]]*Table1[[#This Row],[Quantity]]</f>
        <v>240000</v>
      </c>
      <c r="P1084" s="3">
        <f>Table1[[#This Row],[Revenue]]-Table1[[#This Row],[COGS]]</f>
        <v>60000</v>
      </c>
      <c r="Q1084" s="1">
        <v>1083</v>
      </c>
    </row>
    <row r="1085" spans="1:17">
      <c r="A1085" t="s">
        <v>135</v>
      </c>
      <c r="B1085" t="str">
        <f>TEXT(Table1[[#This Row],[Date]],"MMMM")</f>
        <v>March</v>
      </c>
      <c r="C1085" t="str">
        <f>TEXT(Table1[[#This Row],[Date]],"DDDD")</f>
        <v>Sunday</v>
      </c>
      <c r="D1085" t="s">
        <v>49</v>
      </c>
      <c r="E1085" t="s">
        <v>36</v>
      </c>
      <c r="F1085" t="s">
        <v>41</v>
      </c>
      <c r="G1085" t="s">
        <v>37</v>
      </c>
      <c r="H1085" t="s">
        <v>67</v>
      </c>
      <c r="I1085" t="s">
        <v>51</v>
      </c>
      <c r="J1085" s="3">
        <v>420000</v>
      </c>
      <c r="K1085">
        <v>8</v>
      </c>
      <c r="L1085" t="s">
        <v>42</v>
      </c>
      <c r="M1085" s="3">
        <v>336000</v>
      </c>
      <c r="N1085" s="3">
        <f>Table1[[#This Row],[Unit Price]]*Table1[[#This Row],[Quantity]]</f>
        <v>3360000</v>
      </c>
      <c r="O1085" s="3">
        <f>Table1[[#This Row],[Cost Price]]*Table1[[#This Row],[Quantity]]</f>
        <v>2688000</v>
      </c>
      <c r="P1085" s="3">
        <f>Table1[[#This Row],[Revenue]]-Table1[[#This Row],[COGS]]</f>
        <v>672000</v>
      </c>
      <c r="Q1085" s="1">
        <v>1084</v>
      </c>
    </row>
    <row r="1086" spans="1:17">
      <c r="A1086" t="s">
        <v>143</v>
      </c>
      <c r="B1086" t="str">
        <f>TEXT(Table1[[#This Row],[Date]],"MMMM")</f>
        <v>April</v>
      </c>
      <c r="C1086" t="str">
        <f>TEXT(Table1[[#This Row],[Date]],"DDDD")</f>
        <v>Thursday</v>
      </c>
      <c r="D1086" t="s">
        <v>27</v>
      </c>
      <c r="E1086" t="s">
        <v>36</v>
      </c>
      <c r="F1086" t="s">
        <v>41</v>
      </c>
      <c r="G1086" t="s">
        <v>30</v>
      </c>
      <c r="H1086" t="s">
        <v>46</v>
      </c>
      <c r="I1086" t="s">
        <v>39</v>
      </c>
      <c r="J1086" s="3">
        <v>60000</v>
      </c>
      <c r="K1086">
        <v>2</v>
      </c>
      <c r="L1086" t="s">
        <v>65</v>
      </c>
      <c r="M1086" s="3">
        <v>48000</v>
      </c>
      <c r="N1086" s="3">
        <f>Table1[[#This Row],[Unit Price]]*Table1[[#This Row],[Quantity]]</f>
        <v>120000</v>
      </c>
      <c r="O1086" s="3">
        <f>Table1[[#This Row],[Cost Price]]*Table1[[#This Row],[Quantity]]</f>
        <v>96000</v>
      </c>
      <c r="P1086" s="3">
        <f>Table1[[#This Row],[Revenue]]-Table1[[#This Row],[COGS]]</f>
        <v>24000</v>
      </c>
      <c r="Q1086" s="1">
        <v>1085</v>
      </c>
    </row>
    <row r="1087" spans="1:17">
      <c r="A1087" t="s">
        <v>128</v>
      </c>
      <c r="B1087" t="str">
        <f>TEXT(Table1[[#This Row],[Date]],"MMMM")</f>
        <v>March</v>
      </c>
      <c r="C1087" t="str">
        <f>TEXT(Table1[[#This Row],[Date]],"DDDD")</f>
        <v>Friday</v>
      </c>
      <c r="D1087" t="s">
        <v>44</v>
      </c>
      <c r="E1087" t="s">
        <v>45</v>
      </c>
      <c r="F1087" t="s">
        <v>41</v>
      </c>
      <c r="G1087" t="s">
        <v>37</v>
      </c>
      <c r="H1087" t="s">
        <v>31</v>
      </c>
      <c r="I1087" t="s">
        <v>32</v>
      </c>
      <c r="J1087" s="3">
        <v>85000</v>
      </c>
      <c r="K1087">
        <v>8</v>
      </c>
      <c r="L1087" t="s">
        <v>69</v>
      </c>
      <c r="M1087" s="3">
        <v>68000</v>
      </c>
      <c r="N1087" s="3">
        <f>Table1[[#This Row],[Unit Price]]*Table1[[#This Row],[Quantity]]</f>
        <v>680000</v>
      </c>
      <c r="O1087" s="3">
        <f>Table1[[#This Row],[Cost Price]]*Table1[[#This Row],[Quantity]]</f>
        <v>544000</v>
      </c>
      <c r="P1087" s="3">
        <f>Table1[[#This Row],[Revenue]]-Table1[[#This Row],[COGS]]</f>
        <v>136000</v>
      </c>
      <c r="Q1087" s="1">
        <v>1086</v>
      </c>
    </row>
    <row r="1088" spans="1:17">
      <c r="A1088" t="s">
        <v>86</v>
      </c>
      <c r="B1088" t="str">
        <f>TEXT(Table1[[#This Row],[Date]],"MMMM")</f>
        <v>February</v>
      </c>
      <c r="C1088" t="str">
        <f>TEXT(Table1[[#This Row],[Date]],"DDDD")</f>
        <v>Thursday</v>
      </c>
      <c r="D1088" t="s">
        <v>27</v>
      </c>
      <c r="E1088" t="s">
        <v>28</v>
      </c>
      <c r="F1088" t="s">
        <v>29</v>
      </c>
      <c r="G1088" t="s">
        <v>37</v>
      </c>
      <c r="H1088" t="s">
        <v>67</v>
      </c>
      <c r="I1088" t="s">
        <v>51</v>
      </c>
      <c r="J1088" s="3">
        <v>420000</v>
      </c>
      <c r="K1088">
        <v>7</v>
      </c>
      <c r="L1088" t="s">
        <v>58</v>
      </c>
      <c r="M1088" s="3">
        <v>336000</v>
      </c>
      <c r="N1088" s="3">
        <f>Table1[[#This Row],[Unit Price]]*Table1[[#This Row],[Quantity]]</f>
        <v>2940000</v>
      </c>
      <c r="O1088" s="3">
        <f>Table1[[#This Row],[Cost Price]]*Table1[[#This Row],[Quantity]]</f>
        <v>2352000</v>
      </c>
      <c r="P1088" s="3">
        <f>Table1[[#This Row],[Revenue]]-Table1[[#This Row],[COGS]]</f>
        <v>588000</v>
      </c>
      <c r="Q1088" s="1">
        <v>1087</v>
      </c>
    </row>
    <row r="1089" spans="1:17">
      <c r="A1089" t="s">
        <v>148</v>
      </c>
      <c r="B1089" t="str">
        <f>TEXT(Table1[[#This Row],[Date]],"MMMM")</f>
        <v>February</v>
      </c>
      <c r="C1089" t="str">
        <f>TEXT(Table1[[#This Row],[Date]],"DDDD")</f>
        <v>Sunday</v>
      </c>
      <c r="D1089" t="s">
        <v>35</v>
      </c>
      <c r="E1089" t="s">
        <v>53</v>
      </c>
      <c r="F1089" t="s">
        <v>29</v>
      </c>
      <c r="G1089" t="s">
        <v>37</v>
      </c>
      <c r="H1089" t="s">
        <v>50</v>
      </c>
      <c r="I1089" t="s">
        <v>51</v>
      </c>
      <c r="J1089" s="3">
        <v>300000</v>
      </c>
      <c r="K1089">
        <v>6</v>
      </c>
      <c r="L1089" t="s">
        <v>69</v>
      </c>
      <c r="M1089" s="3">
        <v>240000</v>
      </c>
      <c r="N1089" s="3">
        <f>Table1[[#This Row],[Unit Price]]*Table1[[#This Row],[Quantity]]</f>
        <v>1800000</v>
      </c>
      <c r="O1089" s="3">
        <f>Table1[[#This Row],[Cost Price]]*Table1[[#This Row],[Quantity]]</f>
        <v>1440000</v>
      </c>
      <c r="P1089" s="3">
        <f>Table1[[#This Row],[Revenue]]-Table1[[#This Row],[COGS]]</f>
        <v>360000</v>
      </c>
      <c r="Q1089" s="1">
        <v>1088</v>
      </c>
    </row>
    <row r="1090" spans="1:17">
      <c r="A1090" t="s">
        <v>122</v>
      </c>
      <c r="B1090" t="str">
        <f>TEXT(Table1[[#This Row],[Date]],"MMMM")</f>
        <v>March</v>
      </c>
      <c r="C1090" t="str">
        <f>TEXT(Table1[[#This Row],[Date]],"DDDD")</f>
        <v>Thursday</v>
      </c>
      <c r="D1090" t="s">
        <v>49</v>
      </c>
      <c r="E1090" t="s">
        <v>28</v>
      </c>
      <c r="F1090" t="s">
        <v>29</v>
      </c>
      <c r="G1090" t="s">
        <v>30</v>
      </c>
      <c r="H1090" t="s">
        <v>67</v>
      </c>
      <c r="I1090" t="s">
        <v>51</v>
      </c>
      <c r="J1090" s="3">
        <v>420000</v>
      </c>
      <c r="K1090">
        <v>2</v>
      </c>
      <c r="L1090" t="s">
        <v>65</v>
      </c>
      <c r="M1090" s="3">
        <v>336000</v>
      </c>
      <c r="N1090" s="3">
        <f>Table1[[#This Row],[Unit Price]]*Table1[[#This Row],[Quantity]]</f>
        <v>840000</v>
      </c>
      <c r="O1090" s="3">
        <f>Table1[[#This Row],[Cost Price]]*Table1[[#This Row],[Quantity]]</f>
        <v>672000</v>
      </c>
      <c r="P1090" s="3">
        <f>Table1[[#This Row],[Revenue]]-Table1[[#This Row],[COGS]]</f>
        <v>168000</v>
      </c>
      <c r="Q1090" s="1">
        <v>1089</v>
      </c>
    </row>
    <row r="1091" spans="1:17">
      <c r="A1091" t="s">
        <v>99</v>
      </c>
      <c r="B1091" t="str">
        <f>TEXT(Table1[[#This Row],[Date]],"MMMM")</f>
        <v>April</v>
      </c>
      <c r="C1091" t="str">
        <f>TEXT(Table1[[#This Row],[Date]],"DDDD")</f>
        <v>Sunday</v>
      </c>
      <c r="D1091" t="s">
        <v>49</v>
      </c>
      <c r="E1091" t="s">
        <v>28</v>
      </c>
      <c r="F1091" t="s">
        <v>41</v>
      </c>
      <c r="G1091" t="s">
        <v>30</v>
      </c>
      <c r="H1091" t="s">
        <v>50</v>
      </c>
      <c r="I1091" t="s">
        <v>51</v>
      </c>
      <c r="J1091" s="3">
        <v>300000</v>
      </c>
      <c r="K1091">
        <v>8</v>
      </c>
      <c r="L1091" t="s">
        <v>58</v>
      </c>
      <c r="M1091" s="3">
        <v>240000</v>
      </c>
      <c r="N1091" s="3">
        <f>Table1[[#This Row],[Unit Price]]*Table1[[#This Row],[Quantity]]</f>
        <v>2400000</v>
      </c>
      <c r="O1091" s="3">
        <f>Table1[[#This Row],[Cost Price]]*Table1[[#This Row],[Quantity]]</f>
        <v>1920000</v>
      </c>
      <c r="P1091" s="3">
        <f>Table1[[#This Row],[Revenue]]-Table1[[#This Row],[COGS]]</f>
        <v>480000</v>
      </c>
      <c r="Q1091" s="1">
        <v>1090</v>
      </c>
    </row>
    <row r="1092" spans="1:17">
      <c r="A1092" t="s">
        <v>66</v>
      </c>
      <c r="B1092" t="str">
        <f>TEXT(Table1[[#This Row],[Date]],"MMMM")</f>
        <v>March</v>
      </c>
      <c r="C1092" t="str">
        <f>TEXT(Table1[[#This Row],[Date]],"DDDD")</f>
        <v>Saturday</v>
      </c>
      <c r="D1092" t="s">
        <v>49</v>
      </c>
      <c r="E1092" t="s">
        <v>45</v>
      </c>
      <c r="F1092" t="s">
        <v>29</v>
      </c>
      <c r="G1092" t="s">
        <v>30</v>
      </c>
      <c r="H1092" t="s">
        <v>71</v>
      </c>
      <c r="I1092" t="s">
        <v>51</v>
      </c>
      <c r="J1092" s="3">
        <v>250000</v>
      </c>
      <c r="K1092">
        <v>5</v>
      </c>
      <c r="L1092" t="s">
        <v>58</v>
      </c>
      <c r="M1092" s="3">
        <v>200000</v>
      </c>
      <c r="N1092" s="3">
        <f>Table1[[#This Row],[Unit Price]]*Table1[[#This Row],[Quantity]]</f>
        <v>1250000</v>
      </c>
      <c r="O1092" s="3">
        <f>Table1[[#This Row],[Cost Price]]*Table1[[#This Row],[Quantity]]</f>
        <v>1000000</v>
      </c>
      <c r="P1092" s="3">
        <f>Table1[[#This Row],[Revenue]]-Table1[[#This Row],[COGS]]</f>
        <v>250000</v>
      </c>
      <c r="Q1092" s="1">
        <v>1091</v>
      </c>
    </row>
    <row r="1093" spans="1:17">
      <c r="A1093" t="s">
        <v>91</v>
      </c>
      <c r="B1093" t="str">
        <f>TEXT(Table1[[#This Row],[Date]],"MMMM")</f>
        <v>February</v>
      </c>
      <c r="C1093" t="str">
        <f>TEXT(Table1[[#This Row],[Date]],"DDDD")</f>
        <v>Friday</v>
      </c>
      <c r="D1093" t="s">
        <v>35</v>
      </c>
      <c r="E1093" t="s">
        <v>53</v>
      </c>
      <c r="F1093" t="s">
        <v>41</v>
      </c>
      <c r="G1093" t="s">
        <v>37</v>
      </c>
      <c r="H1093" t="s">
        <v>67</v>
      </c>
      <c r="I1093" t="s">
        <v>51</v>
      </c>
      <c r="J1093" s="3">
        <v>420000</v>
      </c>
      <c r="K1093">
        <v>5</v>
      </c>
      <c r="L1093" t="s">
        <v>58</v>
      </c>
      <c r="M1093" s="3">
        <v>336000</v>
      </c>
      <c r="N1093" s="3">
        <f>Table1[[#This Row],[Unit Price]]*Table1[[#This Row],[Quantity]]</f>
        <v>2100000</v>
      </c>
      <c r="O1093" s="3">
        <f>Table1[[#This Row],[Cost Price]]*Table1[[#This Row],[Quantity]]</f>
        <v>1680000</v>
      </c>
      <c r="P1093" s="3">
        <f>Table1[[#This Row],[Revenue]]-Table1[[#This Row],[COGS]]</f>
        <v>420000</v>
      </c>
      <c r="Q1093" s="1">
        <v>1092</v>
      </c>
    </row>
    <row r="1094" spans="1:17">
      <c r="A1094" t="s">
        <v>95</v>
      </c>
      <c r="B1094" t="str">
        <f>TEXT(Table1[[#This Row],[Date]],"MMMM")</f>
        <v>February</v>
      </c>
      <c r="C1094" t="str">
        <f>TEXT(Table1[[#This Row],[Date]],"DDDD")</f>
        <v>Saturday</v>
      </c>
      <c r="D1094" t="s">
        <v>35</v>
      </c>
      <c r="E1094" t="s">
        <v>45</v>
      </c>
      <c r="F1094" t="s">
        <v>41</v>
      </c>
      <c r="G1094" t="s">
        <v>30</v>
      </c>
      <c r="H1094" t="s">
        <v>67</v>
      </c>
      <c r="I1094" t="s">
        <v>51</v>
      </c>
      <c r="J1094" s="3">
        <v>420000</v>
      </c>
      <c r="K1094">
        <v>10</v>
      </c>
      <c r="L1094" t="s">
        <v>42</v>
      </c>
      <c r="M1094" s="3">
        <v>336000</v>
      </c>
      <c r="N1094" s="3">
        <f>Table1[[#This Row],[Unit Price]]*Table1[[#This Row],[Quantity]]</f>
        <v>4200000</v>
      </c>
      <c r="O1094" s="3">
        <f>Table1[[#This Row],[Cost Price]]*Table1[[#This Row],[Quantity]]</f>
        <v>3360000</v>
      </c>
      <c r="P1094" s="3">
        <f>Table1[[#This Row],[Revenue]]-Table1[[#This Row],[COGS]]</f>
        <v>840000</v>
      </c>
      <c r="Q1094" s="1">
        <v>1093</v>
      </c>
    </row>
    <row r="1095" spans="1:17">
      <c r="A1095" t="s">
        <v>165</v>
      </c>
      <c r="B1095" t="str">
        <f>TEXT(Table1[[#This Row],[Date]],"MMMM")</f>
        <v>April</v>
      </c>
      <c r="C1095" t="str">
        <f>TEXT(Table1[[#This Row],[Date]],"DDDD")</f>
        <v>Sunday</v>
      </c>
      <c r="D1095" t="s">
        <v>49</v>
      </c>
      <c r="E1095" t="s">
        <v>45</v>
      </c>
      <c r="F1095" t="s">
        <v>29</v>
      </c>
      <c r="G1095" t="s">
        <v>30</v>
      </c>
      <c r="H1095" t="s">
        <v>56</v>
      </c>
      <c r="I1095" t="s">
        <v>32</v>
      </c>
      <c r="J1095" s="3">
        <v>320000</v>
      </c>
      <c r="K1095">
        <v>1</v>
      </c>
      <c r="L1095" t="s">
        <v>47</v>
      </c>
      <c r="M1095" s="3">
        <v>256000</v>
      </c>
      <c r="N1095" s="3">
        <f>Table1[[#This Row],[Unit Price]]*Table1[[#This Row],[Quantity]]</f>
        <v>320000</v>
      </c>
      <c r="O1095" s="3">
        <f>Table1[[#This Row],[Cost Price]]*Table1[[#This Row],[Quantity]]</f>
        <v>256000</v>
      </c>
      <c r="P1095" s="3">
        <f>Table1[[#This Row],[Revenue]]-Table1[[#This Row],[COGS]]</f>
        <v>64000</v>
      </c>
      <c r="Q1095" s="1">
        <v>1094</v>
      </c>
    </row>
    <row r="1096" spans="1:17">
      <c r="A1096" t="s">
        <v>79</v>
      </c>
      <c r="B1096" t="str">
        <f>TEXT(Table1[[#This Row],[Date]],"MMMM")</f>
        <v>February</v>
      </c>
      <c r="C1096" t="str">
        <f>TEXT(Table1[[#This Row],[Date]],"DDDD")</f>
        <v>Wednesday</v>
      </c>
      <c r="D1096" t="s">
        <v>44</v>
      </c>
      <c r="E1096" t="s">
        <v>53</v>
      </c>
      <c r="F1096" t="s">
        <v>29</v>
      </c>
      <c r="G1096" t="s">
        <v>30</v>
      </c>
      <c r="H1096" t="s">
        <v>56</v>
      </c>
      <c r="I1096" t="s">
        <v>32</v>
      </c>
      <c r="J1096" s="3">
        <v>320000</v>
      </c>
      <c r="K1096">
        <v>1</v>
      </c>
      <c r="L1096" t="s">
        <v>58</v>
      </c>
      <c r="M1096" s="3">
        <v>256000</v>
      </c>
      <c r="N1096" s="3">
        <f>Table1[[#This Row],[Unit Price]]*Table1[[#This Row],[Quantity]]</f>
        <v>320000</v>
      </c>
      <c r="O1096" s="3">
        <f>Table1[[#This Row],[Cost Price]]*Table1[[#This Row],[Quantity]]</f>
        <v>256000</v>
      </c>
      <c r="P1096" s="3">
        <f>Table1[[#This Row],[Revenue]]-Table1[[#This Row],[COGS]]</f>
        <v>64000</v>
      </c>
      <c r="Q1096" s="1">
        <v>1095</v>
      </c>
    </row>
    <row r="1097" spans="1:17">
      <c r="A1097" t="s">
        <v>121</v>
      </c>
      <c r="B1097" t="str">
        <f>TEXT(Table1[[#This Row],[Date]],"MMMM")</f>
        <v>April</v>
      </c>
      <c r="C1097" t="str">
        <f>TEXT(Table1[[#This Row],[Date]],"DDDD")</f>
        <v>Wednesday</v>
      </c>
      <c r="D1097" t="s">
        <v>49</v>
      </c>
      <c r="E1097" t="s">
        <v>45</v>
      </c>
      <c r="F1097" t="s">
        <v>41</v>
      </c>
      <c r="G1097" t="s">
        <v>37</v>
      </c>
      <c r="H1097" t="s">
        <v>62</v>
      </c>
      <c r="I1097" t="s">
        <v>51</v>
      </c>
      <c r="J1097" s="3">
        <v>150000</v>
      </c>
      <c r="K1097">
        <v>1</v>
      </c>
      <c r="L1097" t="s">
        <v>69</v>
      </c>
      <c r="M1097" s="3">
        <v>120000</v>
      </c>
      <c r="N1097" s="3">
        <f>Table1[[#This Row],[Unit Price]]*Table1[[#This Row],[Quantity]]</f>
        <v>150000</v>
      </c>
      <c r="O1097" s="3">
        <f>Table1[[#This Row],[Cost Price]]*Table1[[#This Row],[Quantity]]</f>
        <v>120000</v>
      </c>
      <c r="P1097" s="3">
        <f>Table1[[#This Row],[Revenue]]-Table1[[#This Row],[COGS]]</f>
        <v>30000</v>
      </c>
      <c r="Q1097" s="1">
        <v>1096</v>
      </c>
    </row>
    <row r="1098" spans="1:17">
      <c r="A1098" t="s">
        <v>100</v>
      </c>
      <c r="B1098" t="str">
        <f>TEXT(Table1[[#This Row],[Date]],"MMMM")</f>
        <v>January</v>
      </c>
      <c r="C1098" t="str">
        <f>TEXT(Table1[[#This Row],[Date]],"DDDD")</f>
        <v>Monday</v>
      </c>
      <c r="D1098" t="s">
        <v>35</v>
      </c>
      <c r="E1098" t="s">
        <v>28</v>
      </c>
      <c r="F1098" t="s">
        <v>41</v>
      </c>
      <c r="G1098" t="s">
        <v>30</v>
      </c>
      <c r="H1098" t="s">
        <v>54</v>
      </c>
      <c r="I1098" t="s">
        <v>39</v>
      </c>
      <c r="J1098" s="3">
        <v>180000</v>
      </c>
      <c r="K1098">
        <v>10</v>
      </c>
      <c r="L1098" t="s">
        <v>47</v>
      </c>
      <c r="M1098" s="3">
        <v>144000</v>
      </c>
      <c r="N1098" s="3">
        <f>Table1[[#This Row],[Unit Price]]*Table1[[#This Row],[Quantity]]</f>
        <v>1800000</v>
      </c>
      <c r="O1098" s="3">
        <f>Table1[[#This Row],[Cost Price]]*Table1[[#This Row],[Quantity]]</f>
        <v>1440000</v>
      </c>
      <c r="P1098" s="3">
        <f>Table1[[#This Row],[Revenue]]-Table1[[#This Row],[COGS]]</f>
        <v>360000</v>
      </c>
      <c r="Q1098" s="1">
        <v>1097</v>
      </c>
    </row>
    <row r="1099" spans="1:17">
      <c r="A1099" t="s">
        <v>34</v>
      </c>
      <c r="B1099" t="str">
        <f>TEXT(Table1[[#This Row],[Date]],"MMMM")</f>
        <v>April</v>
      </c>
      <c r="C1099" t="str">
        <f>TEXT(Table1[[#This Row],[Date]],"DDDD")</f>
        <v>Tuesday</v>
      </c>
      <c r="D1099" t="s">
        <v>49</v>
      </c>
      <c r="E1099" t="s">
        <v>45</v>
      </c>
      <c r="F1099" t="s">
        <v>29</v>
      </c>
      <c r="G1099" t="s">
        <v>37</v>
      </c>
      <c r="H1099" t="s">
        <v>67</v>
      </c>
      <c r="I1099" t="s">
        <v>51</v>
      </c>
      <c r="J1099" s="3">
        <v>420000</v>
      </c>
      <c r="K1099">
        <v>3</v>
      </c>
      <c r="L1099" t="s">
        <v>42</v>
      </c>
      <c r="M1099" s="3">
        <v>336000</v>
      </c>
      <c r="N1099" s="3">
        <f>Table1[[#This Row],[Unit Price]]*Table1[[#This Row],[Quantity]]</f>
        <v>1260000</v>
      </c>
      <c r="O1099" s="3">
        <f>Table1[[#This Row],[Cost Price]]*Table1[[#This Row],[Quantity]]</f>
        <v>1008000</v>
      </c>
      <c r="P1099" s="3">
        <f>Table1[[#This Row],[Revenue]]-Table1[[#This Row],[COGS]]</f>
        <v>252000</v>
      </c>
      <c r="Q1099" s="1">
        <v>1098</v>
      </c>
    </row>
    <row r="1100" spans="1:17">
      <c r="A1100" t="s">
        <v>82</v>
      </c>
      <c r="B1100" t="str">
        <f>TEXT(Table1[[#This Row],[Date]],"MMMM")</f>
        <v>March</v>
      </c>
      <c r="C1100" t="str">
        <f>TEXT(Table1[[#This Row],[Date]],"DDDD")</f>
        <v>Saturday</v>
      </c>
      <c r="D1100" t="s">
        <v>49</v>
      </c>
      <c r="E1100" t="s">
        <v>53</v>
      </c>
      <c r="F1100" t="s">
        <v>29</v>
      </c>
      <c r="G1100" t="s">
        <v>30</v>
      </c>
      <c r="H1100" t="s">
        <v>73</v>
      </c>
      <c r="I1100" t="s">
        <v>39</v>
      </c>
      <c r="J1100" s="3">
        <v>220000</v>
      </c>
      <c r="K1100">
        <v>10</v>
      </c>
      <c r="L1100" t="s">
        <v>69</v>
      </c>
      <c r="M1100" s="3">
        <v>176000</v>
      </c>
      <c r="N1100" s="3">
        <f>Table1[[#This Row],[Unit Price]]*Table1[[#This Row],[Quantity]]</f>
        <v>2200000</v>
      </c>
      <c r="O1100" s="3">
        <f>Table1[[#This Row],[Cost Price]]*Table1[[#This Row],[Quantity]]</f>
        <v>1760000</v>
      </c>
      <c r="P1100" s="3">
        <f>Table1[[#This Row],[Revenue]]-Table1[[#This Row],[COGS]]</f>
        <v>440000</v>
      </c>
      <c r="Q1100" s="1">
        <v>1099</v>
      </c>
    </row>
    <row r="1101" spans="1:17">
      <c r="A1101" t="s">
        <v>161</v>
      </c>
      <c r="B1101" t="str">
        <f>TEXT(Table1[[#This Row],[Date]],"MMMM")</f>
        <v>March</v>
      </c>
      <c r="C1101" t="str">
        <f>TEXT(Table1[[#This Row],[Date]],"DDDD")</f>
        <v>Thursday</v>
      </c>
      <c r="D1101" t="s">
        <v>35</v>
      </c>
      <c r="E1101" t="s">
        <v>53</v>
      </c>
      <c r="F1101" t="s">
        <v>41</v>
      </c>
      <c r="G1101" t="s">
        <v>37</v>
      </c>
      <c r="H1101" t="s">
        <v>67</v>
      </c>
      <c r="I1101" t="s">
        <v>51</v>
      </c>
      <c r="J1101" s="3">
        <v>420000</v>
      </c>
      <c r="K1101">
        <v>9</v>
      </c>
      <c r="L1101" t="s">
        <v>58</v>
      </c>
      <c r="M1101" s="3">
        <v>336000</v>
      </c>
      <c r="N1101" s="3">
        <f>Table1[[#This Row],[Unit Price]]*Table1[[#This Row],[Quantity]]</f>
        <v>3780000</v>
      </c>
      <c r="O1101" s="3">
        <f>Table1[[#This Row],[Cost Price]]*Table1[[#This Row],[Quantity]]</f>
        <v>3024000</v>
      </c>
      <c r="P1101" s="3">
        <f>Table1[[#This Row],[Revenue]]-Table1[[#This Row],[COGS]]</f>
        <v>756000</v>
      </c>
      <c r="Q1101" s="1">
        <v>1100</v>
      </c>
    </row>
    <row r="1102" spans="1:17">
      <c r="A1102" t="s">
        <v>91</v>
      </c>
      <c r="B1102" t="str">
        <f>TEXT(Table1[[#This Row],[Date]],"MMMM")</f>
        <v>February</v>
      </c>
      <c r="C1102" t="str">
        <f>TEXT(Table1[[#This Row],[Date]],"DDDD")</f>
        <v>Friday</v>
      </c>
      <c r="D1102" t="s">
        <v>27</v>
      </c>
      <c r="E1102" t="s">
        <v>53</v>
      </c>
      <c r="F1102" t="s">
        <v>29</v>
      </c>
      <c r="G1102" t="s">
        <v>37</v>
      </c>
      <c r="H1102" t="s">
        <v>38</v>
      </c>
      <c r="I1102" t="s">
        <v>39</v>
      </c>
      <c r="J1102" s="3">
        <v>30000</v>
      </c>
      <c r="K1102">
        <v>6</v>
      </c>
      <c r="L1102" t="s">
        <v>69</v>
      </c>
      <c r="M1102" s="3">
        <v>24000</v>
      </c>
      <c r="N1102" s="3">
        <f>Table1[[#This Row],[Unit Price]]*Table1[[#This Row],[Quantity]]</f>
        <v>180000</v>
      </c>
      <c r="O1102" s="3">
        <f>Table1[[#This Row],[Cost Price]]*Table1[[#This Row],[Quantity]]</f>
        <v>144000</v>
      </c>
      <c r="P1102" s="3">
        <f>Table1[[#This Row],[Revenue]]-Table1[[#This Row],[COGS]]</f>
        <v>36000</v>
      </c>
      <c r="Q1102" s="1">
        <v>1101</v>
      </c>
    </row>
    <row r="1103" spans="1:17">
      <c r="A1103" t="s">
        <v>121</v>
      </c>
      <c r="B1103" t="str">
        <f>TEXT(Table1[[#This Row],[Date]],"MMMM")</f>
        <v>April</v>
      </c>
      <c r="C1103" t="str">
        <f>TEXT(Table1[[#This Row],[Date]],"DDDD")</f>
        <v>Wednesday</v>
      </c>
      <c r="D1103" t="s">
        <v>49</v>
      </c>
      <c r="E1103" t="s">
        <v>28</v>
      </c>
      <c r="F1103" t="s">
        <v>29</v>
      </c>
      <c r="G1103" t="s">
        <v>37</v>
      </c>
      <c r="H1103" t="s">
        <v>71</v>
      </c>
      <c r="I1103" t="s">
        <v>51</v>
      </c>
      <c r="J1103" s="3">
        <v>250000</v>
      </c>
      <c r="K1103">
        <v>10</v>
      </c>
      <c r="L1103" t="s">
        <v>42</v>
      </c>
      <c r="M1103" s="3">
        <v>200000</v>
      </c>
      <c r="N1103" s="3">
        <f>Table1[[#This Row],[Unit Price]]*Table1[[#This Row],[Quantity]]</f>
        <v>2500000</v>
      </c>
      <c r="O1103" s="3">
        <f>Table1[[#This Row],[Cost Price]]*Table1[[#This Row],[Quantity]]</f>
        <v>2000000</v>
      </c>
      <c r="P1103" s="3">
        <f>Table1[[#This Row],[Revenue]]-Table1[[#This Row],[COGS]]</f>
        <v>500000</v>
      </c>
      <c r="Q1103" s="1">
        <v>1102</v>
      </c>
    </row>
    <row r="1104" spans="1:17">
      <c r="A1104" t="s">
        <v>175</v>
      </c>
      <c r="B1104" t="str">
        <f>TEXT(Table1[[#This Row],[Date]],"MMMM")</f>
        <v>January</v>
      </c>
      <c r="C1104" t="str">
        <f>TEXT(Table1[[#This Row],[Date]],"DDDD")</f>
        <v>Wednesday</v>
      </c>
      <c r="D1104" t="s">
        <v>35</v>
      </c>
      <c r="E1104" t="s">
        <v>45</v>
      </c>
      <c r="F1104" t="s">
        <v>29</v>
      </c>
      <c r="G1104" t="s">
        <v>37</v>
      </c>
      <c r="H1104" t="s">
        <v>31</v>
      </c>
      <c r="I1104" t="s">
        <v>32</v>
      </c>
      <c r="J1104" s="3">
        <v>85000</v>
      </c>
      <c r="K1104">
        <v>6</v>
      </c>
      <c r="L1104" t="s">
        <v>69</v>
      </c>
      <c r="M1104" s="3">
        <v>68000</v>
      </c>
      <c r="N1104" s="3">
        <f>Table1[[#This Row],[Unit Price]]*Table1[[#This Row],[Quantity]]</f>
        <v>510000</v>
      </c>
      <c r="O1104" s="3">
        <f>Table1[[#This Row],[Cost Price]]*Table1[[#This Row],[Quantity]]</f>
        <v>408000</v>
      </c>
      <c r="P1104" s="3">
        <f>Table1[[#This Row],[Revenue]]-Table1[[#This Row],[COGS]]</f>
        <v>102000</v>
      </c>
      <c r="Q1104" s="1">
        <v>1103</v>
      </c>
    </row>
    <row r="1105" spans="1:17">
      <c r="A1105" t="s">
        <v>75</v>
      </c>
      <c r="B1105" t="str">
        <f>TEXT(Table1[[#This Row],[Date]],"MMMM")</f>
        <v>March</v>
      </c>
      <c r="C1105" t="str">
        <f>TEXT(Table1[[#This Row],[Date]],"DDDD")</f>
        <v>Monday</v>
      </c>
      <c r="D1105" t="s">
        <v>49</v>
      </c>
      <c r="E1105" t="s">
        <v>36</v>
      </c>
      <c r="F1105" t="s">
        <v>41</v>
      </c>
      <c r="G1105" t="s">
        <v>37</v>
      </c>
      <c r="H1105" t="s">
        <v>67</v>
      </c>
      <c r="I1105" t="s">
        <v>51</v>
      </c>
      <c r="J1105" s="3">
        <v>420000</v>
      </c>
      <c r="K1105">
        <v>3</v>
      </c>
      <c r="L1105" t="s">
        <v>65</v>
      </c>
      <c r="M1105" s="3">
        <v>336000</v>
      </c>
      <c r="N1105" s="3">
        <f>Table1[[#This Row],[Unit Price]]*Table1[[#This Row],[Quantity]]</f>
        <v>1260000</v>
      </c>
      <c r="O1105" s="3">
        <f>Table1[[#This Row],[Cost Price]]*Table1[[#This Row],[Quantity]]</f>
        <v>1008000</v>
      </c>
      <c r="P1105" s="3">
        <f>Table1[[#This Row],[Revenue]]-Table1[[#This Row],[COGS]]</f>
        <v>252000</v>
      </c>
      <c r="Q1105" s="1">
        <v>1104</v>
      </c>
    </row>
    <row r="1106" spans="1:17">
      <c r="A1106" t="s">
        <v>154</v>
      </c>
      <c r="B1106" t="str">
        <f>TEXT(Table1[[#This Row],[Date]],"MMMM")</f>
        <v>February</v>
      </c>
      <c r="C1106" t="str">
        <f>TEXT(Table1[[#This Row],[Date]],"DDDD")</f>
        <v>Saturday</v>
      </c>
      <c r="D1106" t="s">
        <v>35</v>
      </c>
      <c r="E1106" t="s">
        <v>53</v>
      </c>
      <c r="F1106" t="s">
        <v>29</v>
      </c>
      <c r="G1106" t="s">
        <v>30</v>
      </c>
      <c r="H1106" t="s">
        <v>62</v>
      </c>
      <c r="I1106" t="s">
        <v>51</v>
      </c>
      <c r="J1106" s="3">
        <v>150000</v>
      </c>
      <c r="K1106">
        <v>8</v>
      </c>
      <c r="L1106" t="s">
        <v>33</v>
      </c>
      <c r="M1106" s="3">
        <v>120000</v>
      </c>
      <c r="N1106" s="3">
        <f>Table1[[#This Row],[Unit Price]]*Table1[[#This Row],[Quantity]]</f>
        <v>1200000</v>
      </c>
      <c r="O1106" s="3">
        <f>Table1[[#This Row],[Cost Price]]*Table1[[#This Row],[Quantity]]</f>
        <v>960000</v>
      </c>
      <c r="P1106" s="3">
        <f>Table1[[#This Row],[Revenue]]-Table1[[#This Row],[COGS]]</f>
        <v>240000</v>
      </c>
      <c r="Q1106" s="1">
        <v>1105</v>
      </c>
    </row>
    <row r="1107" spans="1:17">
      <c r="A1107" t="s">
        <v>146</v>
      </c>
      <c r="B1107" t="str">
        <f>TEXT(Table1[[#This Row],[Date]],"MMMM")</f>
        <v>January</v>
      </c>
      <c r="C1107" t="str">
        <f>TEXT(Table1[[#This Row],[Date]],"DDDD")</f>
        <v>Tuesday</v>
      </c>
      <c r="D1107" t="s">
        <v>27</v>
      </c>
      <c r="E1107" t="s">
        <v>36</v>
      </c>
      <c r="F1107" t="s">
        <v>41</v>
      </c>
      <c r="G1107" t="s">
        <v>30</v>
      </c>
      <c r="H1107" t="s">
        <v>46</v>
      </c>
      <c r="I1107" t="s">
        <v>39</v>
      </c>
      <c r="J1107" s="3">
        <v>60000</v>
      </c>
      <c r="K1107">
        <v>5</v>
      </c>
      <c r="L1107" t="s">
        <v>58</v>
      </c>
      <c r="M1107" s="3">
        <v>48000</v>
      </c>
      <c r="N1107" s="3">
        <f>Table1[[#This Row],[Unit Price]]*Table1[[#This Row],[Quantity]]</f>
        <v>300000</v>
      </c>
      <c r="O1107" s="3">
        <f>Table1[[#This Row],[Cost Price]]*Table1[[#This Row],[Quantity]]</f>
        <v>240000</v>
      </c>
      <c r="P1107" s="3">
        <f>Table1[[#This Row],[Revenue]]-Table1[[#This Row],[COGS]]</f>
        <v>60000</v>
      </c>
      <c r="Q1107" s="1">
        <v>1106</v>
      </c>
    </row>
    <row r="1108" spans="1:17">
      <c r="A1108" t="s">
        <v>89</v>
      </c>
      <c r="B1108" t="str">
        <f>TEXT(Table1[[#This Row],[Date]],"MMMM")</f>
        <v>February</v>
      </c>
      <c r="C1108" t="str">
        <f>TEXT(Table1[[#This Row],[Date]],"DDDD")</f>
        <v>Tuesday</v>
      </c>
      <c r="D1108" t="s">
        <v>27</v>
      </c>
      <c r="E1108" t="s">
        <v>45</v>
      </c>
      <c r="F1108" t="s">
        <v>41</v>
      </c>
      <c r="G1108" t="s">
        <v>37</v>
      </c>
      <c r="H1108" t="s">
        <v>56</v>
      </c>
      <c r="I1108" t="s">
        <v>32</v>
      </c>
      <c r="J1108" s="3">
        <v>320000</v>
      </c>
      <c r="K1108">
        <v>9</v>
      </c>
      <c r="L1108" t="s">
        <v>65</v>
      </c>
      <c r="M1108" s="3">
        <v>256000</v>
      </c>
      <c r="N1108" s="3">
        <f>Table1[[#This Row],[Unit Price]]*Table1[[#This Row],[Quantity]]</f>
        <v>2880000</v>
      </c>
      <c r="O1108" s="3">
        <f>Table1[[#This Row],[Cost Price]]*Table1[[#This Row],[Quantity]]</f>
        <v>2304000</v>
      </c>
      <c r="P1108" s="3">
        <f>Table1[[#This Row],[Revenue]]-Table1[[#This Row],[COGS]]</f>
        <v>576000</v>
      </c>
      <c r="Q1108" s="1">
        <v>1107</v>
      </c>
    </row>
    <row r="1109" spans="1:17">
      <c r="A1109" t="s">
        <v>139</v>
      </c>
      <c r="B1109" t="str">
        <f>TEXT(Table1[[#This Row],[Date]],"MMMM")</f>
        <v>January</v>
      </c>
      <c r="C1109" t="str">
        <f>TEXT(Table1[[#This Row],[Date]],"DDDD")</f>
        <v>Monday</v>
      </c>
      <c r="D1109" t="s">
        <v>27</v>
      </c>
      <c r="E1109" t="s">
        <v>36</v>
      </c>
      <c r="F1109" t="s">
        <v>41</v>
      </c>
      <c r="G1109" t="s">
        <v>30</v>
      </c>
      <c r="H1109" t="s">
        <v>67</v>
      </c>
      <c r="I1109" t="s">
        <v>51</v>
      </c>
      <c r="J1109" s="3">
        <v>420000</v>
      </c>
      <c r="K1109">
        <v>5</v>
      </c>
      <c r="L1109" t="s">
        <v>33</v>
      </c>
      <c r="M1109" s="3">
        <v>336000</v>
      </c>
      <c r="N1109" s="3">
        <f>Table1[[#This Row],[Unit Price]]*Table1[[#This Row],[Quantity]]</f>
        <v>2100000</v>
      </c>
      <c r="O1109" s="3">
        <f>Table1[[#This Row],[Cost Price]]*Table1[[#This Row],[Quantity]]</f>
        <v>1680000</v>
      </c>
      <c r="P1109" s="3">
        <f>Table1[[#This Row],[Revenue]]-Table1[[#This Row],[COGS]]</f>
        <v>420000</v>
      </c>
      <c r="Q1109" s="1">
        <v>1108</v>
      </c>
    </row>
    <row r="1110" spans="1:17">
      <c r="A1110" t="s">
        <v>94</v>
      </c>
      <c r="B1110" t="str">
        <f>TEXT(Table1[[#This Row],[Date]],"MMMM")</f>
        <v>January</v>
      </c>
      <c r="C1110" t="str">
        <f>TEXT(Table1[[#This Row],[Date]],"DDDD")</f>
        <v>Friday</v>
      </c>
      <c r="D1110" t="s">
        <v>49</v>
      </c>
      <c r="E1110" t="s">
        <v>36</v>
      </c>
      <c r="F1110" t="s">
        <v>41</v>
      </c>
      <c r="G1110" t="s">
        <v>30</v>
      </c>
      <c r="H1110" t="s">
        <v>46</v>
      </c>
      <c r="I1110" t="s">
        <v>39</v>
      </c>
      <c r="J1110" s="3">
        <v>60000</v>
      </c>
      <c r="K1110">
        <v>9</v>
      </c>
      <c r="L1110" t="s">
        <v>47</v>
      </c>
      <c r="M1110" s="3">
        <v>48000</v>
      </c>
      <c r="N1110" s="3">
        <f>Table1[[#This Row],[Unit Price]]*Table1[[#This Row],[Quantity]]</f>
        <v>540000</v>
      </c>
      <c r="O1110" s="3">
        <f>Table1[[#This Row],[Cost Price]]*Table1[[#This Row],[Quantity]]</f>
        <v>432000</v>
      </c>
      <c r="P1110" s="3">
        <f>Table1[[#This Row],[Revenue]]-Table1[[#This Row],[COGS]]</f>
        <v>108000</v>
      </c>
      <c r="Q1110" s="1">
        <v>1109</v>
      </c>
    </row>
    <row r="1111" spans="1:17">
      <c r="A1111" t="s">
        <v>124</v>
      </c>
      <c r="B1111" t="str">
        <f>TEXT(Table1[[#This Row],[Date]],"MMMM")</f>
        <v>February</v>
      </c>
      <c r="C1111" t="str">
        <f>TEXT(Table1[[#This Row],[Date]],"DDDD")</f>
        <v>Monday</v>
      </c>
      <c r="D1111" t="s">
        <v>44</v>
      </c>
      <c r="E1111" t="s">
        <v>36</v>
      </c>
      <c r="F1111" t="s">
        <v>29</v>
      </c>
      <c r="G1111" t="s">
        <v>30</v>
      </c>
      <c r="H1111" t="s">
        <v>67</v>
      </c>
      <c r="I1111" t="s">
        <v>51</v>
      </c>
      <c r="J1111" s="3">
        <v>420000</v>
      </c>
      <c r="K1111">
        <v>1</v>
      </c>
      <c r="L1111" t="s">
        <v>69</v>
      </c>
      <c r="M1111" s="3">
        <v>336000</v>
      </c>
      <c r="N1111" s="3">
        <f>Table1[[#This Row],[Unit Price]]*Table1[[#This Row],[Quantity]]</f>
        <v>420000</v>
      </c>
      <c r="O1111" s="3">
        <f>Table1[[#This Row],[Cost Price]]*Table1[[#This Row],[Quantity]]</f>
        <v>336000</v>
      </c>
      <c r="P1111" s="3">
        <f>Table1[[#This Row],[Revenue]]-Table1[[#This Row],[COGS]]</f>
        <v>84000</v>
      </c>
      <c r="Q1111" s="1">
        <v>1110</v>
      </c>
    </row>
    <row r="1112" spans="1:17">
      <c r="A1112" t="s">
        <v>145</v>
      </c>
      <c r="B1112" t="str">
        <f>TEXT(Table1[[#This Row],[Date]],"MMMM")</f>
        <v>January</v>
      </c>
      <c r="C1112" t="str">
        <f>TEXT(Table1[[#This Row],[Date]],"DDDD")</f>
        <v>Friday</v>
      </c>
      <c r="D1112" t="s">
        <v>35</v>
      </c>
      <c r="E1112" t="s">
        <v>53</v>
      </c>
      <c r="F1112" t="s">
        <v>29</v>
      </c>
      <c r="G1112" t="s">
        <v>30</v>
      </c>
      <c r="H1112" t="s">
        <v>62</v>
      </c>
      <c r="I1112" t="s">
        <v>51</v>
      </c>
      <c r="J1112" s="3">
        <v>150000</v>
      </c>
      <c r="K1112">
        <v>9</v>
      </c>
      <c r="L1112" t="s">
        <v>65</v>
      </c>
      <c r="M1112" s="3">
        <v>120000</v>
      </c>
      <c r="N1112" s="3">
        <f>Table1[[#This Row],[Unit Price]]*Table1[[#This Row],[Quantity]]</f>
        <v>1350000</v>
      </c>
      <c r="O1112" s="3">
        <f>Table1[[#This Row],[Cost Price]]*Table1[[#This Row],[Quantity]]</f>
        <v>1080000</v>
      </c>
      <c r="P1112" s="3">
        <f>Table1[[#This Row],[Revenue]]-Table1[[#This Row],[COGS]]</f>
        <v>270000</v>
      </c>
      <c r="Q1112" s="1">
        <v>1111</v>
      </c>
    </row>
    <row r="1113" spans="1:17">
      <c r="A1113" t="s">
        <v>48</v>
      </c>
      <c r="B1113" t="str">
        <f>TEXT(Table1[[#This Row],[Date]],"MMMM")</f>
        <v>April</v>
      </c>
      <c r="C1113" t="str">
        <f>TEXT(Table1[[#This Row],[Date]],"DDDD")</f>
        <v>Sunday</v>
      </c>
      <c r="D1113" t="s">
        <v>44</v>
      </c>
      <c r="E1113" t="s">
        <v>53</v>
      </c>
      <c r="F1113" t="s">
        <v>41</v>
      </c>
      <c r="G1113" t="s">
        <v>37</v>
      </c>
      <c r="H1113" t="s">
        <v>73</v>
      </c>
      <c r="I1113" t="s">
        <v>39</v>
      </c>
      <c r="J1113" s="3">
        <v>220000</v>
      </c>
      <c r="K1113">
        <v>7</v>
      </c>
      <c r="L1113" t="s">
        <v>33</v>
      </c>
      <c r="M1113" s="3">
        <v>176000</v>
      </c>
      <c r="N1113" s="3">
        <f>Table1[[#This Row],[Unit Price]]*Table1[[#This Row],[Quantity]]</f>
        <v>1540000</v>
      </c>
      <c r="O1113" s="3">
        <f>Table1[[#This Row],[Cost Price]]*Table1[[#This Row],[Quantity]]</f>
        <v>1232000</v>
      </c>
      <c r="P1113" s="3">
        <f>Table1[[#This Row],[Revenue]]-Table1[[#This Row],[COGS]]</f>
        <v>308000</v>
      </c>
      <c r="Q1113" s="1">
        <v>1112</v>
      </c>
    </row>
    <row r="1114" spans="1:17">
      <c r="A1114" t="s">
        <v>57</v>
      </c>
      <c r="B1114" t="str">
        <f>TEXT(Table1[[#This Row],[Date]],"MMMM")</f>
        <v>February</v>
      </c>
      <c r="C1114" t="str">
        <f>TEXT(Table1[[#This Row],[Date]],"DDDD")</f>
        <v>Thursday</v>
      </c>
      <c r="D1114" t="s">
        <v>49</v>
      </c>
      <c r="E1114" t="s">
        <v>28</v>
      </c>
      <c r="F1114" t="s">
        <v>29</v>
      </c>
      <c r="G1114" t="s">
        <v>37</v>
      </c>
      <c r="H1114" t="s">
        <v>56</v>
      </c>
      <c r="I1114" t="s">
        <v>32</v>
      </c>
      <c r="J1114" s="3">
        <v>320000</v>
      </c>
      <c r="K1114">
        <v>3</v>
      </c>
      <c r="L1114" t="s">
        <v>58</v>
      </c>
      <c r="M1114" s="3">
        <v>256000</v>
      </c>
      <c r="N1114" s="3">
        <f>Table1[[#This Row],[Unit Price]]*Table1[[#This Row],[Quantity]]</f>
        <v>960000</v>
      </c>
      <c r="O1114" s="3">
        <f>Table1[[#This Row],[Cost Price]]*Table1[[#This Row],[Quantity]]</f>
        <v>768000</v>
      </c>
      <c r="P1114" s="3">
        <f>Table1[[#This Row],[Revenue]]-Table1[[#This Row],[COGS]]</f>
        <v>192000</v>
      </c>
      <c r="Q1114" s="1">
        <v>1113</v>
      </c>
    </row>
    <row r="1115" spans="1:17">
      <c r="A1115" t="s">
        <v>90</v>
      </c>
      <c r="B1115" t="str">
        <f>TEXT(Table1[[#This Row],[Date]],"MMMM")</f>
        <v>February</v>
      </c>
      <c r="C1115" t="str">
        <f>TEXT(Table1[[#This Row],[Date]],"DDDD")</f>
        <v>Tuesday</v>
      </c>
      <c r="D1115" t="s">
        <v>44</v>
      </c>
      <c r="E1115" t="s">
        <v>36</v>
      </c>
      <c r="F1115" t="s">
        <v>41</v>
      </c>
      <c r="G1115" t="s">
        <v>30</v>
      </c>
      <c r="H1115" t="s">
        <v>56</v>
      </c>
      <c r="I1115" t="s">
        <v>32</v>
      </c>
      <c r="J1115" s="3">
        <v>320000</v>
      </c>
      <c r="K1115">
        <v>8</v>
      </c>
      <c r="L1115" t="s">
        <v>65</v>
      </c>
      <c r="M1115" s="3">
        <v>256000</v>
      </c>
      <c r="N1115" s="3">
        <f>Table1[[#This Row],[Unit Price]]*Table1[[#This Row],[Quantity]]</f>
        <v>2560000</v>
      </c>
      <c r="O1115" s="3">
        <f>Table1[[#This Row],[Cost Price]]*Table1[[#This Row],[Quantity]]</f>
        <v>2048000</v>
      </c>
      <c r="P1115" s="3">
        <f>Table1[[#This Row],[Revenue]]-Table1[[#This Row],[COGS]]</f>
        <v>512000</v>
      </c>
      <c r="Q1115" s="1">
        <v>1114</v>
      </c>
    </row>
    <row r="1116" spans="1:17">
      <c r="A1116" t="s">
        <v>176</v>
      </c>
      <c r="B1116" t="str">
        <f>TEXT(Table1[[#This Row],[Date]],"MMMM")</f>
        <v>January</v>
      </c>
      <c r="C1116" t="str">
        <f>TEXT(Table1[[#This Row],[Date]],"DDDD")</f>
        <v>Saturday</v>
      </c>
      <c r="D1116" t="s">
        <v>44</v>
      </c>
      <c r="E1116" t="s">
        <v>45</v>
      </c>
      <c r="F1116" t="s">
        <v>41</v>
      </c>
      <c r="G1116" t="s">
        <v>30</v>
      </c>
      <c r="H1116" t="s">
        <v>62</v>
      </c>
      <c r="I1116" t="s">
        <v>51</v>
      </c>
      <c r="J1116" s="3">
        <v>150000</v>
      </c>
      <c r="K1116">
        <v>3</v>
      </c>
      <c r="L1116" t="s">
        <v>65</v>
      </c>
      <c r="M1116" s="3">
        <v>120000</v>
      </c>
      <c r="N1116" s="3">
        <f>Table1[[#This Row],[Unit Price]]*Table1[[#This Row],[Quantity]]</f>
        <v>450000</v>
      </c>
      <c r="O1116" s="3">
        <f>Table1[[#This Row],[Cost Price]]*Table1[[#This Row],[Quantity]]</f>
        <v>360000</v>
      </c>
      <c r="P1116" s="3">
        <f>Table1[[#This Row],[Revenue]]-Table1[[#This Row],[COGS]]</f>
        <v>90000</v>
      </c>
      <c r="Q1116" s="1">
        <v>1115</v>
      </c>
    </row>
    <row r="1117" spans="1:17">
      <c r="A1117" t="s">
        <v>157</v>
      </c>
      <c r="B1117" t="str">
        <f>TEXT(Table1[[#This Row],[Date]],"MMMM")</f>
        <v>April</v>
      </c>
      <c r="C1117" t="str">
        <f>TEXT(Table1[[#This Row],[Date]],"DDDD")</f>
        <v>Tuesday</v>
      </c>
      <c r="D1117" t="s">
        <v>27</v>
      </c>
      <c r="E1117" t="s">
        <v>53</v>
      </c>
      <c r="F1117" t="s">
        <v>29</v>
      </c>
      <c r="G1117" t="s">
        <v>30</v>
      </c>
      <c r="H1117" t="s">
        <v>71</v>
      </c>
      <c r="I1117" t="s">
        <v>51</v>
      </c>
      <c r="J1117" s="3">
        <v>250000</v>
      </c>
      <c r="K1117">
        <v>9</v>
      </c>
      <c r="L1117" t="s">
        <v>33</v>
      </c>
      <c r="M1117" s="3">
        <v>200000</v>
      </c>
      <c r="N1117" s="3">
        <f>Table1[[#This Row],[Unit Price]]*Table1[[#This Row],[Quantity]]</f>
        <v>2250000</v>
      </c>
      <c r="O1117" s="3">
        <f>Table1[[#This Row],[Cost Price]]*Table1[[#This Row],[Quantity]]</f>
        <v>1800000</v>
      </c>
      <c r="P1117" s="3">
        <f>Table1[[#This Row],[Revenue]]-Table1[[#This Row],[COGS]]</f>
        <v>450000</v>
      </c>
      <c r="Q1117" s="1">
        <v>1116</v>
      </c>
    </row>
    <row r="1118" spans="1:17">
      <c r="A1118" t="s">
        <v>112</v>
      </c>
      <c r="B1118" t="str">
        <f>TEXT(Table1[[#This Row],[Date]],"MMMM")</f>
        <v>February</v>
      </c>
      <c r="C1118" t="str">
        <f>TEXT(Table1[[#This Row],[Date]],"DDDD")</f>
        <v>Monday</v>
      </c>
      <c r="D1118" t="s">
        <v>27</v>
      </c>
      <c r="E1118" t="s">
        <v>36</v>
      </c>
      <c r="F1118" t="s">
        <v>29</v>
      </c>
      <c r="G1118" t="s">
        <v>37</v>
      </c>
      <c r="H1118" t="s">
        <v>67</v>
      </c>
      <c r="I1118" t="s">
        <v>51</v>
      </c>
      <c r="J1118" s="3">
        <v>420000</v>
      </c>
      <c r="K1118">
        <v>7</v>
      </c>
      <c r="L1118" t="s">
        <v>47</v>
      </c>
      <c r="M1118" s="3">
        <v>336000</v>
      </c>
      <c r="N1118" s="3">
        <f>Table1[[#This Row],[Unit Price]]*Table1[[#This Row],[Quantity]]</f>
        <v>2940000</v>
      </c>
      <c r="O1118" s="3">
        <f>Table1[[#This Row],[Cost Price]]*Table1[[#This Row],[Quantity]]</f>
        <v>2352000</v>
      </c>
      <c r="P1118" s="3">
        <f>Table1[[#This Row],[Revenue]]-Table1[[#This Row],[COGS]]</f>
        <v>588000</v>
      </c>
      <c r="Q1118" s="1">
        <v>1117</v>
      </c>
    </row>
    <row r="1119" spans="1:17">
      <c r="A1119" t="s">
        <v>87</v>
      </c>
      <c r="B1119" t="str">
        <f>TEXT(Table1[[#This Row],[Date]],"MMMM")</f>
        <v>March</v>
      </c>
      <c r="C1119" t="str">
        <f>TEXT(Table1[[#This Row],[Date]],"DDDD")</f>
        <v>Thursday</v>
      </c>
      <c r="D1119" t="s">
        <v>27</v>
      </c>
      <c r="E1119" t="s">
        <v>28</v>
      </c>
      <c r="F1119" t="s">
        <v>41</v>
      </c>
      <c r="G1119" t="s">
        <v>37</v>
      </c>
      <c r="H1119" t="s">
        <v>71</v>
      </c>
      <c r="I1119" t="s">
        <v>51</v>
      </c>
      <c r="J1119" s="3">
        <v>250000</v>
      </c>
      <c r="K1119">
        <v>10</v>
      </c>
      <c r="L1119" t="s">
        <v>42</v>
      </c>
      <c r="M1119" s="3">
        <v>200000</v>
      </c>
      <c r="N1119" s="3">
        <f>Table1[[#This Row],[Unit Price]]*Table1[[#This Row],[Quantity]]</f>
        <v>2500000</v>
      </c>
      <c r="O1119" s="3">
        <f>Table1[[#This Row],[Cost Price]]*Table1[[#This Row],[Quantity]]</f>
        <v>2000000</v>
      </c>
      <c r="P1119" s="3">
        <f>Table1[[#This Row],[Revenue]]-Table1[[#This Row],[COGS]]</f>
        <v>500000</v>
      </c>
      <c r="Q1119" s="1">
        <v>1118</v>
      </c>
    </row>
    <row r="1120" spans="1:17">
      <c r="A1120" t="s">
        <v>137</v>
      </c>
      <c r="B1120" t="str">
        <f>TEXT(Table1[[#This Row],[Date]],"MMMM")</f>
        <v>April</v>
      </c>
      <c r="C1120" t="str">
        <f>TEXT(Table1[[#This Row],[Date]],"DDDD")</f>
        <v>Wednesday</v>
      </c>
      <c r="D1120" t="s">
        <v>35</v>
      </c>
      <c r="E1120" t="s">
        <v>45</v>
      </c>
      <c r="F1120" t="s">
        <v>29</v>
      </c>
      <c r="G1120" t="s">
        <v>30</v>
      </c>
      <c r="H1120" t="s">
        <v>46</v>
      </c>
      <c r="I1120" t="s">
        <v>39</v>
      </c>
      <c r="J1120" s="3">
        <v>60000</v>
      </c>
      <c r="K1120">
        <v>4</v>
      </c>
      <c r="L1120" t="s">
        <v>42</v>
      </c>
      <c r="M1120" s="3">
        <v>48000</v>
      </c>
      <c r="N1120" s="3">
        <f>Table1[[#This Row],[Unit Price]]*Table1[[#This Row],[Quantity]]</f>
        <v>240000</v>
      </c>
      <c r="O1120" s="3">
        <f>Table1[[#This Row],[Cost Price]]*Table1[[#This Row],[Quantity]]</f>
        <v>192000</v>
      </c>
      <c r="P1120" s="3">
        <f>Table1[[#This Row],[Revenue]]-Table1[[#This Row],[COGS]]</f>
        <v>48000</v>
      </c>
      <c r="Q1120" s="1">
        <v>1119</v>
      </c>
    </row>
    <row r="1121" spans="1:17">
      <c r="A1121" t="s">
        <v>153</v>
      </c>
      <c r="B1121" t="str">
        <f>TEXT(Table1[[#This Row],[Date]],"MMMM")</f>
        <v>March</v>
      </c>
      <c r="C1121" t="str">
        <f>TEXT(Table1[[#This Row],[Date]],"DDDD")</f>
        <v>Tuesday</v>
      </c>
      <c r="D1121" t="s">
        <v>49</v>
      </c>
      <c r="E1121" t="s">
        <v>36</v>
      </c>
      <c r="F1121" t="s">
        <v>29</v>
      </c>
      <c r="G1121" t="s">
        <v>30</v>
      </c>
      <c r="H1121" t="s">
        <v>71</v>
      </c>
      <c r="I1121" t="s">
        <v>51</v>
      </c>
      <c r="J1121" s="3">
        <v>250000</v>
      </c>
      <c r="K1121">
        <v>4</v>
      </c>
      <c r="L1121" t="s">
        <v>33</v>
      </c>
      <c r="M1121" s="3">
        <v>200000</v>
      </c>
      <c r="N1121" s="3">
        <f>Table1[[#This Row],[Unit Price]]*Table1[[#This Row],[Quantity]]</f>
        <v>1000000</v>
      </c>
      <c r="O1121" s="3">
        <f>Table1[[#This Row],[Cost Price]]*Table1[[#This Row],[Quantity]]</f>
        <v>800000</v>
      </c>
      <c r="P1121" s="3">
        <f>Table1[[#This Row],[Revenue]]-Table1[[#This Row],[COGS]]</f>
        <v>200000</v>
      </c>
      <c r="Q1121" s="1">
        <v>1120</v>
      </c>
    </row>
    <row r="1122" spans="1:17">
      <c r="A1122" t="s">
        <v>74</v>
      </c>
      <c r="B1122" t="str">
        <f>TEXT(Table1[[#This Row],[Date]],"MMMM")</f>
        <v>February</v>
      </c>
      <c r="C1122" t="str">
        <f>TEXT(Table1[[#This Row],[Date]],"DDDD")</f>
        <v>Monday</v>
      </c>
      <c r="D1122" t="s">
        <v>49</v>
      </c>
      <c r="E1122" t="s">
        <v>28</v>
      </c>
      <c r="F1122" t="s">
        <v>29</v>
      </c>
      <c r="G1122" t="s">
        <v>30</v>
      </c>
      <c r="H1122" t="s">
        <v>50</v>
      </c>
      <c r="I1122" t="s">
        <v>51</v>
      </c>
      <c r="J1122" s="3">
        <v>300000</v>
      </c>
      <c r="K1122">
        <v>3</v>
      </c>
      <c r="L1122" t="s">
        <v>69</v>
      </c>
      <c r="M1122" s="3">
        <v>240000</v>
      </c>
      <c r="N1122" s="3">
        <f>Table1[[#This Row],[Unit Price]]*Table1[[#This Row],[Quantity]]</f>
        <v>900000</v>
      </c>
      <c r="O1122" s="3">
        <f>Table1[[#This Row],[Cost Price]]*Table1[[#This Row],[Quantity]]</f>
        <v>720000</v>
      </c>
      <c r="P1122" s="3">
        <f>Table1[[#This Row],[Revenue]]-Table1[[#This Row],[COGS]]</f>
        <v>180000</v>
      </c>
      <c r="Q1122" s="1">
        <v>1121</v>
      </c>
    </row>
    <row r="1123" spans="1:17">
      <c r="A1123" t="s">
        <v>173</v>
      </c>
      <c r="B1123" t="str">
        <f>TEXT(Table1[[#This Row],[Date]],"MMMM")</f>
        <v>March</v>
      </c>
      <c r="C1123" t="str">
        <f>TEXT(Table1[[#This Row],[Date]],"DDDD")</f>
        <v>Saturday</v>
      </c>
      <c r="D1123" t="s">
        <v>44</v>
      </c>
      <c r="E1123" t="s">
        <v>36</v>
      </c>
      <c r="F1123" t="s">
        <v>41</v>
      </c>
      <c r="G1123" t="s">
        <v>30</v>
      </c>
      <c r="H1123" t="s">
        <v>67</v>
      </c>
      <c r="I1123" t="s">
        <v>51</v>
      </c>
      <c r="J1123" s="3">
        <v>420000</v>
      </c>
      <c r="K1123">
        <v>9</v>
      </c>
      <c r="L1123" t="s">
        <v>65</v>
      </c>
      <c r="M1123" s="3">
        <v>336000</v>
      </c>
      <c r="N1123" s="3">
        <f>Table1[[#This Row],[Unit Price]]*Table1[[#This Row],[Quantity]]</f>
        <v>3780000</v>
      </c>
      <c r="O1123" s="3">
        <f>Table1[[#This Row],[Cost Price]]*Table1[[#This Row],[Quantity]]</f>
        <v>3024000</v>
      </c>
      <c r="P1123" s="3">
        <f>Table1[[#This Row],[Revenue]]-Table1[[#This Row],[COGS]]</f>
        <v>756000</v>
      </c>
      <c r="Q1123" s="1">
        <v>1122</v>
      </c>
    </row>
    <row r="1124" spans="1:17">
      <c r="A1124" t="s">
        <v>52</v>
      </c>
      <c r="B1124" t="str">
        <f>TEXT(Table1[[#This Row],[Date]],"MMMM")</f>
        <v>March</v>
      </c>
      <c r="C1124" t="str">
        <f>TEXT(Table1[[#This Row],[Date]],"DDDD")</f>
        <v>Saturday</v>
      </c>
      <c r="D1124" t="s">
        <v>44</v>
      </c>
      <c r="E1124" t="s">
        <v>36</v>
      </c>
      <c r="F1124" t="s">
        <v>41</v>
      </c>
      <c r="G1124" t="s">
        <v>30</v>
      </c>
      <c r="H1124" t="s">
        <v>67</v>
      </c>
      <c r="I1124" t="s">
        <v>51</v>
      </c>
      <c r="J1124" s="3">
        <v>420000</v>
      </c>
      <c r="K1124">
        <v>7</v>
      </c>
      <c r="L1124" t="s">
        <v>47</v>
      </c>
      <c r="M1124" s="3">
        <v>336000</v>
      </c>
      <c r="N1124" s="3">
        <f>Table1[[#This Row],[Unit Price]]*Table1[[#This Row],[Quantity]]</f>
        <v>2940000</v>
      </c>
      <c r="O1124" s="3">
        <f>Table1[[#This Row],[Cost Price]]*Table1[[#This Row],[Quantity]]</f>
        <v>2352000</v>
      </c>
      <c r="P1124" s="3">
        <f>Table1[[#This Row],[Revenue]]-Table1[[#This Row],[COGS]]</f>
        <v>588000</v>
      </c>
      <c r="Q1124" s="1">
        <v>1123</v>
      </c>
    </row>
    <row r="1125" spans="1:17">
      <c r="A1125" t="s">
        <v>95</v>
      </c>
      <c r="B1125" t="str">
        <f>TEXT(Table1[[#This Row],[Date]],"MMMM")</f>
        <v>February</v>
      </c>
      <c r="C1125" t="str">
        <f>TEXT(Table1[[#This Row],[Date]],"DDDD")</f>
        <v>Saturday</v>
      </c>
      <c r="D1125" t="s">
        <v>35</v>
      </c>
      <c r="E1125" t="s">
        <v>45</v>
      </c>
      <c r="F1125" t="s">
        <v>29</v>
      </c>
      <c r="G1125" t="s">
        <v>30</v>
      </c>
      <c r="H1125" t="s">
        <v>73</v>
      </c>
      <c r="I1125" t="s">
        <v>39</v>
      </c>
      <c r="J1125" s="3">
        <v>220000</v>
      </c>
      <c r="K1125">
        <v>9</v>
      </c>
      <c r="L1125" t="s">
        <v>69</v>
      </c>
      <c r="M1125" s="3">
        <v>176000</v>
      </c>
      <c r="N1125" s="3">
        <f>Table1[[#This Row],[Unit Price]]*Table1[[#This Row],[Quantity]]</f>
        <v>1980000</v>
      </c>
      <c r="O1125" s="3">
        <f>Table1[[#This Row],[Cost Price]]*Table1[[#This Row],[Quantity]]</f>
        <v>1584000</v>
      </c>
      <c r="P1125" s="3">
        <f>Table1[[#This Row],[Revenue]]-Table1[[#This Row],[COGS]]</f>
        <v>396000</v>
      </c>
      <c r="Q1125" s="1">
        <v>1124</v>
      </c>
    </row>
    <row r="1126" spans="1:17">
      <c r="A1126" t="s">
        <v>125</v>
      </c>
      <c r="B1126" t="str">
        <f>TEXT(Table1[[#This Row],[Date]],"MMMM")</f>
        <v>February</v>
      </c>
      <c r="C1126" t="str">
        <f>TEXT(Table1[[#This Row],[Date]],"DDDD")</f>
        <v>Tuesday</v>
      </c>
      <c r="D1126" t="s">
        <v>35</v>
      </c>
      <c r="E1126" t="s">
        <v>53</v>
      </c>
      <c r="F1126" t="s">
        <v>41</v>
      </c>
      <c r="G1126" t="s">
        <v>30</v>
      </c>
      <c r="H1126" t="s">
        <v>31</v>
      </c>
      <c r="I1126" t="s">
        <v>32</v>
      </c>
      <c r="J1126" s="3">
        <v>85000</v>
      </c>
      <c r="K1126">
        <v>8</v>
      </c>
      <c r="L1126" t="s">
        <v>47</v>
      </c>
      <c r="M1126" s="3">
        <v>68000</v>
      </c>
      <c r="N1126" s="3">
        <f>Table1[[#This Row],[Unit Price]]*Table1[[#This Row],[Quantity]]</f>
        <v>680000</v>
      </c>
      <c r="O1126" s="3">
        <f>Table1[[#This Row],[Cost Price]]*Table1[[#This Row],[Quantity]]</f>
        <v>544000</v>
      </c>
      <c r="P1126" s="3">
        <f>Table1[[#This Row],[Revenue]]-Table1[[#This Row],[COGS]]</f>
        <v>136000</v>
      </c>
      <c r="Q1126" s="1">
        <v>1125</v>
      </c>
    </row>
    <row r="1127" spans="1:17">
      <c r="A1127" t="s">
        <v>26</v>
      </c>
      <c r="B1127" t="str">
        <f>TEXT(Table1[[#This Row],[Date]],"MMMM")</f>
        <v>January</v>
      </c>
      <c r="C1127" t="str">
        <f>TEXT(Table1[[#This Row],[Date]],"DDDD")</f>
        <v>Sunday</v>
      </c>
      <c r="D1127" t="s">
        <v>44</v>
      </c>
      <c r="E1127" t="s">
        <v>28</v>
      </c>
      <c r="F1127" t="s">
        <v>41</v>
      </c>
      <c r="G1127" t="s">
        <v>37</v>
      </c>
      <c r="H1127" t="s">
        <v>31</v>
      </c>
      <c r="I1127" t="s">
        <v>32</v>
      </c>
      <c r="J1127" s="3">
        <v>85000</v>
      </c>
      <c r="K1127">
        <v>5</v>
      </c>
      <c r="L1127" t="s">
        <v>58</v>
      </c>
      <c r="M1127" s="3">
        <v>68000</v>
      </c>
      <c r="N1127" s="3">
        <f>Table1[[#This Row],[Unit Price]]*Table1[[#This Row],[Quantity]]</f>
        <v>425000</v>
      </c>
      <c r="O1127" s="3">
        <f>Table1[[#This Row],[Cost Price]]*Table1[[#This Row],[Quantity]]</f>
        <v>340000</v>
      </c>
      <c r="P1127" s="3">
        <f>Table1[[#This Row],[Revenue]]-Table1[[#This Row],[COGS]]</f>
        <v>85000</v>
      </c>
      <c r="Q1127" s="1">
        <v>1126</v>
      </c>
    </row>
    <row r="1128" spans="1:17">
      <c r="A1128" t="s">
        <v>77</v>
      </c>
      <c r="B1128" t="str">
        <f>TEXT(Table1[[#This Row],[Date]],"MMMM")</f>
        <v>April</v>
      </c>
      <c r="C1128" t="str">
        <f>TEXT(Table1[[#This Row],[Date]],"DDDD")</f>
        <v>Friday</v>
      </c>
      <c r="D1128" t="s">
        <v>44</v>
      </c>
      <c r="E1128" t="s">
        <v>53</v>
      </c>
      <c r="F1128" t="s">
        <v>29</v>
      </c>
      <c r="G1128" t="s">
        <v>37</v>
      </c>
      <c r="H1128" t="s">
        <v>71</v>
      </c>
      <c r="I1128" t="s">
        <v>51</v>
      </c>
      <c r="J1128" s="3">
        <v>250000</v>
      </c>
      <c r="K1128">
        <v>6</v>
      </c>
      <c r="L1128" t="s">
        <v>69</v>
      </c>
      <c r="M1128" s="3">
        <v>200000</v>
      </c>
      <c r="N1128" s="3">
        <f>Table1[[#This Row],[Unit Price]]*Table1[[#This Row],[Quantity]]</f>
        <v>1500000</v>
      </c>
      <c r="O1128" s="3">
        <f>Table1[[#This Row],[Cost Price]]*Table1[[#This Row],[Quantity]]</f>
        <v>1200000</v>
      </c>
      <c r="P1128" s="3">
        <f>Table1[[#This Row],[Revenue]]-Table1[[#This Row],[COGS]]</f>
        <v>300000</v>
      </c>
      <c r="Q1128" s="1">
        <v>1127</v>
      </c>
    </row>
    <row r="1129" spans="1:17">
      <c r="A1129" t="s">
        <v>113</v>
      </c>
      <c r="B1129" t="str">
        <f>TEXT(Table1[[#This Row],[Date]],"MMMM")</f>
        <v>April</v>
      </c>
      <c r="C1129" t="str">
        <f>TEXT(Table1[[#This Row],[Date]],"DDDD")</f>
        <v>Monday</v>
      </c>
      <c r="D1129" t="s">
        <v>35</v>
      </c>
      <c r="E1129" t="s">
        <v>45</v>
      </c>
      <c r="F1129" t="s">
        <v>41</v>
      </c>
      <c r="G1129" t="s">
        <v>37</v>
      </c>
      <c r="H1129" t="s">
        <v>38</v>
      </c>
      <c r="I1129" t="s">
        <v>39</v>
      </c>
      <c r="J1129" s="3">
        <v>30000</v>
      </c>
      <c r="K1129">
        <v>8</v>
      </c>
      <c r="L1129" t="s">
        <v>69</v>
      </c>
      <c r="M1129" s="3">
        <v>24000</v>
      </c>
      <c r="N1129" s="3">
        <f>Table1[[#This Row],[Unit Price]]*Table1[[#This Row],[Quantity]]</f>
        <v>240000</v>
      </c>
      <c r="O1129" s="3">
        <f>Table1[[#This Row],[Cost Price]]*Table1[[#This Row],[Quantity]]</f>
        <v>192000</v>
      </c>
      <c r="P1129" s="3">
        <f>Table1[[#This Row],[Revenue]]-Table1[[#This Row],[COGS]]</f>
        <v>48000</v>
      </c>
      <c r="Q1129" s="1">
        <v>1128</v>
      </c>
    </row>
    <row r="1130" spans="1:17">
      <c r="A1130" t="s">
        <v>91</v>
      </c>
      <c r="B1130" t="str">
        <f>TEXT(Table1[[#This Row],[Date]],"MMMM")</f>
        <v>February</v>
      </c>
      <c r="C1130" t="str">
        <f>TEXT(Table1[[#This Row],[Date]],"DDDD")</f>
        <v>Friday</v>
      </c>
      <c r="D1130" t="s">
        <v>49</v>
      </c>
      <c r="E1130" t="s">
        <v>28</v>
      </c>
      <c r="F1130" t="s">
        <v>41</v>
      </c>
      <c r="G1130" t="s">
        <v>30</v>
      </c>
      <c r="H1130" t="s">
        <v>71</v>
      </c>
      <c r="I1130" t="s">
        <v>51</v>
      </c>
      <c r="J1130" s="3">
        <v>250000</v>
      </c>
      <c r="K1130">
        <v>6</v>
      </c>
      <c r="L1130" t="s">
        <v>65</v>
      </c>
      <c r="M1130" s="3">
        <v>200000</v>
      </c>
      <c r="N1130" s="3">
        <f>Table1[[#This Row],[Unit Price]]*Table1[[#This Row],[Quantity]]</f>
        <v>1500000</v>
      </c>
      <c r="O1130" s="3">
        <f>Table1[[#This Row],[Cost Price]]*Table1[[#This Row],[Quantity]]</f>
        <v>1200000</v>
      </c>
      <c r="P1130" s="3">
        <f>Table1[[#This Row],[Revenue]]-Table1[[#This Row],[COGS]]</f>
        <v>300000</v>
      </c>
      <c r="Q1130" s="1">
        <v>1129</v>
      </c>
    </row>
    <row r="1131" spans="1:17">
      <c r="A1131" t="s">
        <v>105</v>
      </c>
      <c r="B1131" t="str">
        <f>TEXT(Table1[[#This Row],[Date]],"MMMM")</f>
        <v>March</v>
      </c>
      <c r="C1131" t="str">
        <f>TEXT(Table1[[#This Row],[Date]],"DDDD")</f>
        <v>Friday</v>
      </c>
      <c r="D1131" t="s">
        <v>44</v>
      </c>
      <c r="E1131" t="s">
        <v>36</v>
      </c>
      <c r="F1131" t="s">
        <v>41</v>
      </c>
      <c r="G1131" t="s">
        <v>37</v>
      </c>
      <c r="H1131" t="s">
        <v>56</v>
      </c>
      <c r="I1131" t="s">
        <v>32</v>
      </c>
      <c r="J1131" s="3">
        <v>320000</v>
      </c>
      <c r="K1131">
        <v>10</v>
      </c>
      <c r="L1131" t="s">
        <v>58</v>
      </c>
      <c r="M1131" s="3">
        <v>256000</v>
      </c>
      <c r="N1131" s="3">
        <f>Table1[[#This Row],[Unit Price]]*Table1[[#This Row],[Quantity]]</f>
        <v>3200000</v>
      </c>
      <c r="O1131" s="3">
        <f>Table1[[#This Row],[Cost Price]]*Table1[[#This Row],[Quantity]]</f>
        <v>2560000</v>
      </c>
      <c r="P1131" s="3">
        <f>Table1[[#This Row],[Revenue]]-Table1[[#This Row],[COGS]]</f>
        <v>640000</v>
      </c>
      <c r="Q1131" s="1">
        <v>1130</v>
      </c>
    </row>
    <row r="1132" spans="1:17">
      <c r="A1132" t="s">
        <v>129</v>
      </c>
      <c r="B1132" t="str">
        <f>TEXT(Table1[[#This Row],[Date]],"MMMM")</f>
        <v>March</v>
      </c>
      <c r="C1132" t="str">
        <f>TEXT(Table1[[#This Row],[Date]],"DDDD")</f>
        <v>Tuesday</v>
      </c>
      <c r="D1132" t="s">
        <v>35</v>
      </c>
      <c r="E1132" t="s">
        <v>53</v>
      </c>
      <c r="F1132" t="s">
        <v>29</v>
      </c>
      <c r="G1132" t="s">
        <v>37</v>
      </c>
      <c r="H1132" t="s">
        <v>38</v>
      </c>
      <c r="I1132" t="s">
        <v>39</v>
      </c>
      <c r="J1132" s="3">
        <v>30000</v>
      </c>
      <c r="K1132">
        <v>4</v>
      </c>
      <c r="L1132" t="s">
        <v>58</v>
      </c>
      <c r="M1132" s="3">
        <v>24000</v>
      </c>
      <c r="N1132" s="3">
        <f>Table1[[#This Row],[Unit Price]]*Table1[[#This Row],[Quantity]]</f>
        <v>120000</v>
      </c>
      <c r="O1132" s="3">
        <f>Table1[[#This Row],[Cost Price]]*Table1[[#This Row],[Quantity]]</f>
        <v>96000</v>
      </c>
      <c r="P1132" s="3">
        <f>Table1[[#This Row],[Revenue]]-Table1[[#This Row],[COGS]]</f>
        <v>24000</v>
      </c>
      <c r="Q1132" s="1">
        <v>1131</v>
      </c>
    </row>
    <row r="1133" spans="1:17">
      <c r="A1133" t="s">
        <v>95</v>
      </c>
      <c r="B1133" t="str">
        <f>TEXT(Table1[[#This Row],[Date]],"MMMM")</f>
        <v>February</v>
      </c>
      <c r="C1133" t="str">
        <f>TEXT(Table1[[#This Row],[Date]],"DDDD")</f>
        <v>Saturday</v>
      </c>
      <c r="D1133" t="s">
        <v>44</v>
      </c>
      <c r="E1133" t="s">
        <v>53</v>
      </c>
      <c r="F1133" t="s">
        <v>29</v>
      </c>
      <c r="G1133" t="s">
        <v>37</v>
      </c>
      <c r="H1133" t="s">
        <v>31</v>
      </c>
      <c r="I1133" t="s">
        <v>32</v>
      </c>
      <c r="J1133" s="3">
        <v>85000</v>
      </c>
      <c r="K1133">
        <v>10</v>
      </c>
      <c r="L1133" t="s">
        <v>33</v>
      </c>
      <c r="M1133" s="3">
        <v>68000</v>
      </c>
      <c r="N1133" s="3">
        <f>Table1[[#This Row],[Unit Price]]*Table1[[#This Row],[Quantity]]</f>
        <v>850000</v>
      </c>
      <c r="O1133" s="3">
        <f>Table1[[#This Row],[Cost Price]]*Table1[[#This Row],[Quantity]]</f>
        <v>680000</v>
      </c>
      <c r="P1133" s="3">
        <f>Table1[[#This Row],[Revenue]]-Table1[[#This Row],[COGS]]</f>
        <v>170000</v>
      </c>
      <c r="Q1133" s="1">
        <v>1132</v>
      </c>
    </row>
    <row r="1134" spans="1:17">
      <c r="A1134" t="s">
        <v>78</v>
      </c>
      <c r="B1134" t="str">
        <f>TEXT(Table1[[#This Row],[Date]],"MMMM")</f>
        <v>April</v>
      </c>
      <c r="C1134" t="str">
        <f>TEXT(Table1[[#This Row],[Date]],"DDDD")</f>
        <v>Tuesday</v>
      </c>
      <c r="D1134" t="s">
        <v>49</v>
      </c>
      <c r="E1134" t="s">
        <v>53</v>
      </c>
      <c r="F1134" t="s">
        <v>41</v>
      </c>
      <c r="G1134" t="s">
        <v>37</v>
      </c>
      <c r="H1134" t="s">
        <v>71</v>
      </c>
      <c r="I1134" t="s">
        <v>51</v>
      </c>
      <c r="J1134" s="3">
        <v>250000</v>
      </c>
      <c r="K1134">
        <v>6</v>
      </c>
      <c r="L1134" t="s">
        <v>47</v>
      </c>
      <c r="M1134" s="3">
        <v>200000</v>
      </c>
      <c r="N1134" s="3">
        <f>Table1[[#This Row],[Unit Price]]*Table1[[#This Row],[Quantity]]</f>
        <v>1500000</v>
      </c>
      <c r="O1134" s="3">
        <f>Table1[[#This Row],[Cost Price]]*Table1[[#This Row],[Quantity]]</f>
        <v>1200000</v>
      </c>
      <c r="P1134" s="3">
        <f>Table1[[#This Row],[Revenue]]-Table1[[#This Row],[COGS]]</f>
        <v>300000</v>
      </c>
      <c r="Q1134" s="1">
        <v>1133</v>
      </c>
    </row>
    <row r="1135" spans="1:17">
      <c r="A1135" t="s">
        <v>150</v>
      </c>
      <c r="B1135" t="str">
        <f>TEXT(Table1[[#This Row],[Date]],"MMMM")</f>
        <v>January</v>
      </c>
      <c r="C1135" t="str">
        <f>TEXT(Table1[[#This Row],[Date]],"DDDD")</f>
        <v>Sunday</v>
      </c>
      <c r="D1135" t="s">
        <v>44</v>
      </c>
      <c r="E1135" t="s">
        <v>36</v>
      </c>
      <c r="F1135" t="s">
        <v>29</v>
      </c>
      <c r="G1135" t="s">
        <v>37</v>
      </c>
      <c r="H1135" t="s">
        <v>46</v>
      </c>
      <c r="I1135" t="s">
        <v>39</v>
      </c>
      <c r="J1135" s="3">
        <v>60000</v>
      </c>
      <c r="K1135">
        <v>10</v>
      </c>
      <c r="L1135" t="s">
        <v>42</v>
      </c>
      <c r="M1135" s="3">
        <v>48000</v>
      </c>
      <c r="N1135" s="3">
        <f>Table1[[#This Row],[Unit Price]]*Table1[[#This Row],[Quantity]]</f>
        <v>600000</v>
      </c>
      <c r="O1135" s="3">
        <f>Table1[[#This Row],[Cost Price]]*Table1[[#This Row],[Quantity]]</f>
        <v>480000</v>
      </c>
      <c r="P1135" s="3">
        <f>Table1[[#This Row],[Revenue]]-Table1[[#This Row],[COGS]]</f>
        <v>120000</v>
      </c>
      <c r="Q1135" s="1">
        <v>1134</v>
      </c>
    </row>
    <row r="1136" spans="1:17">
      <c r="A1136" t="s">
        <v>107</v>
      </c>
      <c r="B1136" t="str">
        <f>TEXT(Table1[[#This Row],[Date]],"MMMM")</f>
        <v>February</v>
      </c>
      <c r="C1136" t="str">
        <f>TEXT(Table1[[#This Row],[Date]],"DDDD")</f>
        <v>Wednesday</v>
      </c>
      <c r="D1136" t="s">
        <v>35</v>
      </c>
      <c r="E1136" t="s">
        <v>36</v>
      </c>
      <c r="F1136" t="s">
        <v>29</v>
      </c>
      <c r="G1136" t="s">
        <v>37</v>
      </c>
      <c r="H1136" t="s">
        <v>50</v>
      </c>
      <c r="I1136" t="s">
        <v>51</v>
      </c>
      <c r="J1136" s="3">
        <v>300000</v>
      </c>
      <c r="K1136">
        <v>3</v>
      </c>
      <c r="L1136" t="s">
        <v>42</v>
      </c>
      <c r="M1136" s="3">
        <v>240000</v>
      </c>
      <c r="N1136" s="3">
        <f>Table1[[#This Row],[Unit Price]]*Table1[[#This Row],[Quantity]]</f>
        <v>900000</v>
      </c>
      <c r="O1136" s="3">
        <f>Table1[[#This Row],[Cost Price]]*Table1[[#This Row],[Quantity]]</f>
        <v>720000</v>
      </c>
      <c r="P1136" s="3">
        <f>Table1[[#This Row],[Revenue]]-Table1[[#This Row],[COGS]]</f>
        <v>180000</v>
      </c>
      <c r="Q1136" s="1">
        <v>1135</v>
      </c>
    </row>
    <row r="1137" spans="1:17">
      <c r="A1137" t="s">
        <v>98</v>
      </c>
      <c r="B1137" t="str">
        <f>TEXT(Table1[[#This Row],[Date]],"MMMM")</f>
        <v>January</v>
      </c>
      <c r="C1137" t="str">
        <f>TEXT(Table1[[#This Row],[Date]],"DDDD")</f>
        <v>Friday</v>
      </c>
      <c r="D1137" t="s">
        <v>27</v>
      </c>
      <c r="E1137" t="s">
        <v>53</v>
      </c>
      <c r="F1137" t="s">
        <v>29</v>
      </c>
      <c r="G1137" t="s">
        <v>37</v>
      </c>
      <c r="H1137" t="s">
        <v>62</v>
      </c>
      <c r="I1137" t="s">
        <v>51</v>
      </c>
      <c r="J1137" s="3">
        <v>150000</v>
      </c>
      <c r="K1137">
        <v>10</v>
      </c>
      <c r="L1137" t="s">
        <v>69</v>
      </c>
      <c r="M1137" s="3">
        <v>120000</v>
      </c>
      <c r="N1137" s="3">
        <f>Table1[[#This Row],[Unit Price]]*Table1[[#This Row],[Quantity]]</f>
        <v>1500000</v>
      </c>
      <c r="O1137" s="3">
        <f>Table1[[#This Row],[Cost Price]]*Table1[[#This Row],[Quantity]]</f>
        <v>1200000</v>
      </c>
      <c r="P1137" s="3">
        <f>Table1[[#This Row],[Revenue]]-Table1[[#This Row],[COGS]]</f>
        <v>300000</v>
      </c>
      <c r="Q1137" s="1">
        <v>1136</v>
      </c>
    </row>
    <row r="1138" spans="1:17">
      <c r="A1138" t="s">
        <v>81</v>
      </c>
      <c r="B1138" t="str">
        <f>TEXT(Table1[[#This Row],[Date]],"MMMM")</f>
        <v>March</v>
      </c>
      <c r="C1138" t="str">
        <f>TEXT(Table1[[#This Row],[Date]],"DDDD")</f>
        <v>Sunday</v>
      </c>
      <c r="D1138" t="s">
        <v>44</v>
      </c>
      <c r="E1138" t="s">
        <v>36</v>
      </c>
      <c r="F1138" t="s">
        <v>41</v>
      </c>
      <c r="G1138" t="s">
        <v>37</v>
      </c>
      <c r="H1138" t="s">
        <v>38</v>
      </c>
      <c r="I1138" t="s">
        <v>39</v>
      </c>
      <c r="J1138" s="3">
        <v>30000</v>
      </c>
      <c r="K1138">
        <v>7</v>
      </c>
      <c r="L1138" t="s">
        <v>58</v>
      </c>
      <c r="M1138" s="3">
        <v>24000</v>
      </c>
      <c r="N1138" s="3">
        <f>Table1[[#This Row],[Unit Price]]*Table1[[#This Row],[Quantity]]</f>
        <v>210000</v>
      </c>
      <c r="O1138" s="3">
        <f>Table1[[#This Row],[Cost Price]]*Table1[[#This Row],[Quantity]]</f>
        <v>168000</v>
      </c>
      <c r="P1138" s="3">
        <f>Table1[[#This Row],[Revenue]]-Table1[[#This Row],[COGS]]</f>
        <v>42000</v>
      </c>
      <c r="Q1138" s="1">
        <v>1137</v>
      </c>
    </row>
    <row r="1139" spans="1:17">
      <c r="A1139" t="s">
        <v>83</v>
      </c>
      <c r="B1139" t="str">
        <f>TEXT(Table1[[#This Row],[Date]],"MMMM")</f>
        <v>January</v>
      </c>
      <c r="C1139" t="str">
        <f>TEXT(Table1[[#This Row],[Date]],"DDDD")</f>
        <v>Tuesday</v>
      </c>
      <c r="D1139" t="s">
        <v>35</v>
      </c>
      <c r="E1139" t="s">
        <v>36</v>
      </c>
      <c r="F1139" t="s">
        <v>41</v>
      </c>
      <c r="G1139" t="s">
        <v>37</v>
      </c>
      <c r="H1139" t="s">
        <v>50</v>
      </c>
      <c r="I1139" t="s">
        <v>51</v>
      </c>
      <c r="J1139" s="3">
        <v>300000</v>
      </c>
      <c r="K1139">
        <v>9</v>
      </c>
      <c r="L1139" t="s">
        <v>65</v>
      </c>
      <c r="M1139" s="3">
        <v>240000</v>
      </c>
      <c r="N1139" s="3">
        <f>Table1[[#This Row],[Unit Price]]*Table1[[#This Row],[Quantity]]</f>
        <v>2700000</v>
      </c>
      <c r="O1139" s="3">
        <f>Table1[[#This Row],[Cost Price]]*Table1[[#This Row],[Quantity]]</f>
        <v>2160000</v>
      </c>
      <c r="P1139" s="3">
        <f>Table1[[#This Row],[Revenue]]-Table1[[#This Row],[COGS]]</f>
        <v>540000</v>
      </c>
      <c r="Q1139" s="1">
        <v>1138</v>
      </c>
    </row>
    <row r="1140" spans="1:17">
      <c r="A1140" t="s">
        <v>94</v>
      </c>
      <c r="B1140" t="str">
        <f>TEXT(Table1[[#This Row],[Date]],"MMMM")</f>
        <v>January</v>
      </c>
      <c r="C1140" t="str">
        <f>TEXT(Table1[[#This Row],[Date]],"DDDD")</f>
        <v>Friday</v>
      </c>
      <c r="D1140" t="s">
        <v>49</v>
      </c>
      <c r="E1140" t="s">
        <v>53</v>
      </c>
      <c r="F1140" t="s">
        <v>41</v>
      </c>
      <c r="G1140" t="s">
        <v>37</v>
      </c>
      <c r="H1140" t="s">
        <v>73</v>
      </c>
      <c r="I1140" t="s">
        <v>39</v>
      </c>
      <c r="J1140" s="3">
        <v>220000</v>
      </c>
      <c r="K1140">
        <v>4</v>
      </c>
      <c r="L1140" t="s">
        <v>47</v>
      </c>
      <c r="M1140" s="3">
        <v>176000</v>
      </c>
      <c r="N1140" s="3">
        <f>Table1[[#This Row],[Unit Price]]*Table1[[#This Row],[Quantity]]</f>
        <v>880000</v>
      </c>
      <c r="O1140" s="3">
        <f>Table1[[#This Row],[Cost Price]]*Table1[[#This Row],[Quantity]]</f>
        <v>704000</v>
      </c>
      <c r="P1140" s="3">
        <f>Table1[[#This Row],[Revenue]]-Table1[[#This Row],[COGS]]</f>
        <v>176000</v>
      </c>
      <c r="Q1140" s="1">
        <v>1139</v>
      </c>
    </row>
    <row r="1141" spans="1:17">
      <c r="A1141" t="s">
        <v>176</v>
      </c>
      <c r="B1141" t="str">
        <f>TEXT(Table1[[#This Row],[Date]],"MMMM")</f>
        <v>January</v>
      </c>
      <c r="C1141" t="str">
        <f>TEXT(Table1[[#This Row],[Date]],"DDDD")</f>
        <v>Saturday</v>
      </c>
      <c r="D1141" t="s">
        <v>35</v>
      </c>
      <c r="E1141" t="s">
        <v>45</v>
      </c>
      <c r="F1141" t="s">
        <v>41</v>
      </c>
      <c r="G1141" t="s">
        <v>30</v>
      </c>
      <c r="H1141" t="s">
        <v>71</v>
      </c>
      <c r="I1141" t="s">
        <v>51</v>
      </c>
      <c r="J1141" s="3">
        <v>250000</v>
      </c>
      <c r="K1141">
        <v>9</v>
      </c>
      <c r="L1141" t="s">
        <v>33</v>
      </c>
      <c r="M1141" s="3">
        <v>200000</v>
      </c>
      <c r="N1141" s="3">
        <f>Table1[[#This Row],[Unit Price]]*Table1[[#This Row],[Quantity]]</f>
        <v>2250000</v>
      </c>
      <c r="O1141" s="3">
        <f>Table1[[#This Row],[Cost Price]]*Table1[[#This Row],[Quantity]]</f>
        <v>1800000</v>
      </c>
      <c r="P1141" s="3">
        <f>Table1[[#This Row],[Revenue]]-Table1[[#This Row],[COGS]]</f>
        <v>450000</v>
      </c>
      <c r="Q1141" s="1">
        <v>1140</v>
      </c>
    </row>
    <row r="1142" spans="1:17">
      <c r="A1142" t="s">
        <v>145</v>
      </c>
      <c r="B1142" t="str">
        <f>TEXT(Table1[[#This Row],[Date]],"MMMM")</f>
        <v>January</v>
      </c>
      <c r="C1142" t="str">
        <f>TEXT(Table1[[#This Row],[Date]],"DDDD")</f>
        <v>Friday</v>
      </c>
      <c r="D1142" t="s">
        <v>27</v>
      </c>
      <c r="E1142" t="s">
        <v>28</v>
      </c>
      <c r="F1142" t="s">
        <v>41</v>
      </c>
      <c r="G1142" t="s">
        <v>37</v>
      </c>
      <c r="H1142" t="s">
        <v>50</v>
      </c>
      <c r="I1142" t="s">
        <v>51</v>
      </c>
      <c r="J1142" s="3">
        <v>300000</v>
      </c>
      <c r="K1142">
        <v>4</v>
      </c>
      <c r="L1142" t="s">
        <v>69</v>
      </c>
      <c r="M1142" s="3">
        <v>240000</v>
      </c>
      <c r="N1142" s="3">
        <f>Table1[[#This Row],[Unit Price]]*Table1[[#This Row],[Quantity]]</f>
        <v>1200000</v>
      </c>
      <c r="O1142" s="3">
        <f>Table1[[#This Row],[Cost Price]]*Table1[[#This Row],[Quantity]]</f>
        <v>960000</v>
      </c>
      <c r="P1142" s="3">
        <f>Table1[[#This Row],[Revenue]]-Table1[[#This Row],[COGS]]</f>
        <v>240000</v>
      </c>
      <c r="Q1142" s="1">
        <v>1141</v>
      </c>
    </row>
    <row r="1143" spans="1:17">
      <c r="A1143" t="s">
        <v>84</v>
      </c>
      <c r="B1143" t="str">
        <f>TEXT(Table1[[#This Row],[Date]],"MMMM")</f>
        <v>January</v>
      </c>
      <c r="C1143" t="str">
        <f>TEXT(Table1[[#This Row],[Date]],"DDDD")</f>
        <v>Wednesday</v>
      </c>
      <c r="D1143" t="s">
        <v>27</v>
      </c>
      <c r="E1143" t="s">
        <v>28</v>
      </c>
      <c r="F1143" t="s">
        <v>29</v>
      </c>
      <c r="G1143" t="s">
        <v>37</v>
      </c>
      <c r="H1143" t="s">
        <v>46</v>
      </c>
      <c r="I1143" t="s">
        <v>39</v>
      </c>
      <c r="J1143" s="3">
        <v>60000</v>
      </c>
      <c r="K1143">
        <v>10</v>
      </c>
      <c r="L1143" t="s">
        <v>65</v>
      </c>
      <c r="M1143" s="3">
        <v>48000</v>
      </c>
      <c r="N1143" s="3">
        <f>Table1[[#This Row],[Unit Price]]*Table1[[#This Row],[Quantity]]</f>
        <v>600000</v>
      </c>
      <c r="O1143" s="3">
        <f>Table1[[#This Row],[Cost Price]]*Table1[[#This Row],[Quantity]]</f>
        <v>480000</v>
      </c>
      <c r="P1143" s="3">
        <f>Table1[[#This Row],[Revenue]]-Table1[[#This Row],[COGS]]</f>
        <v>120000</v>
      </c>
      <c r="Q1143" s="1">
        <v>1142</v>
      </c>
    </row>
    <row r="1144" spans="1:17">
      <c r="A1144" t="s">
        <v>68</v>
      </c>
      <c r="B1144" t="str">
        <f>TEXT(Table1[[#This Row],[Date]],"MMMM")</f>
        <v>March</v>
      </c>
      <c r="C1144" t="str">
        <f>TEXT(Table1[[#This Row],[Date]],"DDDD")</f>
        <v>Monday</v>
      </c>
      <c r="D1144" t="s">
        <v>49</v>
      </c>
      <c r="E1144" t="s">
        <v>45</v>
      </c>
      <c r="F1144" t="s">
        <v>41</v>
      </c>
      <c r="G1144" t="s">
        <v>30</v>
      </c>
      <c r="H1144" t="s">
        <v>67</v>
      </c>
      <c r="I1144" t="s">
        <v>51</v>
      </c>
      <c r="J1144" s="3">
        <v>420000</v>
      </c>
      <c r="K1144">
        <v>10</v>
      </c>
      <c r="L1144" t="s">
        <v>47</v>
      </c>
      <c r="M1144" s="3">
        <v>336000</v>
      </c>
      <c r="N1144" s="3">
        <f>Table1[[#This Row],[Unit Price]]*Table1[[#This Row],[Quantity]]</f>
        <v>4200000</v>
      </c>
      <c r="O1144" s="3">
        <f>Table1[[#This Row],[Cost Price]]*Table1[[#This Row],[Quantity]]</f>
        <v>3360000</v>
      </c>
      <c r="P1144" s="3">
        <f>Table1[[#This Row],[Revenue]]-Table1[[#This Row],[COGS]]</f>
        <v>840000</v>
      </c>
      <c r="Q1144" s="1">
        <v>1143</v>
      </c>
    </row>
    <row r="1145" spans="1:17">
      <c r="A1145" t="s">
        <v>172</v>
      </c>
      <c r="B1145" t="str">
        <f>TEXT(Table1[[#This Row],[Date]],"MMMM")</f>
        <v>March</v>
      </c>
      <c r="C1145" t="str">
        <f>TEXT(Table1[[#This Row],[Date]],"DDDD")</f>
        <v>Saturday</v>
      </c>
      <c r="D1145" t="s">
        <v>27</v>
      </c>
      <c r="E1145" t="s">
        <v>45</v>
      </c>
      <c r="F1145" t="s">
        <v>29</v>
      </c>
      <c r="G1145" t="s">
        <v>37</v>
      </c>
      <c r="H1145" t="s">
        <v>62</v>
      </c>
      <c r="I1145" t="s">
        <v>51</v>
      </c>
      <c r="J1145" s="3">
        <v>150000</v>
      </c>
      <c r="K1145">
        <v>1</v>
      </c>
      <c r="L1145" t="s">
        <v>69</v>
      </c>
      <c r="M1145" s="3">
        <v>120000</v>
      </c>
      <c r="N1145" s="3">
        <f>Table1[[#This Row],[Unit Price]]*Table1[[#This Row],[Quantity]]</f>
        <v>150000</v>
      </c>
      <c r="O1145" s="3">
        <f>Table1[[#This Row],[Cost Price]]*Table1[[#This Row],[Quantity]]</f>
        <v>120000</v>
      </c>
      <c r="P1145" s="3">
        <f>Table1[[#This Row],[Revenue]]-Table1[[#This Row],[COGS]]</f>
        <v>30000</v>
      </c>
      <c r="Q1145" s="1">
        <v>1144</v>
      </c>
    </row>
    <row r="1146" spans="1:17">
      <c r="A1146" t="s">
        <v>111</v>
      </c>
      <c r="B1146" t="str">
        <f>TEXT(Table1[[#This Row],[Date]],"MMMM")</f>
        <v>February</v>
      </c>
      <c r="C1146" t="str">
        <f>TEXT(Table1[[#This Row],[Date]],"DDDD")</f>
        <v>Wednesday</v>
      </c>
      <c r="D1146" t="s">
        <v>44</v>
      </c>
      <c r="E1146" t="s">
        <v>45</v>
      </c>
      <c r="F1146" t="s">
        <v>29</v>
      </c>
      <c r="G1146" t="s">
        <v>37</v>
      </c>
      <c r="H1146" t="s">
        <v>71</v>
      </c>
      <c r="I1146" t="s">
        <v>51</v>
      </c>
      <c r="J1146" s="3">
        <v>250000</v>
      </c>
      <c r="K1146">
        <v>7</v>
      </c>
      <c r="L1146" t="s">
        <v>42</v>
      </c>
      <c r="M1146" s="3">
        <v>200000</v>
      </c>
      <c r="N1146" s="3">
        <f>Table1[[#This Row],[Unit Price]]*Table1[[#This Row],[Quantity]]</f>
        <v>1750000</v>
      </c>
      <c r="O1146" s="3">
        <f>Table1[[#This Row],[Cost Price]]*Table1[[#This Row],[Quantity]]</f>
        <v>1400000</v>
      </c>
      <c r="P1146" s="3">
        <f>Table1[[#This Row],[Revenue]]-Table1[[#This Row],[COGS]]</f>
        <v>350000</v>
      </c>
      <c r="Q1146" s="1">
        <v>1145</v>
      </c>
    </row>
    <row r="1147" spans="1:17">
      <c r="A1147" t="s">
        <v>149</v>
      </c>
      <c r="B1147" t="str">
        <f>TEXT(Table1[[#This Row],[Date]],"MMMM")</f>
        <v>April</v>
      </c>
      <c r="C1147" t="str">
        <f>TEXT(Table1[[#This Row],[Date]],"DDDD")</f>
        <v>Saturday</v>
      </c>
      <c r="D1147" t="s">
        <v>44</v>
      </c>
      <c r="E1147" t="s">
        <v>53</v>
      </c>
      <c r="F1147" t="s">
        <v>29</v>
      </c>
      <c r="G1147" t="s">
        <v>37</v>
      </c>
      <c r="H1147" t="s">
        <v>50</v>
      </c>
      <c r="I1147" t="s">
        <v>51</v>
      </c>
      <c r="J1147" s="3">
        <v>300000</v>
      </c>
      <c r="K1147">
        <v>9</v>
      </c>
      <c r="L1147" t="s">
        <v>47</v>
      </c>
      <c r="M1147" s="3">
        <v>240000</v>
      </c>
      <c r="N1147" s="3">
        <f>Table1[[#This Row],[Unit Price]]*Table1[[#This Row],[Quantity]]</f>
        <v>2700000</v>
      </c>
      <c r="O1147" s="3">
        <f>Table1[[#This Row],[Cost Price]]*Table1[[#This Row],[Quantity]]</f>
        <v>2160000</v>
      </c>
      <c r="P1147" s="3">
        <f>Table1[[#This Row],[Revenue]]-Table1[[#This Row],[COGS]]</f>
        <v>540000</v>
      </c>
      <c r="Q1147" s="1">
        <v>1146</v>
      </c>
    </row>
    <row r="1148" spans="1:17">
      <c r="A1148" t="s">
        <v>172</v>
      </c>
      <c r="B1148" t="str">
        <f>TEXT(Table1[[#This Row],[Date]],"MMMM")</f>
        <v>March</v>
      </c>
      <c r="C1148" t="str">
        <f>TEXT(Table1[[#This Row],[Date]],"DDDD")</f>
        <v>Saturday</v>
      </c>
      <c r="D1148" t="s">
        <v>49</v>
      </c>
      <c r="E1148" t="s">
        <v>28</v>
      </c>
      <c r="F1148" t="s">
        <v>29</v>
      </c>
      <c r="G1148" t="s">
        <v>37</v>
      </c>
      <c r="H1148" t="s">
        <v>62</v>
      </c>
      <c r="I1148" t="s">
        <v>51</v>
      </c>
      <c r="J1148" s="3">
        <v>150000</v>
      </c>
      <c r="K1148">
        <v>2</v>
      </c>
      <c r="L1148" t="s">
        <v>65</v>
      </c>
      <c r="M1148" s="3">
        <v>120000</v>
      </c>
      <c r="N1148" s="3">
        <f>Table1[[#This Row],[Unit Price]]*Table1[[#This Row],[Quantity]]</f>
        <v>300000</v>
      </c>
      <c r="O1148" s="3">
        <f>Table1[[#This Row],[Cost Price]]*Table1[[#This Row],[Quantity]]</f>
        <v>240000</v>
      </c>
      <c r="P1148" s="3">
        <f>Table1[[#This Row],[Revenue]]-Table1[[#This Row],[COGS]]</f>
        <v>60000</v>
      </c>
      <c r="Q1148" s="1">
        <v>1147</v>
      </c>
    </row>
    <row r="1149" spans="1:17">
      <c r="A1149" t="s">
        <v>70</v>
      </c>
      <c r="B1149" t="str">
        <f>TEXT(Table1[[#This Row],[Date]],"MMMM")</f>
        <v>April</v>
      </c>
      <c r="C1149" t="str">
        <f>TEXT(Table1[[#This Row],[Date]],"DDDD")</f>
        <v>Friday</v>
      </c>
      <c r="D1149" t="s">
        <v>27</v>
      </c>
      <c r="E1149" t="s">
        <v>36</v>
      </c>
      <c r="F1149" t="s">
        <v>29</v>
      </c>
      <c r="G1149" t="s">
        <v>37</v>
      </c>
      <c r="H1149" t="s">
        <v>73</v>
      </c>
      <c r="I1149" t="s">
        <v>39</v>
      </c>
      <c r="J1149" s="3">
        <v>220000</v>
      </c>
      <c r="K1149">
        <v>9</v>
      </c>
      <c r="L1149" t="s">
        <v>42</v>
      </c>
      <c r="M1149" s="3">
        <v>176000</v>
      </c>
      <c r="N1149" s="3">
        <f>Table1[[#This Row],[Unit Price]]*Table1[[#This Row],[Quantity]]</f>
        <v>1980000</v>
      </c>
      <c r="O1149" s="3">
        <f>Table1[[#This Row],[Cost Price]]*Table1[[#This Row],[Quantity]]</f>
        <v>1584000</v>
      </c>
      <c r="P1149" s="3">
        <f>Table1[[#This Row],[Revenue]]-Table1[[#This Row],[COGS]]</f>
        <v>396000</v>
      </c>
      <c r="Q1149" s="1">
        <v>1148</v>
      </c>
    </row>
    <row r="1150" spans="1:17">
      <c r="A1150" t="s">
        <v>60</v>
      </c>
      <c r="B1150" t="str">
        <f>TEXT(Table1[[#This Row],[Date]],"MMMM")</f>
        <v>March</v>
      </c>
      <c r="C1150" t="str">
        <f>TEXT(Table1[[#This Row],[Date]],"DDDD")</f>
        <v>Wednesday</v>
      </c>
      <c r="D1150" t="s">
        <v>49</v>
      </c>
      <c r="E1150" t="s">
        <v>53</v>
      </c>
      <c r="F1150" t="s">
        <v>29</v>
      </c>
      <c r="G1150" t="s">
        <v>37</v>
      </c>
      <c r="H1150" t="s">
        <v>46</v>
      </c>
      <c r="I1150" t="s">
        <v>39</v>
      </c>
      <c r="J1150" s="3">
        <v>60000</v>
      </c>
      <c r="K1150">
        <v>5</v>
      </c>
      <c r="L1150" t="s">
        <v>33</v>
      </c>
      <c r="M1150" s="3">
        <v>48000</v>
      </c>
      <c r="N1150" s="3">
        <f>Table1[[#This Row],[Unit Price]]*Table1[[#This Row],[Quantity]]</f>
        <v>300000</v>
      </c>
      <c r="O1150" s="3">
        <f>Table1[[#This Row],[Cost Price]]*Table1[[#This Row],[Quantity]]</f>
        <v>240000</v>
      </c>
      <c r="P1150" s="3">
        <f>Table1[[#This Row],[Revenue]]-Table1[[#This Row],[COGS]]</f>
        <v>60000</v>
      </c>
      <c r="Q1150" s="1">
        <v>1149</v>
      </c>
    </row>
    <row r="1151" spans="1:17">
      <c r="A1151" t="s">
        <v>85</v>
      </c>
      <c r="B1151" t="str">
        <f>TEXT(Table1[[#This Row],[Date]],"MMMM")</f>
        <v>February</v>
      </c>
      <c r="C1151" t="str">
        <f>TEXT(Table1[[#This Row],[Date]],"DDDD")</f>
        <v>Thursday</v>
      </c>
      <c r="D1151" t="s">
        <v>27</v>
      </c>
      <c r="E1151" t="s">
        <v>28</v>
      </c>
      <c r="F1151" t="s">
        <v>41</v>
      </c>
      <c r="G1151" t="s">
        <v>37</v>
      </c>
      <c r="H1151" t="s">
        <v>54</v>
      </c>
      <c r="I1151" t="s">
        <v>39</v>
      </c>
      <c r="J1151" s="3">
        <v>180000</v>
      </c>
      <c r="K1151">
        <v>6</v>
      </c>
      <c r="L1151" t="s">
        <v>58</v>
      </c>
      <c r="M1151" s="3">
        <v>144000</v>
      </c>
      <c r="N1151" s="3">
        <f>Table1[[#This Row],[Unit Price]]*Table1[[#This Row],[Quantity]]</f>
        <v>1080000</v>
      </c>
      <c r="O1151" s="3">
        <f>Table1[[#This Row],[Cost Price]]*Table1[[#This Row],[Quantity]]</f>
        <v>864000</v>
      </c>
      <c r="P1151" s="3">
        <f>Table1[[#This Row],[Revenue]]-Table1[[#This Row],[COGS]]</f>
        <v>216000</v>
      </c>
      <c r="Q1151" s="1">
        <v>1150</v>
      </c>
    </row>
    <row r="1152" spans="1:17">
      <c r="A1152" t="s">
        <v>169</v>
      </c>
      <c r="B1152" t="str">
        <f>TEXT(Table1[[#This Row],[Date]],"MMMM")</f>
        <v>February</v>
      </c>
      <c r="C1152" t="str">
        <f>TEXT(Table1[[#This Row],[Date]],"DDDD")</f>
        <v>Saturday</v>
      </c>
      <c r="D1152" t="s">
        <v>35</v>
      </c>
      <c r="E1152" t="s">
        <v>28</v>
      </c>
      <c r="F1152" t="s">
        <v>41</v>
      </c>
      <c r="G1152" t="s">
        <v>37</v>
      </c>
      <c r="H1152" t="s">
        <v>71</v>
      </c>
      <c r="I1152" t="s">
        <v>51</v>
      </c>
      <c r="J1152" s="3">
        <v>250000</v>
      </c>
      <c r="K1152">
        <v>10</v>
      </c>
      <c r="L1152" t="s">
        <v>33</v>
      </c>
      <c r="M1152" s="3">
        <v>200000</v>
      </c>
      <c r="N1152" s="3">
        <f>Table1[[#This Row],[Unit Price]]*Table1[[#This Row],[Quantity]]</f>
        <v>2500000</v>
      </c>
      <c r="O1152" s="3">
        <f>Table1[[#This Row],[Cost Price]]*Table1[[#This Row],[Quantity]]</f>
        <v>2000000</v>
      </c>
      <c r="P1152" s="3">
        <f>Table1[[#This Row],[Revenue]]-Table1[[#This Row],[COGS]]</f>
        <v>500000</v>
      </c>
      <c r="Q1152" s="1">
        <v>1151</v>
      </c>
    </row>
    <row r="1153" spans="1:17">
      <c r="A1153" t="s">
        <v>161</v>
      </c>
      <c r="B1153" t="str">
        <f>TEXT(Table1[[#This Row],[Date]],"MMMM")</f>
        <v>March</v>
      </c>
      <c r="C1153" t="str">
        <f>TEXT(Table1[[#This Row],[Date]],"DDDD")</f>
        <v>Thursday</v>
      </c>
      <c r="D1153" t="s">
        <v>35</v>
      </c>
      <c r="E1153" t="s">
        <v>53</v>
      </c>
      <c r="F1153" t="s">
        <v>29</v>
      </c>
      <c r="G1153" t="s">
        <v>37</v>
      </c>
      <c r="H1153" t="s">
        <v>31</v>
      </c>
      <c r="I1153" t="s">
        <v>32</v>
      </c>
      <c r="J1153" s="3">
        <v>85000</v>
      </c>
      <c r="K1153">
        <v>1</v>
      </c>
      <c r="L1153" t="s">
        <v>65</v>
      </c>
      <c r="M1153" s="3">
        <v>68000</v>
      </c>
      <c r="N1153" s="3">
        <f>Table1[[#This Row],[Unit Price]]*Table1[[#This Row],[Quantity]]</f>
        <v>85000</v>
      </c>
      <c r="O1153" s="3">
        <f>Table1[[#This Row],[Cost Price]]*Table1[[#This Row],[Quantity]]</f>
        <v>68000</v>
      </c>
      <c r="P1153" s="3">
        <f>Table1[[#This Row],[Revenue]]-Table1[[#This Row],[COGS]]</f>
        <v>17000</v>
      </c>
      <c r="Q1153" s="1">
        <v>1152</v>
      </c>
    </row>
    <row r="1154" spans="1:17">
      <c r="A1154" t="s">
        <v>52</v>
      </c>
      <c r="B1154" t="str">
        <f>TEXT(Table1[[#This Row],[Date]],"MMMM")</f>
        <v>March</v>
      </c>
      <c r="C1154" t="str">
        <f>TEXT(Table1[[#This Row],[Date]],"DDDD")</f>
        <v>Saturday</v>
      </c>
      <c r="D1154" t="s">
        <v>49</v>
      </c>
      <c r="E1154" t="s">
        <v>28</v>
      </c>
      <c r="F1154" t="s">
        <v>29</v>
      </c>
      <c r="G1154" t="s">
        <v>30</v>
      </c>
      <c r="H1154" t="s">
        <v>71</v>
      </c>
      <c r="I1154" t="s">
        <v>51</v>
      </c>
      <c r="J1154" s="3">
        <v>250000</v>
      </c>
      <c r="K1154">
        <v>9</v>
      </c>
      <c r="L1154" t="s">
        <v>42</v>
      </c>
      <c r="M1154" s="3">
        <v>200000</v>
      </c>
      <c r="N1154" s="3">
        <f>Table1[[#This Row],[Unit Price]]*Table1[[#This Row],[Quantity]]</f>
        <v>2250000</v>
      </c>
      <c r="O1154" s="3">
        <f>Table1[[#This Row],[Cost Price]]*Table1[[#This Row],[Quantity]]</f>
        <v>1800000</v>
      </c>
      <c r="P1154" s="3">
        <f>Table1[[#This Row],[Revenue]]-Table1[[#This Row],[COGS]]</f>
        <v>450000</v>
      </c>
      <c r="Q1154" s="1">
        <v>1153</v>
      </c>
    </row>
    <row r="1155" spans="1:17">
      <c r="A1155" t="s">
        <v>168</v>
      </c>
      <c r="B1155" t="str">
        <f>TEXT(Table1[[#This Row],[Date]],"MMMM")</f>
        <v>April</v>
      </c>
      <c r="C1155" t="str">
        <f>TEXT(Table1[[#This Row],[Date]],"DDDD")</f>
        <v>Wednesday</v>
      </c>
      <c r="D1155" t="s">
        <v>35</v>
      </c>
      <c r="E1155" t="s">
        <v>36</v>
      </c>
      <c r="F1155" t="s">
        <v>29</v>
      </c>
      <c r="G1155" t="s">
        <v>30</v>
      </c>
      <c r="H1155" t="s">
        <v>71</v>
      </c>
      <c r="I1155" t="s">
        <v>51</v>
      </c>
      <c r="J1155" s="3">
        <v>250000</v>
      </c>
      <c r="K1155">
        <v>2</v>
      </c>
      <c r="L1155" t="s">
        <v>42</v>
      </c>
      <c r="M1155" s="3">
        <v>200000</v>
      </c>
      <c r="N1155" s="3">
        <f>Table1[[#This Row],[Unit Price]]*Table1[[#This Row],[Quantity]]</f>
        <v>500000</v>
      </c>
      <c r="O1155" s="3">
        <f>Table1[[#This Row],[Cost Price]]*Table1[[#This Row],[Quantity]]</f>
        <v>400000</v>
      </c>
      <c r="P1155" s="3">
        <f>Table1[[#This Row],[Revenue]]-Table1[[#This Row],[COGS]]</f>
        <v>100000</v>
      </c>
      <c r="Q1155" s="1">
        <v>1154</v>
      </c>
    </row>
    <row r="1156" spans="1:17">
      <c r="A1156" t="s">
        <v>159</v>
      </c>
      <c r="B1156" t="str">
        <f>TEXT(Table1[[#This Row],[Date]],"MMMM")</f>
        <v>February</v>
      </c>
      <c r="C1156" t="str">
        <f>TEXT(Table1[[#This Row],[Date]],"DDDD")</f>
        <v>Sunday</v>
      </c>
      <c r="D1156" t="s">
        <v>44</v>
      </c>
      <c r="E1156" t="s">
        <v>36</v>
      </c>
      <c r="F1156" t="s">
        <v>29</v>
      </c>
      <c r="G1156" t="s">
        <v>30</v>
      </c>
      <c r="H1156" t="s">
        <v>71</v>
      </c>
      <c r="I1156" t="s">
        <v>51</v>
      </c>
      <c r="J1156" s="3">
        <v>250000</v>
      </c>
      <c r="K1156">
        <v>1</v>
      </c>
      <c r="L1156" t="s">
        <v>69</v>
      </c>
      <c r="M1156" s="3">
        <v>200000</v>
      </c>
      <c r="N1156" s="3">
        <f>Table1[[#This Row],[Unit Price]]*Table1[[#This Row],[Quantity]]</f>
        <v>250000</v>
      </c>
      <c r="O1156" s="3">
        <f>Table1[[#This Row],[Cost Price]]*Table1[[#This Row],[Quantity]]</f>
        <v>200000</v>
      </c>
      <c r="P1156" s="3">
        <f>Table1[[#This Row],[Revenue]]-Table1[[#This Row],[COGS]]</f>
        <v>50000</v>
      </c>
      <c r="Q1156" s="1">
        <v>1155</v>
      </c>
    </row>
    <row r="1157" spans="1:17">
      <c r="A1157" t="s">
        <v>88</v>
      </c>
      <c r="B1157" t="str">
        <f>TEXT(Table1[[#This Row],[Date]],"MMMM")</f>
        <v>February</v>
      </c>
      <c r="C1157" t="str">
        <f>TEXT(Table1[[#This Row],[Date]],"DDDD")</f>
        <v>Monday</v>
      </c>
      <c r="D1157" t="s">
        <v>27</v>
      </c>
      <c r="E1157" t="s">
        <v>28</v>
      </c>
      <c r="F1157" t="s">
        <v>41</v>
      </c>
      <c r="G1157" t="s">
        <v>37</v>
      </c>
      <c r="H1157" t="s">
        <v>50</v>
      </c>
      <c r="I1157" t="s">
        <v>51</v>
      </c>
      <c r="J1157" s="3">
        <v>300000</v>
      </c>
      <c r="K1157">
        <v>9</v>
      </c>
      <c r="L1157" t="s">
        <v>47</v>
      </c>
      <c r="M1157" s="3">
        <v>240000</v>
      </c>
      <c r="N1157" s="3">
        <f>Table1[[#This Row],[Unit Price]]*Table1[[#This Row],[Quantity]]</f>
        <v>2700000</v>
      </c>
      <c r="O1157" s="3">
        <f>Table1[[#This Row],[Cost Price]]*Table1[[#This Row],[Quantity]]</f>
        <v>2160000</v>
      </c>
      <c r="P1157" s="3">
        <f>Table1[[#This Row],[Revenue]]-Table1[[#This Row],[COGS]]</f>
        <v>540000</v>
      </c>
      <c r="Q1157" s="1">
        <v>1156</v>
      </c>
    </row>
    <row r="1158" spans="1:17">
      <c r="A1158" t="s">
        <v>52</v>
      </c>
      <c r="B1158" t="str">
        <f>TEXT(Table1[[#This Row],[Date]],"MMMM")</f>
        <v>March</v>
      </c>
      <c r="C1158" t="str">
        <f>TEXT(Table1[[#This Row],[Date]],"DDDD")</f>
        <v>Saturday</v>
      </c>
      <c r="D1158" t="s">
        <v>27</v>
      </c>
      <c r="E1158" t="s">
        <v>36</v>
      </c>
      <c r="F1158" t="s">
        <v>41</v>
      </c>
      <c r="G1158" t="s">
        <v>30</v>
      </c>
      <c r="H1158" t="s">
        <v>56</v>
      </c>
      <c r="I1158" t="s">
        <v>32</v>
      </c>
      <c r="J1158" s="3">
        <v>320000</v>
      </c>
      <c r="K1158">
        <v>10</v>
      </c>
      <c r="L1158" t="s">
        <v>42</v>
      </c>
      <c r="M1158" s="3">
        <v>256000</v>
      </c>
      <c r="N1158" s="3">
        <f>Table1[[#This Row],[Unit Price]]*Table1[[#This Row],[Quantity]]</f>
        <v>3200000</v>
      </c>
      <c r="O1158" s="3">
        <f>Table1[[#This Row],[Cost Price]]*Table1[[#This Row],[Quantity]]</f>
        <v>2560000</v>
      </c>
      <c r="P1158" s="3">
        <f>Table1[[#This Row],[Revenue]]-Table1[[#This Row],[COGS]]</f>
        <v>640000</v>
      </c>
      <c r="Q1158" s="1">
        <v>1157</v>
      </c>
    </row>
    <row r="1159" spans="1:17">
      <c r="A1159" t="s">
        <v>175</v>
      </c>
      <c r="B1159" t="str">
        <f>TEXT(Table1[[#This Row],[Date]],"MMMM")</f>
        <v>January</v>
      </c>
      <c r="C1159" t="str">
        <f>TEXT(Table1[[#This Row],[Date]],"DDDD")</f>
        <v>Wednesday</v>
      </c>
      <c r="D1159" t="s">
        <v>44</v>
      </c>
      <c r="E1159" t="s">
        <v>36</v>
      </c>
      <c r="F1159" t="s">
        <v>41</v>
      </c>
      <c r="G1159" t="s">
        <v>30</v>
      </c>
      <c r="H1159" t="s">
        <v>54</v>
      </c>
      <c r="I1159" t="s">
        <v>39</v>
      </c>
      <c r="J1159" s="3">
        <v>180000</v>
      </c>
      <c r="K1159">
        <v>9</v>
      </c>
      <c r="L1159" t="s">
        <v>65</v>
      </c>
      <c r="M1159" s="3">
        <v>144000</v>
      </c>
      <c r="N1159" s="3">
        <f>Table1[[#This Row],[Unit Price]]*Table1[[#This Row],[Quantity]]</f>
        <v>1620000</v>
      </c>
      <c r="O1159" s="3">
        <f>Table1[[#This Row],[Cost Price]]*Table1[[#This Row],[Quantity]]</f>
        <v>1296000</v>
      </c>
      <c r="P1159" s="3">
        <f>Table1[[#This Row],[Revenue]]-Table1[[#This Row],[COGS]]</f>
        <v>324000</v>
      </c>
      <c r="Q1159" s="1">
        <v>1158</v>
      </c>
    </row>
    <row r="1160" spans="1:17">
      <c r="A1160" t="s">
        <v>138</v>
      </c>
      <c r="B1160" t="str">
        <f>TEXT(Table1[[#This Row],[Date]],"MMMM")</f>
        <v>April</v>
      </c>
      <c r="C1160" t="str">
        <f>TEXT(Table1[[#This Row],[Date]],"DDDD")</f>
        <v>Monday</v>
      </c>
      <c r="D1160" t="s">
        <v>44</v>
      </c>
      <c r="E1160" t="s">
        <v>45</v>
      </c>
      <c r="F1160" t="s">
        <v>41</v>
      </c>
      <c r="G1160" t="s">
        <v>30</v>
      </c>
      <c r="H1160" t="s">
        <v>71</v>
      </c>
      <c r="I1160" t="s">
        <v>51</v>
      </c>
      <c r="J1160" s="3">
        <v>250000</v>
      </c>
      <c r="K1160">
        <v>1</v>
      </c>
      <c r="L1160" t="s">
        <v>69</v>
      </c>
      <c r="M1160" s="3">
        <v>200000</v>
      </c>
      <c r="N1160" s="3">
        <f>Table1[[#This Row],[Unit Price]]*Table1[[#This Row],[Quantity]]</f>
        <v>250000</v>
      </c>
      <c r="O1160" s="3">
        <f>Table1[[#This Row],[Cost Price]]*Table1[[#This Row],[Quantity]]</f>
        <v>200000</v>
      </c>
      <c r="P1160" s="3">
        <f>Table1[[#This Row],[Revenue]]-Table1[[#This Row],[COGS]]</f>
        <v>50000</v>
      </c>
      <c r="Q1160" s="1">
        <v>1159</v>
      </c>
    </row>
    <row r="1161" spans="1:17">
      <c r="A1161" t="s">
        <v>109</v>
      </c>
      <c r="B1161" t="str">
        <f>TEXT(Table1[[#This Row],[Date]],"MMMM")</f>
        <v>March</v>
      </c>
      <c r="C1161" t="str">
        <f>TEXT(Table1[[#This Row],[Date]],"DDDD")</f>
        <v>Monday</v>
      </c>
      <c r="D1161" t="s">
        <v>44</v>
      </c>
      <c r="E1161" t="s">
        <v>53</v>
      </c>
      <c r="F1161" t="s">
        <v>41</v>
      </c>
      <c r="G1161" t="s">
        <v>30</v>
      </c>
      <c r="H1161" t="s">
        <v>31</v>
      </c>
      <c r="I1161" t="s">
        <v>32</v>
      </c>
      <c r="J1161" s="3">
        <v>85000</v>
      </c>
      <c r="K1161">
        <v>7</v>
      </c>
      <c r="L1161" t="s">
        <v>69</v>
      </c>
      <c r="M1161" s="3">
        <v>68000</v>
      </c>
      <c r="N1161" s="3">
        <f>Table1[[#This Row],[Unit Price]]*Table1[[#This Row],[Quantity]]</f>
        <v>595000</v>
      </c>
      <c r="O1161" s="3">
        <f>Table1[[#This Row],[Cost Price]]*Table1[[#This Row],[Quantity]]</f>
        <v>476000</v>
      </c>
      <c r="P1161" s="3">
        <f>Table1[[#This Row],[Revenue]]-Table1[[#This Row],[COGS]]</f>
        <v>119000</v>
      </c>
      <c r="Q1161" s="1">
        <v>1160</v>
      </c>
    </row>
    <row r="1162" spans="1:17">
      <c r="A1162" t="s">
        <v>165</v>
      </c>
      <c r="B1162" t="str">
        <f>TEXT(Table1[[#This Row],[Date]],"MMMM")</f>
        <v>April</v>
      </c>
      <c r="C1162" t="str">
        <f>TEXT(Table1[[#This Row],[Date]],"DDDD")</f>
        <v>Sunday</v>
      </c>
      <c r="D1162" t="s">
        <v>27</v>
      </c>
      <c r="E1162" t="s">
        <v>28</v>
      </c>
      <c r="F1162" t="s">
        <v>29</v>
      </c>
      <c r="G1162" t="s">
        <v>37</v>
      </c>
      <c r="H1162" t="s">
        <v>38</v>
      </c>
      <c r="I1162" t="s">
        <v>39</v>
      </c>
      <c r="J1162" s="3">
        <v>30000</v>
      </c>
      <c r="K1162">
        <v>6</v>
      </c>
      <c r="L1162" t="s">
        <v>47</v>
      </c>
      <c r="M1162" s="3">
        <v>24000</v>
      </c>
      <c r="N1162" s="3">
        <f>Table1[[#This Row],[Unit Price]]*Table1[[#This Row],[Quantity]]</f>
        <v>180000</v>
      </c>
      <c r="O1162" s="3">
        <f>Table1[[#This Row],[Cost Price]]*Table1[[#This Row],[Quantity]]</f>
        <v>144000</v>
      </c>
      <c r="P1162" s="3">
        <f>Table1[[#This Row],[Revenue]]-Table1[[#This Row],[COGS]]</f>
        <v>36000</v>
      </c>
      <c r="Q1162" s="1">
        <v>1161</v>
      </c>
    </row>
    <row r="1163" spans="1:17">
      <c r="A1163" t="s">
        <v>133</v>
      </c>
      <c r="B1163" t="str">
        <f>TEXT(Table1[[#This Row],[Date]],"MMMM")</f>
        <v>January</v>
      </c>
      <c r="C1163" t="str">
        <f>TEXT(Table1[[#This Row],[Date]],"DDDD")</f>
        <v>Wednesday</v>
      </c>
      <c r="D1163" t="s">
        <v>27</v>
      </c>
      <c r="E1163" t="s">
        <v>36</v>
      </c>
      <c r="F1163" t="s">
        <v>29</v>
      </c>
      <c r="G1163" t="s">
        <v>37</v>
      </c>
      <c r="H1163" t="s">
        <v>38</v>
      </c>
      <c r="I1163" t="s">
        <v>39</v>
      </c>
      <c r="J1163" s="3">
        <v>30000</v>
      </c>
      <c r="K1163">
        <v>6</v>
      </c>
      <c r="L1163" t="s">
        <v>42</v>
      </c>
      <c r="M1163" s="3">
        <v>24000</v>
      </c>
      <c r="N1163" s="3">
        <f>Table1[[#This Row],[Unit Price]]*Table1[[#This Row],[Quantity]]</f>
        <v>180000</v>
      </c>
      <c r="O1163" s="3">
        <f>Table1[[#This Row],[Cost Price]]*Table1[[#This Row],[Quantity]]</f>
        <v>144000</v>
      </c>
      <c r="P1163" s="3">
        <f>Table1[[#This Row],[Revenue]]-Table1[[#This Row],[COGS]]</f>
        <v>36000</v>
      </c>
      <c r="Q1163" s="1">
        <v>1162</v>
      </c>
    </row>
    <row r="1164" spans="1:17">
      <c r="A1164" t="s">
        <v>135</v>
      </c>
      <c r="B1164" t="str">
        <f>TEXT(Table1[[#This Row],[Date]],"MMMM")</f>
        <v>March</v>
      </c>
      <c r="C1164" t="str">
        <f>TEXT(Table1[[#This Row],[Date]],"DDDD")</f>
        <v>Sunday</v>
      </c>
      <c r="D1164" t="s">
        <v>27</v>
      </c>
      <c r="E1164" t="s">
        <v>28</v>
      </c>
      <c r="F1164" t="s">
        <v>41</v>
      </c>
      <c r="G1164" t="s">
        <v>37</v>
      </c>
      <c r="H1164" t="s">
        <v>56</v>
      </c>
      <c r="I1164" t="s">
        <v>32</v>
      </c>
      <c r="J1164" s="3">
        <v>320000</v>
      </c>
      <c r="K1164">
        <v>2</v>
      </c>
      <c r="L1164" t="s">
        <v>65</v>
      </c>
      <c r="M1164" s="3">
        <v>256000</v>
      </c>
      <c r="N1164" s="3">
        <f>Table1[[#This Row],[Unit Price]]*Table1[[#This Row],[Quantity]]</f>
        <v>640000</v>
      </c>
      <c r="O1164" s="3">
        <f>Table1[[#This Row],[Cost Price]]*Table1[[#This Row],[Quantity]]</f>
        <v>512000</v>
      </c>
      <c r="P1164" s="3">
        <f>Table1[[#This Row],[Revenue]]-Table1[[#This Row],[COGS]]</f>
        <v>128000</v>
      </c>
      <c r="Q1164" s="1">
        <v>1163</v>
      </c>
    </row>
    <row r="1165" spans="1:17">
      <c r="A1165" t="s">
        <v>176</v>
      </c>
      <c r="B1165" t="str">
        <f>TEXT(Table1[[#This Row],[Date]],"MMMM")</f>
        <v>January</v>
      </c>
      <c r="C1165" t="str">
        <f>TEXT(Table1[[#This Row],[Date]],"DDDD")</f>
        <v>Saturday</v>
      </c>
      <c r="D1165" t="s">
        <v>27</v>
      </c>
      <c r="E1165" t="s">
        <v>53</v>
      </c>
      <c r="F1165" t="s">
        <v>29</v>
      </c>
      <c r="G1165" t="s">
        <v>37</v>
      </c>
      <c r="H1165" t="s">
        <v>46</v>
      </c>
      <c r="I1165" t="s">
        <v>39</v>
      </c>
      <c r="J1165" s="3">
        <v>60000</v>
      </c>
      <c r="K1165">
        <v>6</v>
      </c>
      <c r="L1165" t="s">
        <v>42</v>
      </c>
      <c r="M1165" s="3">
        <v>48000</v>
      </c>
      <c r="N1165" s="3">
        <f>Table1[[#This Row],[Unit Price]]*Table1[[#This Row],[Quantity]]</f>
        <v>360000</v>
      </c>
      <c r="O1165" s="3">
        <f>Table1[[#This Row],[Cost Price]]*Table1[[#This Row],[Quantity]]</f>
        <v>288000</v>
      </c>
      <c r="P1165" s="3">
        <f>Table1[[#This Row],[Revenue]]-Table1[[#This Row],[COGS]]</f>
        <v>72000</v>
      </c>
      <c r="Q1165" s="1">
        <v>1164</v>
      </c>
    </row>
    <row r="1166" spans="1:17">
      <c r="A1166" t="s">
        <v>177</v>
      </c>
      <c r="B1166" t="str">
        <f>TEXT(Table1[[#This Row],[Date]],"MMMM")</f>
        <v>March</v>
      </c>
      <c r="C1166" t="str">
        <f>TEXT(Table1[[#This Row],[Date]],"DDDD")</f>
        <v>Wednesday</v>
      </c>
      <c r="D1166" t="s">
        <v>27</v>
      </c>
      <c r="E1166" t="s">
        <v>36</v>
      </c>
      <c r="F1166" t="s">
        <v>29</v>
      </c>
      <c r="G1166" t="s">
        <v>37</v>
      </c>
      <c r="H1166" t="s">
        <v>73</v>
      </c>
      <c r="I1166" t="s">
        <v>39</v>
      </c>
      <c r="J1166" s="3">
        <v>220000</v>
      </c>
      <c r="K1166">
        <v>10</v>
      </c>
      <c r="L1166" t="s">
        <v>69</v>
      </c>
      <c r="M1166" s="3">
        <v>176000</v>
      </c>
      <c r="N1166" s="3">
        <f>Table1[[#This Row],[Unit Price]]*Table1[[#This Row],[Quantity]]</f>
        <v>2200000</v>
      </c>
      <c r="O1166" s="3">
        <f>Table1[[#This Row],[Cost Price]]*Table1[[#This Row],[Quantity]]</f>
        <v>1760000</v>
      </c>
      <c r="P1166" s="3">
        <f>Table1[[#This Row],[Revenue]]-Table1[[#This Row],[COGS]]</f>
        <v>440000</v>
      </c>
      <c r="Q1166" s="1">
        <v>1165</v>
      </c>
    </row>
    <row r="1167" spans="1:17">
      <c r="A1167" t="s">
        <v>108</v>
      </c>
      <c r="B1167" t="str">
        <f>TEXT(Table1[[#This Row],[Date]],"MMMM")</f>
        <v>April</v>
      </c>
      <c r="C1167" t="str">
        <f>TEXT(Table1[[#This Row],[Date]],"DDDD")</f>
        <v>Thursday</v>
      </c>
      <c r="D1167" t="s">
        <v>27</v>
      </c>
      <c r="E1167" t="s">
        <v>53</v>
      </c>
      <c r="F1167" t="s">
        <v>29</v>
      </c>
      <c r="G1167" t="s">
        <v>30</v>
      </c>
      <c r="H1167" t="s">
        <v>46</v>
      </c>
      <c r="I1167" t="s">
        <v>39</v>
      </c>
      <c r="J1167" s="3">
        <v>60000</v>
      </c>
      <c r="K1167">
        <v>6</v>
      </c>
      <c r="L1167" t="s">
        <v>69</v>
      </c>
      <c r="M1167" s="3">
        <v>48000</v>
      </c>
      <c r="N1167" s="3">
        <f>Table1[[#This Row],[Unit Price]]*Table1[[#This Row],[Quantity]]</f>
        <v>360000</v>
      </c>
      <c r="O1167" s="3">
        <f>Table1[[#This Row],[Cost Price]]*Table1[[#This Row],[Quantity]]</f>
        <v>288000</v>
      </c>
      <c r="P1167" s="3">
        <f>Table1[[#This Row],[Revenue]]-Table1[[#This Row],[COGS]]</f>
        <v>72000</v>
      </c>
      <c r="Q1167" s="1">
        <v>1166</v>
      </c>
    </row>
    <row r="1168" spans="1:17">
      <c r="A1168" t="s">
        <v>84</v>
      </c>
      <c r="B1168" t="str">
        <f>TEXT(Table1[[#This Row],[Date]],"MMMM")</f>
        <v>January</v>
      </c>
      <c r="C1168" t="str">
        <f>TEXT(Table1[[#This Row],[Date]],"DDDD")</f>
        <v>Wednesday</v>
      </c>
      <c r="D1168" t="s">
        <v>27</v>
      </c>
      <c r="E1168" t="s">
        <v>45</v>
      </c>
      <c r="F1168" t="s">
        <v>29</v>
      </c>
      <c r="G1168" t="s">
        <v>30</v>
      </c>
      <c r="H1168" t="s">
        <v>73</v>
      </c>
      <c r="I1168" t="s">
        <v>39</v>
      </c>
      <c r="J1168" s="3">
        <v>220000</v>
      </c>
      <c r="K1168">
        <v>7</v>
      </c>
      <c r="L1168" t="s">
        <v>65</v>
      </c>
      <c r="M1168" s="3">
        <v>176000</v>
      </c>
      <c r="N1168" s="3">
        <f>Table1[[#This Row],[Unit Price]]*Table1[[#This Row],[Quantity]]</f>
        <v>1540000</v>
      </c>
      <c r="O1168" s="3">
        <f>Table1[[#This Row],[Cost Price]]*Table1[[#This Row],[Quantity]]</f>
        <v>1232000</v>
      </c>
      <c r="P1168" s="3">
        <f>Table1[[#This Row],[Revenue]]-Table1[[#This Row],[COGS]]</f>
        <v>308000</v>
      </c>
      <c r="Q1168" s="1">
        <v>1167</v>
      </c>
    </row>
    <row r="1169" spans="1:17">
      <c r="A1169" t="s">
        <v>63</v>
      </c>
      <c r="B1169" t="str">
        <f>TEXT(Table1[[#This Row],[Date]],"MMMM")</f>
        <v>January</v>
      </c>
      <c r="C1169" t="str">
        <f>TEXT(Table1[[#This Row],[Date]],"DDDD")</f>
        <v>Monday</v>
      </c>
      <c r="D1169" t="s">
        <v>35</v>
      </c>
      <c r="E1169" t="s">
        <v>36</v>
      </c>
      <c r="F1169" t="s">
        <v>41</v>
      </c>
      <c r="G1169" t="s">
        <v>37</v>
      </c>
      <c r="H1169" t="s">
        <v>67</v>
      </c>
      <c r="I1169" t="s">
        <v>51</v>
      </c>
      <c r="J1169" s="3">
        <v>420000</v>
      </c>
      <c r="K1169">
        <v>8</v>
      </c>
      <c r="L1169" t="s">
        <v>65</v>
      </c>
      <c r="M1169" s="3">
        <v>336000</v>
      </c>
      <c r="N1169" s="3">
        <f>Table1[[#This Row],[Unit Price]]*Table1[[#This Row],[Quantity]]</f>
        <v>3360000</v>
      </c>
      <c r="O1169" s="3">
        <f>Table1[[#This Row],[Cost Price]]*Table1[[#This Row],[Quantity]]</f>
        <v>2688000</v>
      </c>
      <c r="P1169" s="3">
        <f>Table1[[#This Row],[Revenue]]-Table1[[#This Row],[COGS]]</f>
        <v>672000</v>
      </c>
      <c r="Q1169" s="1">
        <v>1168</v>
      </c>
    </row>
    <row r="1170" spans="1:17">
      <c r="A1170" t="s">
        <v>100</v>
      </c>
      <c r="B1170" t="str">
        <f>TEXT(Table1[[#This Row],[Date]],"MMMM")</f>
        <v>January</v>
      </c>
      <c r="C1170" t="str">
        <f>TEXT(Table1[[#This Row],[Date]],"DDDD")</f>
        <v>Monday</v>
      </c>
      <c r="D1170" t="s">
        <v>35</v>
      </c>
      <c r="E1170" t="s">
        <v>36</v>
      </c>
      <c r="F1170" t="s">
        <v>29</v>
      </c>
      <c r="G1170" t="s">
        <v>37</v>
      </c>
      <c r="H1170" t="s">
        <v>67</v>
      </c>
      <c r="I1170" t="s">
        <v>51</v>
      </c>
      <c r="J1170" s="3">
        <v>420000</v>
      </c>
      <c r="K1170">
        <v>1</v>
      </c>
      <c r="L1170" t="s">
        <v>69</v>
      </c>
      <c r="M1170" s="3">
        <v>336000</v>
      </c>
      <c r="N1170" s="3">
        <f>Table1[[#This Row],[Unit Price]]*Table1[[#This Row],[Quantity]]</f>
        <v>420000</v>
      </c>
      <c r="O1170" s="3">
        <f>Table1[[#This Row],[Cost Price]]*Table1[[#This Row],[Quantity]]</f>
        <v>336000</v>
      </c>
      <c r="P1170" s="3">
        <f>Table1[[#This Row],[Revenue]]-Table1[[#This Row],[COGS]]</f>
        <v>84000</v>
      </c>
      <c r="Q1170" s="1">
        <v>1169</v>
      </c>
    </row>
    <row r="1171" spans="1:17">
      <c r="A1171" t="s">
        <v>177</v>
      </c>
      <c r="B1171" t="str">
        <f>TEXT(Table1[[#This Row],[Date]],"MMMM")</f>
        <v>March</v>
      </c>
      <c r="C1171" t="str">
        <f>TEXT(Table1[[#This Row],[Date]],"DDDD")</f>
        <v>Wednesday</v>
      </c>
      <c r="D1171" t="s">
        <v>35</v>
      </c>
      <c r="E1171" t="s">
        <v>28</v>
      </c>
      <c r="F1171" t="s">
        <v>41</v>
      </c>
      <c r="G1171" t="s">
        <v>37</v>
      </c>
      <c r="H1171" t="s">
        <v>71</v>
      </c>
      <c r="I1171" t="s">
        <v>51</v>
      </c>
      <c r="J1171" s="3">
        <v>250000</v>
      </c>
      <c r="K1171">
        <v>9</v>
      </c>
      <c r="L1171" t="s">
        <v>65</v>
      </c>
      <c r="M1171" s="3">
        <v>200000</v>
      </c>
      <c r="N1171" s="3">
        <f>Table1[[#This Row],[Unit Price]]*Table1[[#This Row],[Quantity]]</f>
        <v>2250000</v>
      </c>
      <c r="O1171" s="3">
        <f>Table1[[#This Row],[Cost Price]]*Table1[[#This Row],[Quantity]]</f>
        <v>1800000</v>
      </c>
      <c r="P1171" s="3">
        <f>Table1[[#This Row],[Revenue]]-Table1[[#This Row],[COGS]]</f>
        <v>450000</v>
      </c>
      <c r="Q1171" s="1">
        <v>1170</v>
      </c>
    </row>
    <row r="1172" spans="1:17">
      <c r="A1172" t="s">
        <v>174</v>
      </c>
      <c r="B1172" t="str">
        <f>TEXT(Table1[[#This Row],[Date]],"MMMM")</f>
        <v>February</v>
      </c>
      <c r="C1172" t="str">
        <f>TEXT(Table1[[#This Row],[Date]],"DDDD")</f>
        <v>Friday</v>
      </c>
      <c r="D1172" t="s">
        <v>49</v>
      </c>
      <c r="E1172" t="s">
        <v>53</v>
      </c>
      <c r="F1172" t="s">
        <v>29</v>
      </c>
      <c r="G1172" t="s">
        <v>30</v>
      </c>
      <c r="H1172" t="s">
        <v>38</v>
      </c>
      <c r="I1172" t="s">
        <v>39</v>
      </c>
      <c r="J1172" s="3">
        <v>30000</v>
      </c>
      <c r="K1172">
        <v>3</v>
      </c>
      <c r="L1172" t="s">
        <v>42</v>
      </c>
      <c r="M1172" s="3">
        <v>24000</v>
      </c>
      <c r="N1172" s="3">
        <f>Table1[[#This Row],[Unit Price]]*Table1[[#This Row],[Quantity]]</f>
        <v>90000</v>
      </c>
      <c r="O1172" s="3">
        <f>Table1[[#This Row],[Cost Price]]*Table1[[#This Row],[Quantity]]</f>
        <v>72000</v>
      </c>
      <c r="P1172" s="3">
        <f>Table1[[#This Row],[Revenue]]-Table1[[#This Row],[COGS]]</f>
        <v>18000</v>
      </c>
      <c r="Q1172" s="1">
        <v>1171</v>
      </c>
    </row>
    <row r="1173" spans="1:17">
      <c r="A1173" t="s">
        <v>76</v>
      </c>
      <c r="B1173" t="str">
        <f>TEXT(Table1[[#This Row],[Date]],"MMMM")</f>
        <v>May</v>
      </c>
      <c r="C1173" t="str">
        <f>TEXT(Table1[[#This Row],[Date]],"DDDD")</f>
        <v>Thursday</v>
      </c>
      <c r="D1173" t="s">
        <v>49</v>
      </c>
      <c r="E1173" t="s">
        <v>45</v>
      </c>
      <c r="F1173" t="s">
        <v>29</v>
      </c>
      <c r="G1173" t="s">
        <v>30</v>
      </c>
      <c r="H1173" t="s">
        <v>56</v>
      </c>
      <c r="I1173" t="s">
        <v>32</v>
      </c>
      <c r="J1173" s="3">
        <v>320000</v>
      </c>
      <c r="K1173">
        <v>1</v>
      </c>
      <c r="L1173" t="s">
        <v>69</v>
      </c>
      <c r="M1173" s="3">
        <v>256000</v>
      </c>
      <c r="N1173" s="3">
        <f>Table1[[#This Row],[Unit Price]]*Table1[[#This Row],[Quantity]]</f>
        <v>320000</v>
      </c>
      <c r="O1173" s="3">
        <f>Table1[[#This Row],[Cost Price]]*Table1[[#This Row],[Quantity]]</f>
        <v>256000</v>
      </c>
      <c r="P1173" s="3">
        <f>Table1[[#This Row],[Revenue]]-Table1[[#This Row],[COGS]]</f>
        <v>64000</v>
      </c>
      <c r="Q1173" s="1">
        <v>1172</v>
      </c>
    </row>
    <row r="1174" spans="1:17">
      <c r="A1174" t="s">
        <v>159</v>
      </c>
      <c r="B1174" t="str">
        <f>TEXT(Table1[[#This Row],[Date]],"MMMM")</f>
        <v>February</v>
      </c>
      <c r="C1174" t="str">
        <f>TEXT(Table1[[#This Row],[Date]],"DDDD")</f>
        <v>Sunday</v>
      </c>
      <c r="D1174" t="s">
        <v>27</v>
      </c>
      <c r="E1174" t="s">
        <v>53</v>
      </c>
      <c r="F1174" t="s">
        <v>41</v>
      </c>
      <c r="G1174" t="s">
        <v>30</v>
      </c>
      <c r="H1174" t="s">
        <v>56</v>
      </c>
      <c r="I1174" t="s">
        <v>32</v>
      </c>
      <c r="J1174" s="3">
        <v>320000</v>
      </c>
      <c r="K1174">
        <v>10</v>
      </c>
      <c r="L1174" t="s">
        <v>47</v>
      </c>
      <c r="M1174" s="3">
        <v>256000</v>
      </c>
      <c r="N1174" s="3">
        <f>Table1[[#This Row],[Unit Price]]*Table1[[#This Row],[Quantity]]</f>
        <v>3200000</v>
      </c>
      <c r="O1174" s="3">
        <f>Table1[[#This Row],[Cost Price]]*Table1[[#This Row],[Quantity]]</f>
        <v>2560000</v>
      </c>
      <c r="P1174" s="3">
        <f>Table1[[#This Row],[Revenue]]-Table1[[#This Row],[COGS]]</f>
        <v>640000</v>
      </c>
      <c r="Q1174" s="1">
        <v>1173</v>
      </c>
    </row>
    <row r="1175" spans="1:17">
      <c r="A1175" t="s">
        <v>106</v>
      </c>
      <c r="B1175" t="str">
        <f>TEXT(Table1[[#This Row],[Date]],"MMMM")</f>
        <v>April</v>
      </c>
      <c r="C1175" t="str">
        <f>TEXT(Table1[[#This Row],[Date]],"DDDD")</f>
        <v>Wednesday</v>
      </c>
      <c r="D1175" t="s">
        <v>49</v>
      </c>
      <c r="E1175" t="s">
        <v>36</v>
      </c>
      <c r="F1175" t="s">
        <v>41</v>
      </c>
      <c r="G1175" t="s">
        <v>30</v>
      </c>
      <c r="H1175" t="s">
        <v>54</v>
      </c>
      <c r="I1175" t="s">
        <v>39</v>
      </c>
      <c r="J1175" s="3">
        <v>180000</v>
      </c>
      <c r="K1175">
        <v>4</v>
      </c>
      <c r="L1175" t="s">
        <v>47</v>
      </c>
      <c r="M1175" s="3">
        <v>144000</v>
      </c>
      <c r="N1175" s="3">
        <f>Table1[[#This Row],[Unit Price]]*Table1[[#This Row],[Quantity]]</f>
        <v>720000</v>
      </c>
      <c r="O1175" s="3">
        <f>Table1[[#This Row],[Cost Price]]*Table1[[#This Row],[Quantity]]</f>
        <v>576000</v>
      </c>
      <c r="P1175" s="3">
        <f>Table1[[#This Row],[Revenue]]-Table1[[#This Row],[COGS]]</f>
        <v>144000</v>
      </c>
      <c r="Q1175" s="1">
        <v>1174</v>
      </c>
    </row>
    <row r="1176" spans="1:17">
      <c r="A1176" t="s">
        <v>75</v>
      </c>
      <c r="B1176" t="str">
        <f>TEXT(Table1[[#This Row],[Date]],"MMMM")</f>
        <v>March</v>
      </c>
      <c r="C1176" t="str">
        <f>TEXT(Table1[[#This Row],[Date]],"DDDD")</f>
        <v>Monday</v>
      </c>
      <c r="D1176" t="s">
        <v>27</v>
      </c>
      <c r="E1176" t="s">
        <v>36</v>
      </c>
      <c r="F1176" t="s">
        <v>29</v>
      </c>
      <c r="G1176" t="s">
        <v>37</v>
      </c>
      <c r="H1176" t="s">
        <v>67</v>
      </c>
      <c r="I1176" t="s">
        <v>51</v>
      </c>
      <c r="J1176" s="3">
        <v>420000</v>
      </c>
      <c r="K1176">
        <v>5</v>
      </c>
      <c r="L1176" t="s">
        <v>65</v>
      </c>
      <c r="M1176" s="3">
        <v>336000</v>
      </c>
      <c r="N1176" s="3">
        <f>Table1[[#This Row],[Unit Price]]*Table1[[#This Row],[Quantity]]</f>
        <v>2100000</v>
      </c>
      <c r="O1176" s="3">
        <f>Table1[[#This Row],[Cost Price]]*Table1[[#This Row],[Quantity]]</f>
        <v>1680000</v>
      </c>
      <c r="P1176" s="3">
        <f>Table1[[#This Row],[Revenue]]-Table1[[#This Row],[COGS]]</f>
        <v>420000</v>
      </c>
      <c r="Q1176" s="1">
        <v>1175</v>
      </c>
    </row>
    <row r="1177" spans="1:17">
      <c r="A1177" t="s">
        <v>102</v>
      </c>
      <c r="B1177" t="str">
        <f>TEXT(Table1[[#This Row],[Date]],"MMMM")</f>
        <v>March</v>
      </c>
      <c r="C1177" t="str">
        <f>TEXT(Table1[[#This Row],[Date]],"DDDD")</f>
        <v>Wednesday</v>
      </c>
      <c r="D1177" t="s">
        <v>49</v>
      </c>
      <c r="E1177" t="s">
        <v>53</v>
      </c>
      <c r="F1177" t="s">
        <v>29</v>
      </c>
      <c r="G1177" t="s">
        <v>30</v>
      </c>
      <c r="H1177" t="s">
        <v>46</v>
      </c>
      <c r="I1177" t="s">
        <v>39</v>
      </c>
      <c r="J1177" s="3">
        <v>60000</v>
      </c>
      <c r="K1177">
        <v>5</v>
      </c>
      <c r="L1177" t="s">
        <v>42</v>
      </c>
      <c r="M1177" s="3">
        <v>48000</v>
      </c>
      <c r="N1177" s="3">
        <f>Table1[[#This Row],[Unit Price]]*Table1[[#This Row],[Quantity]]</f>
        <v>300000</v>
      </c>
      <c r="O1177" s="3">
        <f>Table1[[#This Row],[Cost Price]]*Table1[[#This Row],[Quantity]]</f>
        <v>240000</v>
      </c>
      <c r="P1177" s="3">
        <f>Table1[[#This Row],[Revenue]]-Table1[[#This Row],[COGS]]</f>
        <v>60000</v>
      </c>
      <c r="Q1177" s="1">
        <v>1176</v>
      </c>
    </row>
    <row r="1178" spans="1:17">
      <c r="A1178" t="s">
        <v>74</v>
      </c>
      <c r="B1178" t="str">
        <f>TEXT(Table1[[#This Row],[Date]],"MMMM")</f>
        <v>February</v>
      </c>
      <c r="C1178" t="str">
        <f>TEXT(Table1[[#This Row],[Date]],"DDDD")</f>
        <v>Monday</v>
      </c>
      <c r="D1178" t="s">
        <v>49</v>
      </c>
      <c r="E1178" t="s">
        <v>53</v>
      </c>
      <c r="F1178" t="s">
        <v>29</v>
      </c>
      <c r="G1178" t="s">
        <v>37</v>
      </c>
      <c r="H1178" t="s">
        <v>46</v>
      </c>
      <c r="I1178" t="s">
        <v>39</v>
      </c>
      <c r="J1178" s="3">
        <v>60000</v>
      </c>
      <c r="K1178">
        <v>9</v>
      </c>
      <c r="L1178" t="s">
        <v>65</v>
      </c>
      <c r="M1178" s="3">
        <v>48000</v>
      </c>
      <c r="N1178" s="3">
        <f>Table1[[#This Row],[Unit Price]]*Table1[[#This Row],[Quantity]]</f>
        <v>540000</v>
      </c>
      <c r="O1178" s="3">
        <f>Table1[[#This Row],[Cost Price]]*Table1[[#This Row],[Quantity]]</f>
        <v>432000</v>
      </c>
      <c r="P1178" s="3">
        <f>Table1[[#This Row],[Revenue]]-Table1[[#This Row],[COGS]]</f>
        <v>108000</v>
      </c>
      <c r="Q1178" s="1">
        <v>1177</v>
      </c>
    </row>
    <row r="1179" spans="1:17">
      <c r="A1179" t="s">
        <v>26</v>
      </c>
      <c r="B1179" t="str">
        <f>TEXT(Table1[[#This Row],[Date]],"MMMM")</f>
        <v>January</v>
      </c>
      <c r="C1179" t="str">
        <f>TEXT(Table1[[#This Row],[Date]],"DDDD")</f>
        <v>Sunday</v>
      </c>
      <c r="D1179" t="s">
        <v>35</v>
      </c>
      <c r="E1179" t="s">
        <v>45</v>
      </c>
      <c r="F1179" t="s">
        <v>41</v>
      </c>
      <c r="G1179" t="s">
        <v>37</v>
      </c>
      <c r="H1179" t="s">
        <v>50</v>
      </c>
      <c r="I1179" t="s">
        <v>51</v>
      </c>
      <c r="J1179" s="3">
        <v>300000</v>
      </c>
      <c r="K1179">
        <v>10</v>
      </c>
      <c r="L1179" t="s">
        <v>42</v>
      </c>
      <c r="M1179" s="3">
        <v>240000</v>
      </c>
      <c r="N1179" s="3">
        <f>Table1[[#This Row],[Unit Price]]*Table1[[#This Row],[Quantity]]</f>
        <v>3000000</v>
      </c>
      <c r="O1179" s="3">
        <f>Table1[[#This Row],[Cost Price]]*Table1[[#This Row],[Quantity]]</f>
        <v>2400000</v>
      </c>
      <c r="P1179" s="3">
        <f>Table1[[#This Row],[Revenue]]-Table1[[#This Row],[COGS]]</f>
        <v>600000</v>
      </c>
      <c r="Q1179" s="1">
        <v>1178</v>
      </c>
    </row>
    <row r="1180" spans="1:17">
      <c r="A1180" t="s">
        <v>123</v>
      </c>
      <c r="B1180" t="str">
        <f>TEXT(Table1[[#This Row],[Date]],"MMMM")</f>
        <v>April</v>
      </c>
      <c r="C1180" t="str">
        <f>TEXT(Table1[[#This Row],[Date]],"DDDD")</f>
        <v>Monday</v>
      </c>
      <c r="D1180" t="s">
        <v>44</v>
      </c>
      <c r="E1180" t="s">
        <v>53</v>
      </c>
      <c r="F1180" t="s">
        <v>29</v>
      </c>
      <c r="G1180" t="s">
        <v>37</v>
      </c>
      <c r="H1180" t="s">
        <v>67</v>
      </c>
      <c r="I1180" t="s">
        <v>51</v>
      </c>
      <c r="J1180" s="3">
        <v>420000</v>
      </c>
      <c r="K1180">
        <v>8</v>
      </c>
      <c r="L1180" t="s">
        <v>69</v>
      </c>
      <c r="M1180" s="3">
        <v>336000</v>
      </c>
      <c r="N1180" s="3">
        <f>Table1[[#This Row],[Unit Price]]*Table1[[#This Row],[Quantity]]</f>
        <v>3360000</v>
      </c>
      <c r="O1180" s="3">
        <f>Table1[[#This Row],[Cost Price]]*Table1[[#This Row],[Quantity]]</f>
        <v>2688000</v>
      </c>
      <c r="P1180" s="3">
        <f>Table1[[#This Row],[Revenue]]-Table1[[#This Row],[COGS]]</f>
        <v>672000</v>
      </c>
      <c r="Q1180" s="1">
        <v>1179</v>
      </c>
    </row>
    <row r="1181" spans="1:17">
      <c r="A1181" t="s">
        <v>55</v>
      </c>
      <c r="B1181" t="str">
        <f>TEXT(Table1[[#This Row],[Date]],"MMMM")</f>
        <v>March</v>
      </c>
      <c r="C1181" t="str">
        <f>TEXT(Table1[[#This Row],[Date]],"DDDD")</f>
        <v>Sunday</v>
      </c>
      <c r="D1181" t="s">
        <v>44</v>
      </c>
      <c r="E1181" t="s">
        <v>45</v>
      </c>
      <c r="F1181" t="s">
        <v>41</v>
      </c>
      <c r="G1181" t="s">
        <v>37</v>
      </c>
      <c r="H1181" t="s">
        <v>54</v>
      </c>
      <c r="I1181" t="s">
        <v>39</v>
      </c>
      <c r="J1181" s="3">
        <v>180000</v>
      </c>
      <c r="K1181">
        <v>4</v>
      </c>
      <c r="L1181" t="s">
        <v>42</v>
      </c>
      <c r="M1181" s="3">
        <v>144000</v>
      </c>
      <c r="N1181" s="3">
        <f>Table1[[#This Row],[Unit Price]]*Table1[[#This Row],[Quantity]]</f>
        <v>720000</v>
      </c>
      <c r="O1181" s="3">
        <f>Table1[[#This Row],[Cost Price]]*Table1[[#This Row],[Quantity]]</f>
        <v>576000</v>
      </c>
      <c r="P1181" s="3">
        <f>Table1[[#This Row],[Revenue]]-Table1[[#This Row],[COGS]]</f>
        <v>144000</v>
      </c>
      <c r="Q1181" s="1">
        <v>1180</v>
      </c>
    </row>
    <row r="1182" spans="1:17">
      <c r="A1182" t="s">
        <v>86</v>
      </c>
      <c r="B1182" t="str">
        <f>TEXT(Table1[[#This Row],[Date]],"MMMM")</f>
        <v>February</v>
      </c>
      <c r="C1182" t="str">
        <f>TEXT(Table1[[#This Row],[Date]],"DDDD")</f>
        <v>Thursday</v>
      </c>
      <c r="D1182" t="s">
        <v>35</v>
      </c>
      <c r="E1182" t="s">
        <v>45</v>
      </c>
      <c r="F1182" t="s">
        <v>29</v>
      </c>
      <c r="G1182" t="s">
        <v>37</v>
      </c>
      <c r="H1182" t="s">
        <v>38</v>
      </c>
      <c r="I1182" t="s">
        <v>39</v>
      </c>
      <c r="J1182" s="3">
        <v>30000</v>
      </c>
      <c r="K1182">
        <v>5</v>
      </c>
      <c r="L1182" t="s">
        <v>65</v>
      </c>
      <c r="M1182" s="3">
        <v>24000</v>
      </c>
      <c r="N1182" s="3">
        <f>Table1[[#This Row],[Unit Price]]*Table1[[#This Row],[Quantity]]</f>
        <v>150000</v>
      </c>
      <c r="O1182" s="3">
        <f>Table1[[#This Row],[Cost Price]]*Table1[[#This Row],[Quantity]]</f>
        <v>120000</v>
      </c>
      <c r="P1182" s="3">
        <f>Table1[[#This Row],[Revenue]]-Table1[[#This Row],[COGS]]</f>
        <v>30000</v>
      </c>
      <c r="Q1182" s="1">
        <v>1181</v>
      </c>
    </row>
    <row r="1183" spans="1:17">
      <c r="A1183" t="s">
        <v>92</v>
      </c>
      <c r="B1183" t="str">
        <f>TEXT(Table1[[#This Row],[Date]],"MMMM")</f>
        <v>January</v>
      </c>
      <c r="C1183" t="str">
        <f>TEXT(Table1[[#This Row],[Date]],"DDDD")</f>
        <v>Tuesday</v>
      </c>
      <c r="D1183" t="s">
        <v>49</v>
      </c>
      <c r="E1183" t="s">
        <v>36</v>
      </c>
      <c r="F1183" t="s">
        <v>29</v>
      </c>
      <c r="G1183" t="s">
        <v>30</v>
      </c>
      <c r="H1183" t="s">
        <v>71</v>
      </c>
      <c r="I1183" t="s">
        <v>51</v>
      </c>
      <c r="J1183" s="3">
        <v>250000</v>
      </c>
      <c r="K1183">
        <v>3</v>
      </c>
      <c r="L1183" t="s">
        <v>42</v>
      </c>
      <c r="M1183" s="3">
        <v>200000</v>
      </c>
      <c r="N1183" s="3">
        <f>Table1[[#This Row],[Unit Price]]*Table1[[#This Row],[Quantity]]</f>
        <v>750000</v>
      </c>
      <c r="O1183" s="3">
        <f>Table1[[#This Row],[Cost Price]]*Table1[[#This Row],[Quantity]]</f>
        <v>600000</v>
      </c>
      <c r="P1183" s="3">
        <f>Table1[[#This Row],[Revenue]]-Table1[[#This Row],[COGS]]</f>
        <v>150000</v>
      </c>
      <c r="Q1183" s="1">
        <v>1182</v>
      </c>
    </row>
    <row r="1184" spans="1:17">
      <c r="A1184" t="s">
        <v>59</v>
      </c>
      <c r="B1184" t="str">
        <f>TEXT(Table1[[#This Row],[Date]],"MMMM")</f>
        <v>March</v>
      </c>
      <c r="C1184" t="str">
        <f>TEXT(Table1[[#This Row],[Date]],"DDDD")</f>
        <v>Monday</v>
      </c>
      <c r="D1184" t="s">
        <v>35</v>
      </c>
      <c r="E1184" t="s">
        <v>45</v>
      </c>
      <c r="F1184" t="s">
        <v>41</v>
      </c>
      <c r="G1184" t="s">
        <v>37</v>
      </c>
      <c r="H1184" t="s">
        <v>31</v>
      </c>
      <c r="I1184" t="s">
        <v>32</v>
      </c>
      <c r="J1184" s="3">
        <v>85000</v>
      </c>
      <c r="K1184">
        <v>8</v>
      </c>
      <c r="L1184" t="s">
        <v>47</v>
      </c>
      <c r="M1184" s="3">
        <v>68000</v>
      </c>
      <c r="N1184" s="3">
        <f>Table1[[#This Row],[Unit Price]]*Table1[[#This Row],[Quantity]]</f>
        <v>680000</v>
      </c>
      <c r="O1184" s="3">
        <f>Table1[[#This Row],[Cost Price]]*Table1[[#This Row],[Quantity]]</f>
        <v>544000</v>
      </c>
      <c r="P1184" s="3">
        <f>Table1[[#This Row],[Revenue]]-Table1[[#This Row],[COGS]]</f>
        <v>136000</v>
      </c>
      <c r="Q1184" s="1">
        <v>1183</v>
      </c>
    </row>
    <row r="1185" spans="1:17">
      <c r="A1185" t="s">
        <v>152</v>
      </c>
      <c r="B1185" t="str">
        <f>TEXT(Table1[[#This Row],[Date]],"MMMM")</f>
        <v>January</v>
      </c>
      <c r="C1185" t="str">
        <f>TEXT(Table1[[#This Row],[Date]],"DDDD")</f>
        <v>Friday</v>
      </c>
      <c r="D1185" t="s">
        <v>44</v>
      </c>
      <c r="E1185" t="s">
        <v>28</v>
      </c>
      <c r="F1185" t="s">
        <v>41</v>
      </c>
      <c r="G1185" t="s">
        <v>30</v>
      </c>
      <c r="H1185" t="s">
        <v>46</v>
      </c>
      <c r="I1185" t="s">
        <v>39</v>
      </c>
      <c r="J1185" s="3">
        <v>60000</v>
      </c>
      <c r="K1185">
        <v>8</v>
      </c>
      <c r="L1185" t="s">
        <v>65</v>
      </c>
      <c r="M1185" s="3">
        <v>48000</v>
      </c>
      <c r="N1185" s="3">
        <f>Table1[[#This Row],[Unit Price]]*Table1[[#This Row],[Quantity]]</f>
        <v>480000</v>
      </c>
      <c r="O1185" s="3">
        <f>Table1[[#This Row],[Cost Price]]*Table1[[#This Row],[Quantity]]</f>
        <v>384000</v>
      </c>
      <c r="P1185" s="3">
        <f>Table1[[#This Row],[Revenue]]-Table1[[#This Row],[COGS]]</f>
        <v>96000</v>
      </c>
      <c r="Q1185" s="1">
        <v>1184</v>
      </c>
    </row>
    <row r="1186" spans="1:17">
      <c r="A1186" t="s">
        <v>177</v>
      </c>
      <c r="B1186" t="str">
        <f>TEXT(Table1[[#This Row],[Date]],"MMMM")</f>
        <v>March</v>
      </c>
      <c r="C1186" t="str">
        <f>TEXT(Table1[[#This Row],[Date]],"DDDD")</f>
        <v>Wednesday</v>
      </c>
      <c r="D1186" t="s">
        <v>44</v>
      </c>
      <c r="E1186" t="s">
        <v>28</v>
      </c>
      <c r="F1186" t="s">
        <v>41</v>
      </c>
      <c r="G1186" t="s">
        <v>37</v>
      </c>
      <c r="H1186" t="s">
        <v>62</v>
      </c>
      <c r="I1186" t="s">
        <v>51</v>
      </c>
      <c r="J1186" s="3">
        <v>150000</v>
      </c>
      <c r="K1186">
        <v>5</v>
      </c>
      <c r="L1186" t="s">
        <v>33</v>
      </c>
      <c r="M1186" s="3">
        <v>120000</v>
      </c>
      <c r="N1186" s="3">
        <f>Table1[[#This Row],[Unit Price]]*Table1[[#This Row],[Quantity]]</f>
        <v>750000</v>
      </c>
      <c r="O1186" s="3">
        <f>Table1[[#This Row],[Cost Price]]*Table1[[#This Row],[Quantity]]</f>
        <v>600000</v>
      </c>
      <c r="P1186" s="3">
        <f>Table1[[#This Row],[Revenue]]-Table1[[#This Row],[COGS]]</f>
        <v>150000</v>
      </c>
      <c r="Q1186" s="1">
        <v>1185</v>
      </c>
    </row>
    <row r="1187" spans="1:17">
      <c r="A1187" t="s">
        <v>104</v>
      </c>
      <c r="B1187" t="str">
        <f>TEXT(Table1[[#This Row],[Date]],"MMMM")</f>
        <v>March</v>
      </c>
      <c r="C1187" t="str">
        <f>TEXT(Table1[[#This Row],[Date]],"DDDD")</f>
        <v>Friday</v>
      </c>
      <c r="D1187" t="s">
        <v>49</v>
      </c>
      <c r="E1187" t="s">
        <v>28</v>
      </c>
      <c r="F1187" t="s">
        <v>41</v>
      </c>
      <c r="G1187" t="s">
        <v>30</v>
      </c>
      <c r="H1187" t="s">
        <v>56</v>
      </c>
      <c r="I1187" t="s">
        <v>32</v>
      </c>
      <c r="J1187" s="3">
        <v>320000</v>
      </c>
      <c r="K1187">
        <v>9</v>
      </c>
      <c r="L1187" t="s">
        <v>58</v>
      </c>
      <c r="M1187" s="3">
        <v>256000</v>
      </c>
      <c r="N1187" s="3">
        <f>Table1[[#This Row],[Unit Price]]*Table1[[#This Row],[Quantity]]</f>
        <v>2880000</v>
      </c>
      <c r="O1187" s="3">
        <f>Table1[[#This Row],[Cost Price]]*Table1[[#This Row],[Quantity]]</f>
        <v>2304000</v>
      </c>
      <c r="P1187" s="3">
        <f>Table1[[#This Row],[Revenue]]-Table1[[#This Row],[COGS]]</f>
        <v>576000</v>
      </c>
      <c r="Q1187" s="1">
        <v>1186</v>
      </c>
    </row>
    <row r="1188" spans="1:17">
      <c r="A1188" t="s">
        <v>86</v>
      </c>
      <c r="B1188" t="str">
        <f>TEXT(Table1[[#This Row],[Date]],"MMMM")</f>
        <v>February</v>
      </c>
      <c r="C1188" t="str">
        <f>TEXT(Table1[[#This Row],[Date]],"DDDD")</f>
        <v>Thursday</v>
      </c>
      <c r="D1188" t="s">
        <v>49</v>
      </c>
      <c r="E1188" t="s">
        <v>53</v>
      </c>
      <c r="F1188" t="s">
        <v>41</v>
      </c>
      <c r="G1188" t="s">
        <v>30</v>
      </c>
      <c r="H1188" t="s">
        <v>67</v>
      </c>
      <c r="I1188" t="s">
        <v>51</v>
      </c>
      <c r="J1188" s="3">
        <v>420000</v>
      </c>
      <c r="K1188">
        <v>7</v>
      </c>
      <c r="L1188" t="s">
        <v>33</v>
      </c>
      <c r="M1188" s="3">
        <v>336000</v>
      </c>
      <c r="N1188" s="3">
        <f>Table1[[#This Row],[Unit Price]]*Table1[[#This Row],[Quantity]]</f>
        <v>2940000</v>
      </c>
      <c r="O1188" s="3">
        <f>Table1[[#This Row],[Cost Price]]*Table1[[#This Row],[Quantity]]</f>
        <v>2352000</v>
      </c>
      <c r="P1188" s="3">
        <f>Table1[[#This Row],[Revenue]]-Table1[[#This Row],[COGS]]</f>
        <v>588000</v>
      </c>
      <c r="Q1188" s="1">
        <v>1187</v>
      </c>
    </row>
    <row r="1189" spans="1:17">
      <c r="A1189" t="s">
        <v>106</v>
      </c>
      <c r="B1189" t="str">
        <f>TEXT(Table1[[#This Row],[Date]],"MMMM")</f>
        <v>April</v>
      </c>
      <c r="C1189" t="str">
        <f>TEXT(Table1[[#This Row],[Date]],"DDDD")</f>
        <v>Wednesday</v>
      </c>
      <c r="D1189" t="s">
        <v>44</v>
      </c>
      <c r="E1189" t="s">
        <v>45</v>
      </c>
      <c r="F1189" t="s">
        <v>41</v>
      </c>
      <c r="G1189" t="s">
        <v>37</v>
      </c>
      <c r="H1189" t="s">
        <v>46</v>
      </c>
      <c r="I1189" t="s">
        <v>39</v>
      </c>
      <c r="J1189" s="3">
        <v>60000</v>
      </c>
      <c r="K1189">
        <v>6</v>
      </c>
      <c r="L1189" t="s">
        <v>65</v>
      </c>
      <c r="M1189" s="3">
        <v>48000</v>
      </c>
      <c r="N1189" s="3">
        <f>Table1[[#This Row],[Unit Price]]*Table1[[#This Row],[Quantity]]</f>
        <v>360000</v>
      </c>
      <c r="O1189" s="3">
        <f>Table1[[#This Row],[Cost Price]]*Table1[[#This Row],[Quantity]]</f>
        <v>288000</v>
      </c>
      <c r="P1189" s="3">
        <f>Table1[[#This Row],[Revenue]]-Table1[[#This Row],[COGS]]</f>
        <v>72000</v>
      </c>
      <c r="Q1189" s="1">
        <v>1188</v>
      </c>
    </row>
    <row r="1190" spans="1:17">
      <c r="A1190" t="s">
        <v>171</v>
      </c>
      <c r="B1190" t="str">
        <f>TEXT(Table1[[#This Row],[Date]],"MMMM")</f>
        <v>March</v>
      </c>
      <c r="C1190" t="str">
        <f>TEXT(Table1[[#This Row],[Date]],"DDDD")</f>
        <v>Monday</v>
      </c>
      <c r="D1190" t="s">
        <v>49</v>
      </c>
      <c r="E1190" t="s">
        <v>28</v>
      </c>
      <c r="F1190" t="s">
        <v>29</v>
      </c>
      <c r="G1190" t="s">
        <v>37</v>
      </c>
      <c r="H1190" t="s">
        <v>62</v>
      </c>
      <c r="I1190" t="s">
        <v>51</v>
      </c>
      <c r="J1190" s="3">
        <v>150000</v>
      </c>
      <c r="K1190">
        <v>7</v>
      </c>
      <c r="L1190" t="s">
        <v>69</v>
      </c>
      <c r="M1190" s="3">
        <v>120000</v>
      </c>
      <c r="N1190" s="3">
        <f>Table1[[#This Row],[Unit Price]]*Table1[[#This Row],[Quantity]]</f>
        <v>1050000</v>
      </c>
      <c r="O1190" s="3">
        <f>Table1[[#This Row],[Cost Price]]*Table1[[#This Row],[Quantity]]</f>
        <v>840000</v>
      </c>
      <c r="P1190" s="3">
        <f>Table1[[#This Row],[Revenue]]-Table1[[#This Row],[COGS]]</f>
        <v>210000</v>
      </c>
      <c r="Q1190" s="1">
        <v>1189</v>
      </c>
    </row>
    <row r="1191" spans="1:17">
      <c r="A1191" t="s">
        <v>66</v>
      </c>
      <c r="B1191" t="str">
        <f>TEXT(Table1[[#This Row],[Date]],"MMMM")</f>
        <v>March</v>
      </c>
      <c r="C1191" t="str">
        <f>TEXT(Table1[[#This Row],[Date]],"DDDD")</f>
        <v>Saturday</v>
      </c>
      <c r="D1191" t="s">
        <v>35</v>
      </c>
      <c r="E1191" t="s">
        <v>45</v>
      </c>
      <c r="F1191" t="s">
        <v>29</v>
      </c>
      <c r="G1191" t="s">
        <v>37</v>
      </c>
      <c r="H1191" t="s">
        <v>56</v>
      </c>
      <c r="I1191" t="s">
        <v>32</v>
      </c>
      <c r="J1191" s="3">
        <v>320000</v>
      </c>
      <c r="K1191">
        <v>10</v>
      </c>
      <c r="L1191" t="s">
        <v>47</v>
      </c>
      <c r="M1191" s="3">
        <v>256000</v>
      </c>
      <c r="N1191" s="3">
        <f>Table1[[#This Row],[Unit Price]]*Table1[[#This Row],[Quantity]]</f>
        <v>3200000</v>
      </c>
      <c r="O1191" s="3">
        <f>Table1[[#This Row],[Cost Price]]*Table1[[#This Row],[Quantity]]</f>
        <v>2560000</v>
      </c>
      <c r="P1191" s="3">
        <f>Table1[[#This Row],[Revenue]]-Table1[[#This Row],[COGS]]</f>
        <v>640000</v>
      </c>
      <c r="Q1191" s="1">
        <v>1190</v>
      </c>
    </row>
    <row r="1192" spans="1:17">
      <c r="A1192" t="s">
        <v>96</v>
      </c>
      <c r="B1192" t="str">
        <f>TEXT(Table1[[#This Row],[Date]],"MMMM")</f>
        <v>March</v>
      </c>
      <c r="C1192" t="str">
        <f>TEXT(Table1[[#This Row],[Date]],"DDDD")</f>
        <v>Sunday</v>
      </c>
      <c r="D1192" t="s">
        <v>35</v>
      </c>
      <c r="E1192" t="s">
        <v>28</v>
      </c>
      <c r="F1192" t="s">
        <v>41</v>
      </c>
      <c r="G1192" t="s">
        <v>30</v>
      </c>
      <c r="H1192" t="s">
        <v>50</v>
      </c>
      <c r="I1192" t="s">
        <v>51</v>
      </c>
      <c r="J1192" s="3">
        <v>300000</v>
      </c>
      <c r="K1192">
        <v>8</v>
      </c>
      <c r="L1192" t="s">
        <v>42</v>
      </c>
      <c r="M1192" s="3">
        <v>240000</v>
      </c>
      <c r="N1192" s="3">
        <f>Table1[[#This Row],[Unit Price]]*Table1[[#This Row],[Quantity]]</f>
        <v>2400000</v>
      </c>
      <c r="O1192" s="3">
        <f>Table1[[#This Row],[Cost Price]]*Table1[[#This Row],[Quantity]]</f>
        <v>1920000</v>
      </c>
      <c r="P1192" s="3">
        <f>Table1[[#This Row],[Revenue]]-Table1[[#This Row],[COGS]]</f>
        <v>480000</v>
      </c>
      <c r="Q1192" s="1">
        <v>1191</v>
      </c>
    </row>
    <row r="1193" spans="1:17">
      <c r="A1193" t="s">
        <v>117</v>
      </c>
      <c r="B1193" t="str">
        <f>TEXT(Table1[[#This Row],[Date]],"MMMM")</f>
        <v>January</v>
      </c>
      <c r="C1193" t="str">
        <f>TEXT(Table1[[#This Row],[Date]],"DDDD")</f>
        <v>Wednesday</v>
      </c>
      <c r="D1193" t="s">
        <v>27</v>
      </c>
      <c r="E1193" t="s">
        <v>28</v>
      </c>
      <c r="F1193" t="s">
        <v>29</v>
      </c>
      <c r="G1193" t="s">
        <v>30</v>
      </c>
      <c r="H1193" t="s">
        <v>67</v>
      </c>
      <c r="I1193" t="s">
        <v>51</v>
      </c>
      <c r="J1193" s="3">
        <v>420000</v>
      </c>
      <c r="K1193">
        <v>5</v>
      </c>
      <c r="L1193" t="s">
        <v>58</v>
      </c>
      <c r="M1193" s="3">
        <v>336000</v>
      </c>
      <c r="N1193" s="3">
        <f>Table1[[#This Row],[Unit Price]]*Table1[[#This Row],[Quantity]]</f>
        <v>2100000</v>
      </c>
      <c r="O1193" s="3">
        <f>Table1[[#This Row],[Cost Price]]*Table1[[#This Row],[Quantity]]</f>
        <v>1680000</v>
      </c>
      <c r="P1193" s="3">
        <f>Table1[[#This Row],[Revenue]]-Table1[[#This Row],[COGS]]</f>
        <v>420000</v>
      </c>
      <c r="Q1193" s="1">
        <v>1192</v>
      </c>
    </row>
    <row r="1194" spans="1:17">
      <c r="A1194" t="s">
        <v>64</v>
      </c>
      <c r="B1194" t="str">
        <f>TEXT(Table1[[#This Row],[Date]],"MMMM")</f>
        <v>April</v>
      </c>
      <c r="C1194" t="str">
        <f>TEXT(Table1[[#This Row],[Date]],"DDDD")</f>
        <v>Saturday</v>
      </c>
      <c r="D1194" t="s">
        <v>35</v>
      </c>
      <c r="E1194" t="s">
        <v>45</v>
      </c>
      <c r="F1194" t="s">
        <v>29</v>
      </c>
      <c r="G1194" t="s">
        <v>37</v>
      </c>
      <c r="H1194" t="s">
        <v>73</v>
      </c>
      <c r="I1194" t="s">
        <v>39</v>
      </c>
      <c r="J1194" s="3">
        <v>220000</v>
      </c>
      <c r="K1194">
        <v>5</v>
      </c>
      <c r="L1194" t="s">
        <v>33</v>
      </c>
      <c r="M1194" s="3">
        <v>176000</v>
      </c>
      <c r="N1194" s="3">
        <f>Table1[[#This Row],[Unit Price]]*Table1[[#This Row],[Quantity]]</f>
        <v>1100000</v>
      </c>
      <c r="O1194" s="3">
        <f>Table1[[#This Row],[Cost Price]]*Table1[[#This Row],[Quantity]]</f>
        <v>880000</v>
      </c>
      <c r="P1194" s="3">
        <f>Table1[[#This Row],[Revenue]]-Table1[[#This Row],[COGS]]</f>
        <v>220000</v>
      </c>
      <c r="Q1194" s="1">
        <v>1193</v>
      </c>
    </row>
    <row r="1195" spans="1:17">
      <c r="A1195" t="s">
        <v>99</v>
      </c>
      <c r="B1195" t="str">
        <f>TEXT(Table1[[#This Row],[Date]],"MMMM")</f>
        <v>April</v>
      </c>
      <c r="C1195" t="str">
        <f>TEXT(Table1[[#This Row],[Date]],"DDDD")</f>
        <v>Sunday</v>
      </c>
      <c r="D1195" t="s">
        <v>27</v>
      </c>
      <c r="E1195" t="s">
        <v>28</v>
      </c>
      <c r="F1195" t="s">
        <v>41</v>
      </c>
      <c r="G1195" t="s">
        <v>37</v>
      </c>
      <c r="H1195" t="s">
        <v>56</v>
      </c>
      <c r="I1195" t="s">
        <v>32</v>
      </c>
      <c r="J1195" s="3">
        <v>320000</v>
      </c>
      <c r="K1195">
        <v>3</v>
      </c>
      <c r="L1195" t="s">
        <v>42</v>
      </c>
      <c r="M1195" s="3">
        <v>256000</v>
      </c>
      <c r="N1195" s="3">
        <f>Table1[[#This Row],[Unit Price]]*Table1[[#This Row],[Quantity]]</f>
        <v>960000</v>
      </c>
      <c r="O1195" s="3">
        <f>Table1[[#This Row],[Cost Price]]*Table1[[#This Row],[Quantity]]</f>
        <v>768000</v>
      </c>
      <c r="P1195" s="3">
        <f>Table1[[#This Row],[Revenue]]-Table1[[#This Row],[COGS]]</f>
        <v>192000</v>
      </c>
      <c r="Q1195" s="1">
        <v>1194</v>
      </c>
    </row>
    <row r="1196" spans="1:17">
      <c r="A1196" t="s">
        <v>106</v>
      </c>
      <c r="B1196" t="str">
        <f>TEXT(Table1[[#This Row],[Date]],"MMMM")</f>
        <v>April</v>
      </c>
      <c r="C1196" t="str">
        <f>TEXT(Table1[[#This Row],[Date]],"DDDD")</f>
        <v>Wednesday</v>
      </c>
      <c r="D1196" t="s">
        <v>35</v>
      </c>
      <c r="E1196" t="s">
        <v>28</v>
      </c>
      <c r="F1196" t="s">
        <v>29</v>
      </c>
      <c r="G1196" t="s">
        <v>30</v>
      </c>
      <c r="H1196" t="s">
        <v>54</v>
      </c>
      <c r="I1196" t="s">
        <v>39</v>
      </c>
      <c r="J1196" s="3">
        <v>180000</v>
      </c>
      <c r="K1196">
        <v>9</v>
      </c>
      <c r="L1196" t="s">
        <v>69</v>
      </c>
      <c r="M1196" s="3">
        <v>144000</v>
      </c>
      <c r="N1196" s="3">
        <f>Table1[[#This Row],[Unit Price]]*Table1[[#This Row],[Quantity]]</f>
        <v>1620000</v>
      </c>
      <c r="O1196" s="3">
        <f>Table1[[#This Row],[Cost Price]]*Table1[[#This Row],[Quantity]]</f>
        <v>1296000</v>
      </c>
      <c r="P1196" s="3">
        <f>Table1[[#This Row],[Revenue]]-Table1[[#This Row],[COGS]]</f>
        <v>324000</v>
      </c>
      <c r="Q1196" s="1">
        <v>1195</v>
      </c>
    </row>
    <row r="1197" spans="1:17">
      <c r="A1197" t="s">
        <v>81</v>
      </c>
      <c r="B1197" t="str">
        <f>TEXT(Table1[[#This Row],[Date]],"MMMM")</f>
        <v>March</v>
      </c>
      <c r="C1197" t="str">
        <f>TEXT(Table1[[#This Row],[Date]],"DDDD")</f>
        <v>Sunday</v>
      </c>
      <c r="D1197" t="s">
        <v>49</v>
      </c>
      <c r="E1197" t="s">
        <v>28</v>
      </c>
      <c r="F1197" t="s">
        <v>29</v>
      </c>
      <c r="G1197" t="s">
        <v>30</v>
      </c>
      <c r="H1197" t="s">
        <v>50</v>
      </c>
      <c r="I1197" t="s">
        <v>51</v>
      </c>
      <c r="J1197" s="3">
        <v>300000</v>
      </c>
      <c r="K1197">
        <v>1</v>
      </c>
      <c r="L1197" t="s">
        <v>69</v>
      </c>
      <c r="M1197" s="3">
        <v>240000</v>
      </c>
      <c r="N1197" s="3">
        <f>Table1[[#This Row],[Unit Price]]*Table1[[#This Row],[Quantity]]</f>
        <v>300000</v>
      </c>
      <c r="O1197" s="3">
        <f>Table1[[#This Row],[Cost Price]]*Table1[[#This Row],[Quantity]]</f>
        <v>240000</v>
      </c>
      <c r="P1197" s="3">
        <f>Table1[[#This Row],[Revenue]]-Table1[[#This Row],[COGS]]</f>
        <v>60000</v>
      </c>
      <c r="Q1197" s="1">
        <v>1196</v>
      </c>
    </row>
    <row r="1198" spans="1:17">
      <c r="A1198" t="s">
        <v>143</v>
      </c>
      <c r="B1198" t="str">
        <f>TEXT(Table1[[#This Row],[Date]],"MMMM")</f>
        <v>April</v>
      </c>
      <c r="C1198" t="str">
        <f>TEXT(Table1[[#This Row],[Date]],"DDDD")</f>
        <v>Thursday</v>
      </c>
      <c r="D1198" t="s">
        <v>49</v>
      </c>
      <c r="E1198" t="s">
        <v>45</v>
      </c>
      <c r="F1198" t="s">
        <v>29</v>
      </c>
      <c r="G1198" t="s">
        <v>37</v>
      </c>
      <c r="H1198" t="s">
        <v>73</v>
      </c>
      <c r="I1198" t="s">
        <v>39</v>
      </c>
      <c r="J1198" s="3">
        <v>220000</v>
      </c>
      <c r="K1198">
        <v>7</v>
      </c>
      <c r="L1198" t="s">
        <v>69</v>
      </c>
      <c r="M1198" s="3">
        <v>176000</v>
      </c>
      <c r="N1198" s="3">
        <f>Table1[[#This Row],[Unit Price]]*Table1[[#This Row],[Quantity]]</f>
        <v>1540000</v>
      </c>
      <c r="O1198" s="3">
        <f>Table1[[#This Row],[Cost Price]]*Table1[[#This Row],[Quantity]]</f>
        <v>1232000</v>
      </c>
      <c r="P1198" s="3">
        <f>Table1[[#This Row],[Revenue]]-Table1[[#This Row],[COGS]]</f>
        <v>308000</v>
      </c>
      <c r="Q1198" s="1">
        <v>1197</v>
      </c>
    </row>
    <row r="1199" spans="1:17">
      <c r="A1199" t="s">
        <v>164</v>
      </c>
      <c r="B1199" t="str">
        <f>TEXT(Table1[[#This Row],[Date]],"MMMM")</f>
        <v>March</v>
      </c>
      <c r="C1199" t="str">
        <f>TEXT(Table1[[#This Row],[Date]],"DDDD")</f>
        <v>Tuesday</v>
      </c>
      <c r="D1199" t="s">
        <v>35</v>
      </c>
      <c r="E1199" t="s">
        <v>36</v>
      </c>
      <c r="F1199" t="s">
        <v>41</v>
      </c>
      <c r="G1199" t="s">
        <v>37</v>
      </c>
      <c r="H1199" t="s">
        <v>31</v>
      </c>
      <c r="I1199" t="s">
        <v>32</v>
      </c>
      <c r="J1199" s="3">
        <v>85000</v>
      </c>
      <c r="K1199">
        <v>9</v>
      </c>
      <c r="L1199" t="s">
        <v>42</v>
      </c>
      <c r="M1199" s="3">
        <v>68000</v>
      </c>
      <c r="N1199" s="3">
        <f>Table1[[#This Row],[Unit Price]]*Table1[[#This Row],[Quantity]]</f>
        <v>765000</v>
      </c>
      <c r="O1199" s="3">
        <f>Table1[[#This Row],[Cost Price]]*Table1[[#This Row],[Quantity]]</f>
        <v>612000</v>
      </c>
      <c r="P1199" s="3">
        <f>Table1[[#This Row],[Revenue]]-Table1[[#This Row],[COGS]]</f>
        <v>153000</v>
      </c>
      <c r="Q1199" s="1">
        <v>1198</v>
      </c>
    </row>
    <row r="1200" spans="1:17">
      <c r="A1200" t="s">
        <v>144</v>
      </c>
      <c r="B1200" t="str">
        <f>TEXT(Table1[[#This Row],[Date]],"MMMM")</f>
        <v>February</v>
      </c>
      <c r="C1200" t="str">
        <f>TEXT(Table1[[#This Row],[Date]],"DDDD")</f>
        <v>Friday</v>
      </c>
      <c r="D1200" t="s">
        <v>35</v>
      </c>
      <c r="E1200" t="s">
        <v>36</v>
      </c>
      <c r="F1200" t="s">
        <v>29</v>
      </c>
      <c r="G1200" t="s">
        <v>30</v>
      </c>
      <c r="H1200" t="s">
        <v>31</v>
      </c>
      <c r="I1200" t="s">
        <v>32</v>
      </c>
      <c r="J1200" s="3">
        <v>85000</v>
      </c>
      <c r="K1200">
        <v>4</v>
      </c>
      <c r="L1200" t="s">
        <v>47</v>
      </c>
      <c r="M1200" s="3">
        <v>68000</v>
      </c>
      <c r="N1200" s="3">
        <f>Table1[[#This Row],[Unit Price]]*Table1[[#This Row],[Quantity]]</f>
        <v>340000</v>
      </c>
      <c r="O1200" s="3">
        <f>Table1[[#This Row],[Cost Price]]*Table1[[#This Row],[Quantity]]</f>
        <v>272000</v>
      </c>
      <c r="P1200" s="3">
        <f>Table1[[#This Row],[Revenue]]-Table1[[#This Row],[COGS]]</f>
        <v>68000</v>
      </c>
      <c r="Q1200" s="1">
        <v>1199</v>
      </c>
    </row>
    <row r="1201" spans="1:17">
      <c r="A1201" t="s">
        <v>81</v>
      </c>
      <c r="B1201" t="str">
        <f>TEXT(Table1[[#This Row],[Date]],"MMMM")</f>
        <v>March</v>
      </c>
      <c r="C1201" t="str">
        <f>TEXT(Table1[[#This Row],[Date]],"DDDD")</f>
        <v>Sunday</v>
      </c>
      <c r="D1201" t="s">
        <v>35</v>
      </c>
      <c r="E1201" t="s">
        <v>53</v>
      </c>
      <c r="F1201" t="s">
        <v>29</v>
      </c>
      <c r="G1201" t="s">
        <v>37</v>
      </c>
      <c r="H1201" t="s">
        <v>46</v>
      </c>
      <c r="I1201" t="s">
        <v>39</v>
      </c>
      <c r="J1201" s="3">
        <v>60000</v>
      </c>
      <c r="K1201">
        <v>8</v>
      </c>
      <c r="L1201" t="s">
        <v>47</v>
      </c>
      <c r="M1201" s="3">
        <v>48000</v>
      </c>
      <c r="N1201" s="3">
        <f>Table1[[#This Row],[Unit Price]]*Table1[[#This Row],[Quantity]]</f>
        <v>480000</v>
      </c>
      <c r="O1201" s="3">
        <f>Table1[[#This Row],[Cost Price]]*Table1[[#This Row],[Quantity]]</f>
        <v>384000</v>
      </c>
      <c r="P1201" s="3">
        <f>Table1[[#This Row],[Revenue]]-Table1[[#This Row],[COGS]]</f>
        <v>96000</v>
      </c>
      <c r="Q1201" s="1">
        <v>1200</v>
      </c>
    </row>
    <row r="1202" spans="1:17">
      <c r="A1202" t="s">
        <v>61</v>
      </c>
      <c r="B1202" t="str">
        <f>TEXT(Table1[[#This Row],[Date]],"MMMM")</f>
        <v>January</v>
      </c>
      <c r="C1202" t="str">
        <f>TEXT(Table1[[#This Row],[Date]],"DDDD")</f>
        <v>Friday</v>
      </c>
      <c r="D1202" t="s">
        <v>44</v>
      </c>
      <c r="E1202" t="s">
        <v>36</v>
      </c>
      <c r="F1202" t="s">
        <v>41</v>
      </c>
      <c r="G1202" t="s">
        <v>37</v>
      </c>
      <c r="H1202" t="s">
        <v>62</v>
      </c>
      <c r="I1202" t="s">
        <v>51</v>
      </c>
      <c r="J1202" s="3">
        <v>150000</v>
      </c>
      <c r="K1202">
        <v>6</v>
      </c>
      <c r="L1202" t="s">
        <v>58</v>
      </c>
      <c r="M1202" s="3">
        <v>120000</v>
      </c>
      <c r="N1202" s="3">
        <f>Table1[[#This Row],[Unit Price]]*Table1[[#This Row],[Quantity]]</f>
        <v>900000</v>
      </c>
      <c r="O1202" s="3">
        <f>Table1[[#This Row],[Cost Price]]*Table1[[#This Row],[Quantity]]</f>
        <v>720000</v>
      </c>
      <c r="P1202" s="3">
        <f>Table1[[#This Row],[Revenue]]-Table1[[#This Row],[COGS]]</f>
        <v>180000</v>
      </c>
      <c r="Q1202" s="1">
        <v>1201</v>
      </c>
    </row>
    <row r="1203" spans="1:17">
      <c r="A1203" t="s">
        <v>137</v>
      </c>
      <c r="B1203" t="str">
        <f>TEXT(Table1[[#This Row],[Date]],"MMMM")</f>
        <v>April</v>
      </c>
      <c r="C1203" t="str">
        <f>TEXT(Table1[[#This Row],[Date]],"DDDD")</f>
        <v>Wednesday</v>
      </c>
      <c r="D1203" t="s">
        <v>35</v>
      </c>
      <c r="E1203" t="s">
        <v>45</v>
      </c>
      <c r="F1203" t="s">
        <v>41</v>
      </c>
      <c r="G1203" t="s">
        <v>30</v>
      </c>
      <c r="H1203" t="s">
        <v>31</v>
      </c>
      <c r="I1203" t="s">
        <v>32</v>
      </c>
      <c r="J1203" s="3">
        <v>85000</v>
      </c>
      <c r="K1203">
        <v>10</v>
      </c>
      <c r="L1203" t="s">
        <v>47</v>
      </c>
      <c r="M1203" s="3">
        <v>68000</v>
      </c>
      <c r="N1203" s="3">
        <f>Table1[[#This Row],[Unit Price]]*Table1[[#This Row],[Quantity]]</f>
        <v>850000</v>
      </c>
      <c r="O1203" s="3">
        <f>Table1[[#This Row],[Cost Price]]*Table1[[#This Row],[Quantity]]</f>
        <v>680000</v>
      </c>
      <c r="P1203" s="3">
        <f>Table1[[#This Row],[Revenue]]-Table1[[#This Row],[COGS]]</f>
        <v>170000</v>
      </c>
      <c r="Q1203" s="1">
        <v>1202</v>
      </c>
    </row>
    <row r="1204" spans="1:17">
      <c r="A1204" t="s">
        <v>149</v>
      </c>
      <c r="B1204" t="str">
        <f>TEXT(Table1[[#This Row],[Date]],"MMMM")</f>
        <v>April</v>
      </c>
      <c r="C1204" t="str">
        <f>TEXT(Table1[[#This Row],[Date]],"DDDD")</f>
        <v>Saturday</v>
      </c>
      <c r="D1204" t="s">
        <v>27</v>
      </c>
      <c r="E1204" t="s">
        <v>36</v>
      </c>
      <c r="F1204" t="s">
        <v>41</v>
      </c>
      <c r="G1204" t="s">
        <v>37</v>
      </c>
      <c r="H1204" t="s">
        <v>31</v>
      </c>
      <c r="I1204" t="s">
        <v>32</v>
      </c>
      <c r="J1204" s="3">
        <v>85000</v>
      </c>
      <c r="K1204">
        <v>3</v>
      </c>
      <c r="L1204" t="s">
        <v>69</v>
      </c>
      <c r="M1204" s="3">
        <v>68000</v>
      </c>
      <c r="N1204" s="3">
        <f>Table1[[#This Row],[Unit Price]]*Table1[[#This Row],[Quantity]]</f>
        <v>255000</v>
      </c>
      <c r="O1204" s="3">
        <f>Table1[[#This Row],[Cost Price]]*Table1[[#This Row],[Quantity]]</f>
        <v>204000</v>
      </c>
      <c r="P1204" s="3">
        <f>Table1[[#This Row],[Revenue]]-Table1[[#This Row],[COGS]]</f>
        <v>51000</v>
      </c>
      <c r="Q1204" s="1">
        <v>1203</v>
      </c>
    </row>
    <row r="1205" spans="1:17">
      <c r="A1205" t="s">
        <v>60</v>
      </c>
      <c r="B1205" t="str">
        <f>TEXT(Table1[[#This Row],[Date]],"MMMM")</f>
        <v>March</v>
      </c>
      <c r="C1205" t="str">
        <f>TEXT(Table1[[#This Row],[Date]],"DDDD")</f>
        <v>Wednesday</v>
      </c>
      <c r="D1205" t="s">
        <v>27</v>
      </c>
      <c r="E1205" t="s">
        <v>45</v>
      </c>
      <c r="F1205" t="s">
        <v>41</v>
      </c>
      <c r="G1205" t="s">
        <v>30</v>
      </c>
      <c r="H1205" t="s">
        <v>50</v>
      </c>
      <c r="I1205" t="s">
        <v>51</v>
      </c>
      <c r="J1205" s="3">
        <v>300000</v>
      </c>
      <c r="K1205">
        <v>8</v>
      </c>
      <c r="L1205" t="s">
        <v>58</v>
      </c>
      <c r="M1205" s="3">
        <v>240000</v>
      </c>
      <c r="N1205" s="3">
        <f>Table1[[#This Row],[Unit Price]]*Table1[[#This Row],[Quantity]]</f>
        <v>2400000</v>
      </c>
      <c r="O1205" s="3">
        <f>Table1[[#This Row],[Cost Price]]*Table1[[#This Row],[Quantity]]</f>
        <v>1920000</v>
      </c>
      <c r="P1205" s="3">
        <f>Table1[[#This Row],[Revenue]]-Table1[[#This Row],[COGS]]</f>
        <v>480000</v>
      </c>
      <c r="Q1205" s="1">
        <v>1204</v>
      </c>
    </row>
    <row r="1206" spans="1:17">
      <c r="A1206" t="s">
        <v>151</v>
      </c>
      <c r="B1206" t="str">
        <f>TEXT(Table1[[#This Row],[Date]],"MMMM")</f>
        <v>February</v>
      </c>
      <c r="C1206" t="str">
        <f>TEXT(Table1[[#This Row],[Date]],"DDDD")</f>
        <v>Tuesday</v>
      </c>
      <c r="D1206" t="s">
        <v>27</v>
      </c>
      <c r="E1206" t="s">
        <v>28</v>
      </c>
      <c r="F1206" t="s">
        <v>41</v>
      </c>
      <c r="G1206" t="s">
        <v>30</v>
      </c>
      <c r="H1206" t="s">
        <v>67</v>
      </c>
      <c r="I1206" t="s">
        <v>51</v>
      </c>
      <c r="J1206" s="3">
        <v>420000</v>
      </c>
      <c r="K1206">
        <v>6</v>
      </c>
      <c r="L1206" t="s">
        <v>65</v>
      </c>
      <c r="M1206" s="3">
        <v>336000</v>
      </c>
      <c r="N1206" s="3">
        <f>Table1[[#This Row],[Unit Price]]*Table1[[#This Row],[Quantity]]</f>
        <v>2520000</v>
      </c>
      <c r="O1206" s="3">
        <f>Table1[[#This Row],[Cost Price]]*Table1[[#This Row],[Quantity]]</f>
        <v>2016000</v>
      </c>
      <c r="P1206" s="3">
        <f>Table1[[#This Row],[Revenue]]-Table1[[#This Row],[COGS]]</f>
        <v>504000</v>
      </c>
      <c r="Q1206" s="1">
        <v>1205</v>
      </c>
    </row>
    <row r="1207" spans="1:17">
      <c r="A1207" t="s">
        <v>147</v>
      </c>
      <c r="B1207" t="str">
        <f>TEXT(Table1[[#This Row],[Date]],"MMMM")</f>
        <v>January</v>
      </c>
      <c r="C1207" t="str">
        <f>TEXT(Table1[[#This Row],[Date]],"DDDD")</f>
        <v>Saturday</v>
      </c>
      <c r="D1207" t="s">
        <v>44</v>
      </c>
      <c r="E1207" t="s">
        <v>45</v>
      </c>
      <c r="F1207" t="s">
        <v>41</v>
      </c>
      <c r="G1207" t="s">
        <v>30</v>
      </c>
      <c r="H1207" t="s">
        <v>71</v>
      </c>
      <c r="I1207" t="s">
        <v>51</v>
      </c>
      <c r="J1207" s="3">
        <v>250000</v>
      </c>
      <c r="K1207">
        <v>3</v>
      </c>
      <c r="L1207" t="s">
        <v>42</v>
      </c>
      <c r="M1207" s="3">
        <v>200000</v>
      </c>
      <c r="N1207" s="3">
        <f>Table1[[#This Row],[Unit Price]]*Table1[[#This Row],[Quantity]]</f>
        <v>750000</v>
      </c>
      <c r="O1207" s="3">
        <f>Table1[[#This Row],[Cost Price]]*Table1[[#This Row],[Quantity]]</f>
        <v>600000</v>
      </c>
      <c r="P1207" s="3">
        <f>Table1[[#This Row],[Revenue]]-Table1[[#This Row],[COGS]]</f>
        <v>150000</v>
      </c>
      <c r="Q1207" s="1">
        <v>1206</v>
      </c>
    </row>
    <row r="1208" spans="1:17">
      <c r="A1208" t="s">
        <v>153</v>
      </c>
      <c r="B1208" t="str">
        <f>TEXT(Table1[[#This Row],[Date]],"MMMM")</f>
        <v>March</v>
      </c>
      <c r="C1208" t="str">
        <f>TEXT(Table1[[#This Row],[Date]],"DDDD")</f>
        <v>Tuesday</v>
      </c>
      <c r="D1208" t="s">
        <v>27</v>
      </c>
      <c r="E1208" t="s">
        <v>53</v>
      </c>
      <c r="F1208" t="s">
        <v>29</v>
      </c>
      <c r="G1208" t="s">
        <v>37</v>
      </c>
      <c r="H1208" t="s">
        <v>71</v>
      </c>
      <c r="I1208" t="s">
        <v>51</v>
      </c>
      <c r="J1208" s="3">
        <v>250000</v>
      </c>
      <c r="K1208">
        <v>8</v>
      </c>
      <c r="L1208" t="s">
        <v>47</v>
      </c>
      <c r="M1208" s="3">
        <v>200000</v>
      </c>
      <c r="N1208" s="3">
        <f>Table1[[#This Row],[Unit Price]]*Table1[[#This Row],[Quantity]]</f>
        <v>2000000</v>
      </c>
      <c r="O1208" s="3">
        <f>Table1[[#This Row],[Cost Price]]*Table1[[#This Row],[Quantity]]</f>
        <v>1600000</v>
      </c>
      <c r="P1208" s="3">
        <f>Table1[[#This Row],[Revenue]]-Table1[[#This Row],[COGS]]</f>
        <v>400000</v>
      </c>
      <c r="Q1208" s="1">
        <v>1207</v>
      </c>
    </row>
    <row r="1209" spans="1:17">
      <c r="A1209" t="s">
        <v>175</v>
      </c>
      <c r="B1209" t="str">
        <f>TEXT(Table1[[#This Row],[Date]],"MMMM")</f>
        <v>January</v>
      </c>
      <c r="C1209" t="str">
        <f>TEXT(Table1[[#This Row],[Date]],"DDDD")</f>
        <v>Wednesday</v>
      </c>
      <c r="D1209" t="s">
        <v>49</v>
      </c>
      <c r="E1209" t="s">
        <v>36</v>
      </c>
      <c r="F1209" t="s">
        <v>41</v>
      </c>
      <c r="G1209" t="s">
        <v>30</v>
      </c>
      <c r="H1209" t="s">
        <v>31</v>
      </c>
      <c r="I1209" t="s">
        <v>32</v>
      </c>
      <c r="J1209" s="3">
        <v>85000</v>
      </c>
      <c r="K1209">
        <v>3</v>
      </c>
      <c r="L1209" t="s">
        <v>47</v>
      </c>
      <c r="M1209" s="3">
        <v>68000</v>
      </c>
      <c r="N1209" s="3">
        <f>Table1[[#This Row],[Unit Price]]*Table1[[#This Row],[Quantity]]</f>
        <v>255000</v>
      </c>
      <c r="O1209" s="3">
        <f>Table1[[#This Row],[Cost Price]]*Table1[[#This Row],[Quantity]]</f>
        <v>204000</v>
      </c>
      <c r="P1209" s="3">
        <f>Table1[[#This Row],[Revenue]]-Table1[[#This Row],[COGS]]</f>
        <v>51000</v>
      </c>
      <c r="Q1209" s="1">
        <v>1208</v>
      </c>
    </row>
    <row r="1210" spans="1:17">
      <c r="A1210" t="s">
        <v>161</v>
      </c>
      <c r="B1210" t="str">
        <f>TEXT(Table1[[#This Row],[Date]],"MMMM")</f>
        <v>March</v>
      </c>
      <c r="C1210" t="str">
        <f>TEXT(Table1[[#This Row],[Date]],"DDDD")</f>
        <v>Thursday</v>
      </c>
      <c r="D1210" t="s">
        <v>49</v>
      </c>
      <c r="E1210" t="s">
        <v>53</v>
      </c>
      <c r="F1210" t="s">
        <v>41</v>
      </c>
      <c r="G1210" t="s">
        <v>30</v>
      </c>
      <c r="H1210" t="s">
        <v>38</v>
      </c>
      <c r="I1210" t="s">
        <v>39</v>
      </c>
      <c r="J1210" s="3">
        <v>30000</v>
      </c>
      <c r="K1210">
        <v>7</v>
      </c>
      <c r="L1210" t="s">
        <v>47</v>
      </c>
      <c r="M1210" s="3">
        <v>24000</v>
      </c>
      <c r="N1210" s="3">
        <f>Table1[[#This Row],[Unit Price]]*Table1[[#This Row],[Quantity]]</f>
        <v>210000</v>
      </c>
      <c r="O1210" s="3">
        <f>Table1[[#This Row],[Cost Price]]*Table1[[#This Row],[Quantity]]</f>
        <v>168000</v>
      </c>
      <c r="P1210" s="3">
        <f>Table1[[#This Row],[Revenue]]-Table1[[#This Row],[COGS]]</f>
        <v>42000</v>
      </c>
      <c r="Q1210" s="1">
        <v>1209</v>
      </c>
    </row>
    <row r="1211" spans="1:17">
      <c r="A1211" t="s">
        <v>126</v>
      </c>
      <c r="B1211" t="str">
        <f>TEXT(Table1[[#This Row],[Date]],"MMMM")</f>
        <v>January</v>
      </c>
      <c r="C1211" t="str">
        <f>TEXT(Table1[[#This Row],[Date]],"DDDD")</f>
        <v>Thursday</v>
      </c>
      <c r="D1211" t="s">
        <v>35</v>
      </c>
      <c r="E1211" t="s">
        <v>45</v>
      </c>
      <c r="F1211" t="s">
        <v>29</v>
      </c>
      <c r="G1211" t="s">
        <v>37</v>
      </c>
      <c r="H1211" t="s">
        <v>46</v>
      </c>
      <c r="I1211" t="s">
        <v>39</v>
      </c>
      <c r="J1211" s="3">
        <v>60000</v>
      </c>
      <c r="K1211">
        <v>7</v>
      </c>
      <c r="L1211" t="s">
        <v>58</v>
      </c>
      <c r="M1211" s="3">
        <v>48000</v>
      </c>
      <c r="N1211" s="3">
        <f>Table1[[#This Row],[Unit Price]]*Table1[[#This Row],[Quantity]]</f>
        <v>420000</v>
      </c>
      <c r="O1211" s="3">
        <f>Table1[[#This Row],[Cost Price]]*Table1[[#This Row],[Quantity]]</f>
        <v>336000</v>
      </c>
      <c r="P1211" s="3">
        <f>Table1[[#This Row],[Revenue]]-Table1[[#This Row],[COGS]]</f>
        <v>84000</v>
      </c>
      <c r="Q1211" s="1">
        <v>1210</v>
      </c>
    </row>
    <row r="1212" spans="1:17">
      <c r="A1212" t="s">
        <v>146</v>
      </c>
      <c r="B1212" t="str">
        <f>TEXT(Table1[[#This Row],[Date]],"MMMM")</f>
        <v>January</v>
      </c>
      <c r="C1212" t="str">
        <f>TEXT(Table1[[#This Row],[Date]],"DDDD")</f>
        <v>Tuesday</v>
      </c>
      <c r="D1212" t="s">
        <v>44</v>
      </c>
      <c r="E1212" t="s">
        <v>28</v>
      </c>
      <c r="F1212" t="s">
        <v>29</v>
      </c>
      <c r="G1212" t="s">
        <v>37</v>
      </c>
      <c r="H1212" t="s">
        <v>73</v>
      </c>
      <c r="I1212" t="s">
        <v>39</v>
      </c>
      <c r="J1212" s="3">
        <v>220000</v>
      </c>
      <c r="K1212">
        <v>10</v>
      </c>
      <c r="L1212" t="s">
        <v>42</v>
      </c>
      <c r="M1212" s="3">
        <v>176000</v>
      </c>
      <c r="N1212" s="3">
        <f>Table1[[#This Row],[Unit Price]]*Table1[[#This Row],[Quantity]]</f>
        <v>2200000</v>
      </c>
      <c r="O1212" s="3">
        <f>Table1[[#This Row],[Cost Price]]*Table1[[#This Row],[Quantity]]</f>
        <v>1760000</v>
      </c>
      <c r="P1212" s="3">
        <f>Table1[[#This Row],[Revenue]]-Table1[[#This Row],[COGS]]</f>
        <v>440000</v>
      </c>
      <c r="Q1212" s="1">
        <v>1211</v>
      </c>
    </row>
    <row r="1213" spans="1:17">
      <c r="A1213" t="s">
        <v>137</v>
      </c>
      <c r="B1213" t="str">
        <f>TEXT(Table1[[#This Row],[Date]],"MMMM")</f>
        <v>April</v>
      </c>
      <c r="C1213" t="str">
        <f>TEXT(Table1[[#This Row],[Date]],"DDDD")</f>
        <v>Wednesday</v>
      </c>
      <c r="D1213" t="s">
        <v>44</v>
      </c>
      <c r="E1213" t="s">
        <v>36</v>
      </c>
      <c r="F1213" t="s">
        <v>29</v>
      </c>
      <c r="G1213" t="s">
        <v>37</v>
      </c>
      <c r="H1213" t="s">
        <v>71</v>
      </c>
      <c r="I1213" t="s">
        <v>51</v>
      </c>
      <c r="J1213" s="3">
        <v>250000</v>
      </c>
      <c r="K1213">
        <v>5</v>
      </c>
      <c r="L1213" t="s">
        <v>69</v>
      </c>
      <c r="M1213" s="3">
        <v>200000</v>
      </c>
      <c r="N1213" s="3">
        <f>Table1[[#This Row],[Unit Price]]*Table1[[#This Row],[Quantity]]</f>
        <v>1250000</v>
      </c>
      <c r="O1213" s="3">
        <f>Table1[[#This Row],[Cost Price]]*Table1[[#This Row],[Quantity]]</f>
        <v>1000000</v>
      </c>
      <c r="P1213" s="3">
        <f>Table1[[#This Row],[Revenue]]-Table1[[#This Row],[COGS]]</f>
        <v>250000</v>
      </c>
      <c r="Q1213" s="1">
        <v>1212</v>
      </c>
    </row>
    <row r="1214" spans="1:17">
      <c r="A1214" t="s">
        <v>168</v>
      </c>
      <c r="B1214" t="str">
        <f>TEXT(Table1[[#This Row],[Date]],"MMMM")</f>
        <v>April</v>
      </c>
      <c r="C1214" t="str">
        <f>TEXT(Table1[[#This Row],[Date]],"DDDD")</f>
        <v>Wednesday</v>
      </c>
      <c r="D1214" t="s">
        <v>44</v>
      </c>
      <c r="E1214" t="s">
        <v>53</v>
      </c>
      <c r="F1214" t="s">
        <v>29</v>
      </c>
      <c r="G1214" t="s">
        <v>30</v>
      </c>
      <c r="H1214" t="s">
        <v>31</v>
      </c>
      <c r="I1214" t="s">
        <v>32</v>
      </c>
      <c r="J1214" s="3">
        <v>85000</v>
      </c>
      <c r="K1214">
        <v>7</v>
      </c>
      <c r="L1214" t="s">
        <v>69</v>
      </c>
      <c r="M1214" s="3">
        <v>68000</v>
      </c>
      <c r="N1214" s="3">
        <f>Table1[[#This Row],[Unit Price]]*Table1[[#This Row],[Quantity]]</f>
        <v>595000</v>
      </c>
      <c r="O1214" s="3">
        <f>Table1[[#This Row],[Cost Price]]*Table1[[#This Row],[Quantity]]</f>
        <v>476000</v>
      </c>
      <c r="P1214" s="3">
        <f>Table1[[#This Row],[Revenue]]-Table1[[#This Row],[COGS]]</f>
        <v>119000</v>
      </c>
      <c r="Q1214" s="1">
        <v>1213</v>
      </c>
    </row>
    <row r="1215" spans="1:17">
      <c r="A1215" t="s">
        <v>121</v>
      </c>
      <c r="B1215" t="str">
        <f>TEXT(Table1[[#This Row],[Date]],"MMMM")</f>
        <v>April</v>
      </c>
      <c r="C1215" t="str">
        <f>TEXT(Table1[[#This Row],[Date]],"DDDD")</f>
        <v>Wednesday</v>
      </c>
      <c r="D1215" t="s">
        <v>27</v>
      </c>
      <c r="E1215" t="s">
        <v>36</v>
      </c>
      <c r="F1215" t="s">
        <v>41</v>
      </c>
      <c r="G1215" t="s">
        <v>30</v>
      </c>
      <c r="H1215" t="s">
        <v>62</v>
      </c>
      <c r="I1215" t="s">
        <v>51</v>
      </c>
      <c r="J1215" s="3">
        <v>150000</v>
      </c>
      <c r="K1215">
        <v>4</v>
      </c>
      <c r="L1215" t="s">
        <v>47</v>
      </c>
      <c r="M1215" s="3">
        <v>120000</v>
      </c>
      <c r="N1215" s="3">
        <f>Table1[[#This Row],[Unit Price]]*Table1[[#This Row],[Quantity]]</f>
        <v>600000</v>
      </c>
      <c r="O1215" s="3">
        <f>Table1[[#This Row],[Cost Price]]*Table1[[#This Row],[Quantity]]</f>
        <v>480000</v>
      </c>
      <c r="P1215" s="3">
        <f>Table1[[#This Row],[Revenue]]-Table1[[#This Row],[COGS]]</f>
        <v>120000</v>
      </c>
      <c r="Q1215" s="1">
        <v>1214</v>
      </c>
    </row>
    <row r="1216" spans="1:17">
      <c r="A1216" t="s">
        <v>137</v>
      </c>
      <c r="B1216" t="str">
        <f>TEXT(Table1[[#This Row],[Date]],"MMMM")</f>
        <v>April</v>
      </c>
      <c r="C1216" t="str">
        <f>TEXT(Table1[[#This Row],[Date]],"DDDD")</f>
        <v>Wednesday</v>
      </c>
      <c r="D1216" t="s">
        <v>44</v>
      </c>
      <c r="E1216" t="s">
        <v>53</v>
      </c>
      <c r="F1216" t="s">
        <v>29</v>
      </c>
      <c r="G1216" t="s">
        <v>30</v>
      </c>
      <c r="H1216" t="s">
        <v>67</v>
      </c>
      <c r="I1216" t="s">
        <v>51</v>
      </c>
      <c r="J1216" s="3">
        <v>420000</v>
      </c>
      <c r="K1216">
        <v>5</v>
      </c>
      <c r="L1216" t="s">
        <v>42</v>
      </c>
      <c r="M1216" s="3">
        <v>336000</v>
      </c>
      <c r="N1216" s="3">
        <f>Table1[[#This Row],[Unit Price]]*Table1[[#This Row],[Quantity]]</f>
        <v>2100000</v>
      </c>
      <c r="O1216" s="3">
        <f>Table1[[#This Row],[Cost Price]]*Table1[[#This Row],[Quantity]]</f>
        <v>1680000</v>
      </c>
      <c r="P1216" s="3">
        <f>Table1[[#This Row],[Revenue]]-Table1[[#This Row],[COGS]]</f>
        <v>420000</v>
      </c>
      <c r="Q1216" s="1">
        <v>1215</v>
      </c>
    </row>
    <row r="1217" spans="1:17">
      <c r="A1217" t="s">
        <v>154</v>
      </c>
      <c r="B1217" t="str">
        <f>TEXT(Table1[[#This Row],[Date]],"MMMM")</f>
        <v>February</v>
      </c>
      <c r="C1217" t="str">
        <f>TEXT(Table1[[#This Row],[Date]],"DDDD")</f>
        <v>Saturday</v>
      </c>
      <c r="D1217" t="s">
        <v>35</v>
      </c>
      <c r="E1217" t="s">
        <v>45</v>
      </c>
      <c r="F1217" t="s">
        <v>29</v>
      </c>
      <c r="G1217" t="s">
        <v>30</v>
      </c>
      <c r="H1217" t="s">
        <v>46</v>
      </c>
      <c r="I1217" t="s">
        <v>39</v>
      </c>
      <c r="J1217" s="3">
        <v>60000</v>
      </c>
      <c r="K1217">
        <v>5</v>
      </c>
      <c r="L1217" t="s">
        <v>33</v>
      </c>
      <c r="M1217" s="3">
        <v>48000</v>
      </c>
      <c r="N1217" s="3">
        <f>Table1[[#This Row],[Unit Price]]*Table1[[#This Row],[Quantity]]</f>
        <v>300000</v>
      </c>
      <c r="O1217" s="3">
        <f>Table1[[#This Row],[Cost Price]]*Table1[[#This Row],[Quantity]]</f>
        <v>240000</v>
      </c>
      <c r="P1217" s="3">
        <f>Table1[[#This Row],[Revenue]]-Table1[[#This Row],[COGS]]</f>
        <v>60000</v>
      </c>
      <c r="Q1217" s="1">
        <v>1216</v>
      </c>
    </row>
    <row r="1218" spans="1:17">
      <c r="A1218" t="s">
        <v>90</v>
      </c>
      <c r="B1218" t="str">
        <f>TEXT(Table1[[#This Row],[Date]],"MMMM")</f>
        <v>February</v>
      </c>
      <c r="C1218" t="str">
        <f>TEXT(Table1[[#This Row],[Date]],"DDDD")</f>
        <v>Tuesday</v>
      </c>
      <c r="D1218" t="s">
        <v>44</v>
      </c>
      <c r="E1218" t="s">
        <v>28</v>
      </c>
      <c r="F1218" t="s">
        <v>41</v>
      </c>
      <c r="G1218" t="s">
        <v>30</v>
      </c>
      <c r="H1218" t="s">
        <v>71</v>
      </c>
      <c r="I1218" t="s">
        <v>51</v>
      </c>
      <c r="J1218" s="3">
        <v>250000</v>
      </c>
      <c r="K1218">
        <v>10</v>
      </c>
      <c r="L1218" t="s">
        <v>42</v>
      </c>
      <c r="M1218" s="3">
        <v>200000</v>
      </c>
      <c r="N1218" s="3">
        <f>Table1[[#This Row],[Unit Price]]*Table1[[#This Row],[Quantity]]</f>
        <v>2500000</v>
      </c>
      <c r="O1218" s="3">
        <f>Table1[[#This Row],[Cost Price]]*Table1[[#This Row],[Quantity]]</f>
        <v>2000000</v>
      </c>
      <c r="P1218" s="3">
        <f>Table1[[#This Row],[Revenue]]-Table1[[#This Row],[COGS]]</f>
        <v>500000</v>
      </c>
      <c r="Q1218" s="1">
        <v>1217</v>
      </c>
    </row>
    <row r="1219" spans="1:17">
      <c r="A1219" t="s">
        <v>137</v>
      </c>
      <c r="B1219" t="str">
        <f>TEXT(Table1[[#This Row],[Date]],"MMMM")</f>
        <v>April</v>
      </c>
      <c r="C1219" t="str">
        <f>TEXT(Table1[[#This Row],[Date]],"DDDD")</f>
        <v>Wednesday</v>
      </c>
      <c r="D1219" t="s">
        <v>27</v>
      </c>
      <c r="E1219" t="s">
        <v>36</v>
      </c>
      <c r="F1219" t="s">
        <v>29</v>
      </c>
      <c r="G1219" t="s">
        <v>30</v>
      </c>
      <c r="H1219" t="s">
        <v>46</v>
      </c>
      <c r="I1219" t="s">
        <v>39</v>
      </c>
      <c r="J1219" s="3">
        <v>60000</v>
      </c>
      <c r="K1219">
        <v>3</v>
      </c>
      <c r="L1219" t="s">
        <v>42</v>
      </c>
      <c r="M1219" s="3">
        <v>48000</v>
      </c>
      <c r="N1219" s="3">
        <f>Table1[[#This Row],[Unit Price]]*Table1[[#This Row],[Quantity]]</f>
        <v>180000</v>
      </c>
      <c r="O1219" s="3">
        <f>Table1[[#This Row],[Cost Price]]*Table1[[#This Row],[Quantity]]</f>
        <v>144000</v>
      </c>
      <c r="P1219" s="3">
        <f>Table1[[#This Row],[Revenue]]-Table1[[#This Row],[COGS]]</f>
        <v>36000</v>
      </c>
      <c r="Q1219" s="1">
        <v>1218</v>
      </c>
    </row>
    <row r="1220" spans="1:17">
      <c r="A1220" t="s">
        <v>150</v>
      </c>
      <c r="B1220" t="str">
        <f>TEXT(Table1[[#This Row],[Date]],"MMMM")</f>
        <v>January</v>
      </c>
      <c r="C1220" t="str">
        <f>TEXT(Table1[[#This Row],[Date]],"DDDD")</f>
        <v>Sunday</v>
      </c>
      <c r="D1220" t="s">
        <v>27</v>
      </c>
      <c r="E1220" t="s">
        <v>53</v>
      </c>
      <c r="F1220" t="s">
        <v>41</v>
      </c>
      <c r="G1220" t="s">
        <v>30</v>
      </c>
      <c r="H1220" t="s">
        <v>73</v>
      </c>
      <c r="I1220" t="s">
        <v>39</v>
      </c>
      <c r="J1220" s="3">
        <v>220000</v>
      </c>
      <c r="K1220">
        <v>5</v>
      </c>
      <c r="L1220" t="s">
        <v>65</v>
      </c>
      <c r="M1220" s="3">
        <v>176000</v>
      </c>
      <c r="N1220" s="3">
        <f>Table1[[#This Row],[Unit Price]]*Table1[[#This Row],[Quantity]]</f>
        <v>1100000</v>
      </c>
      <c r="O1220" s="3">
        <f>Table1[[#This Row],[Cost Price]]*Table1[[#This Row],[Quantity]]</f>
        <v>880000</v>
      </c>
      <c r="P1220" s="3">
        <f>Table1[[#This Row],[Revenue]]-Table1[[#This Row],[COGS]]</f>
        <v>220000</v>
      </c>
      <c r="Q1220" s="1">
        <v>1219</v>
      </c>
    </row>
    <row r="1221" spans="1:17">
      <c r="A1221" t="s">
        <v>165</v>
      </c>
      <c r="B1221" t="str">
        <f>TEXT(Table1[[#This Row],[Date]],"MMMM")</f>
        <v>April</v>
      </c>
      <c r="C1221" t="str">
        <f>TEXT(Table1[[#This Row],[Date]],"DDDD")</f>
        <v>Sunday</v>
      </c>
      <c r="D1221" t="s">
        <v>44</v>
      </c>
      <c r="E1221" t="s">
        <v>28</v>
      </c>
      <c r="F1221" t="s">
        <v>41</v>
      </c>
      <c r="G1221" t="s">
        <v>37</v>
      </c>
      <c r="H1221" t="s">
        <v>67</v>
      </c>
      <c r="I1221" t="s">
        <v>51</v>
      </c>
      <c r="J1221" s="3">
        <v>420000</v>
      </c>
      <c r="K1221">
        <v>3</v>
      </c>
      <c r="L1221" t="s">
        <v>47</v>
      </c>
      <c r="M1221" s="3">
        <v>336000</v>
      </c>
      <c r="N1221" s="3">
        <f>Table1[[#This Row],[Unit Price]]*Table1[[#This Row],[Quantity]]</f>
        <v>1260000</v>
      </c>
      <c r="O1221" s="3">
        <f>Table1[[#This Row],[Cost Price]]*Table1[[#This Row],[Quantity]]</f>
        <v>1008000</v>
      </c>
      <c r="P1221" s="3">
        <f>Table1[[#This Row],[Revenue]]-Table1[[#This Row],[COGS]]</f>
        <v>252000</v>
      </c>
      <c r="Q1221" s="1">
        <v>1220</v>
      </c>
    </row>
    <row r="1222" spans="1:17">
      <c r="A1222" t="s">
        <v>68</v>
      </c>
      <c r="B1222" t="str">
        <f>TEXT(Table1[[#This Row],[Date]],"MMMM")</f>
        <v>March</v>
      </c>
      <c r="C1222" t="str">
        <f>TEXT(Table1[[#This Row],[Date]],"DDDD")</f>
        <v>Monday</v>
      </c>
      <c r="D1222" t="s">
        <v>27</v>
      </c>
      <c r="E1222" t="s">
        <v>36</v>
      </c>
      <c r="F1222" t="s">
        <v>41</v>
      </c>
      <c r="G1222" t="s">
        <v>37</v>
      </c>
      <c r="H1222" t="s">
        <v>46</v>
      </c>
      <c r="I1222" t="s">
        <v>39</v>
      </c>
      <c r="J1222" s="3">
        <v>60000</v>
      </c>
      <c r="K1222">
        <v>7</v>
      </c>
      <c r="L1222" t="s">
        <v>58</v>
      </c>
      <c r="M1222" s="3">
        <v>48000</v>
      </c>
      <c r="N1222" s="3">
        <f>Table1[[#This Row],[Unit Price]]*Table1[[#This Row],[Quantity]]</f>
        <v>420000</v>
      </c>
      <c r="O1222" s="3">
        <f>Table1[[#This Row],[Cost Price]]*Table1[[#This Row],[Quantity]]</f>
        <v>336000</v>
      </c>
      <c r="P1222" s="3">
        <f>Table1[[#This Row],[Revenue]]-Table1[[#This Row],[COGS]]</f>
        <v>84000</v>
      </c>
      <c r="Q1222" s="1">
        <v>1221</v>
      </c>
    </row>
    <row r="1223" spans="1:17">
      <c r="A1223" t="s">
        <v>75</v>
      </c>
      <c r="B1223" t="str">
        <f>TEXT(Table1[[#This Row],[Date]],"MMMM")</f>
        <v>March</v>
      </c>
      <c r="C1223" t="str">
        <f>TEXT(Table1[[#This Row],[Date]],"DDDD")</f>
        <v>Monday</v>
      </c>
      <c r="D1223" t="s">
        <v>27</v>
      </c>
      <c r="E1223" t="s">
        <v>28</v>
      </c>
      <c r="F1223" t="s">
        <v>29</v>
      </c>
      <c r="G1223" t="s">
        <v>30</v>
      </c>
      <c r="H1223" t="s">
        <v>73</v>
      </c>
      <c r="I1223" t="s">
        <v>39</v>
      </c>
      <c r="J1223" s="3">
        <v>220000</v>
      </c>
      <c r="K1223">
        <v>8</v>
      </c>
      <c r="L1223" t="s">
        <v>47</v>
      </c>
      <c r="M1223" s="3">
        <v>176000</v>
      </c>
      <c r="N1223" s="3">
        <f>Table1[[#This Row],[Unit Price]]*Table1[[#This Row],[Quantity]]</f>
        <v>1760000</v>
      </c>
      <c r="O1223" s="3">
        <f>Table1[[#This Row],[Cost Price]]*Table1[[#This Row],[Quantity]]</f>
        <v>1408000</v>
      </c>
      <c r="P1223" s="3">
        <f>Table1[[#This Row],[Revenue]]-Table1[[#This Row],[COGS]]</f>
        <v>352000</v>
      </c>
      <c r="Q1223" s="1">
        <v>1222</v>
      </c>
    </row>
    <row r="1224" spans="1:17">
      <c r="A1224" t="s">
        <v>76</v>
      </c>
      <c r="B1224" t="str">
        <f>TEXT(Table1[[#This Row],[Date]],"MMMM")</f>
        <v>May</v>
      </c>
      <c r="C1224" t="str">
        <f>TEXT(Table1[[#This Row],[Date]],"DDDD")</f>
        <v>Thursday</v>
      </c>
      <c r="D1224" t="s">
        <v>27</v>
      </c>
      <c r="E1224" t="s">
        <v>53</v>
      </c>
      <c r="F1224" t="s">
        <v>41</v>
      </c>
      <c r="G1224" t="s">
        <v>37</v>
      </c>
      <c r="H1224" t="s">
        <v>71</v>
      </c>
      <c r="I1224" t="s">
        <v>51</v>
      </c>
      <c r="J1224" s="3">
        <v>250000</v>
      </c>
      <c r="K1224">
        <v>6</v>
      </c>
      <c r="L1224" t="s">
        <v>65</v>
      </c>
      <c r="M1224" s="3">
        <v>200000</v>
      </c>
      <c r="N1224" s="3">
        <f>Table1[[#This Row],[Unit Price]]*Table1[[#This Row],[Quantity]]</f>
        <v>1500000</v>
      </c>
      <c r="O1224" s="3">
        <f>Table1[[#This Row],[Cost Price]]*Table1[[#This Row],[Quantity]]</f>
        <v>1200000</v>
      </c>
      <c r="P1224" s="3">
        <f>Table1[[#This Row],[Revenue]]-Table1[[#This Row],[COGS]]</f>
        <v>300000</v>
      </c>
      <c r="Q1224" s="1">
        <v>1223</v>
      </c>
    </row>
    <row r="1225" spans="1:17">
      <c r="A1225" t="s">
        <v>155</v>
      </c>
      <c r="B1225" t="str">
        <f>TEXT(Table1[[#This Row],[Date]],"MMMM")</f>
        <v>April</v>
      </c>
      <c r="C1225" t="str">
        <f>TEXT(Table1[[#This Row],[Date]],"DDDD")</f>
        <v>Thursday</v>
      </c>
      <c r="D1225" t="s">
        <v>27</v>
      </c>
      <c r="E1225" t="s">
        <v>36</v>
      </c>
      <c r="F1225" t="s">
        <v>41</v>
      </c>
      <c r="G1225" t="s">
        <v>30</v>
      </c>
      <c r="H1225" t="s">
        <v>62</v>
      </c>
      <c r="I1225" t="s">
        <v>51</v>
      </c>
      <c r="J1225" s="3">
        <v>150000</v>
      </c>
      <c r="K1225">
        <v>5</v>
      </c>
      <c r="L1225" t="s">
        <v>47</v>
      </c>
      <c r="M1225" s="3">
        <v>120000</v>
      </c>
      <c r="N1225" s="3">
        <f>Table1[[#This Row],[Unit Price]]*Table1[[#This Row],[Quantity]]</f>
        <v>750000</v>
      </c>
      <c r="O1225" s="3">
        <f>Table1[[#This Row],[Cost Price]]*Table1[[#This Row],[Quantity]]</f>
        <v>600000</v>
      </c>
      <c r="P1225" s="3">
        <f>Table1[[#This Row],[Revenue]]-Table1[[#This Row],[COGS]]</f>
        <v>150000</v>
      </c>
      <c r="Q1225" s="1">
        <v>1224</v>
      </c>
    </row>
    <row r="1226" spans="1:17">
      <c r="A1226" t="s">
        <v>63</v>
      </c>
      <c r="B1226" t="str">
        <f>TEXT(Table1[[#This Row],[Date]],"MMMM")</f>
        <v>January</v>
      </c>
      <c r="C1226" t="str">
        <f>TEXT(Table1[[#This Row],[Date]],"DDDD")</f>
        <v>Monday</v>
      </c>
      <c r="D1226" t="s">
        <v>49</v>
      </c>
      <c r="E1226" t="s">
        <v>36</v>
      </c>
      <c r="F1226" t="s">
        <v>41</v>
      </c>
      <c r="G1226" t="s">
        <v>30</v>
      </c>
      <c r="H1226" t="s">
        <v>31</v>
      </c>
      <c r="I1226" t="s">
        <v>32</v>
      </c>
      <c r="J1226" s="3">
        <v>85000</v>
      </c>
      <c r="K1226">
        <v>2</v>
      </c>
      <c r="L1226" t="s">
        <v>58</v>
      </c>
      <c r="M1226" s="3">
        <v>68000</v>
      </c>
      <c r="N1226" s="3">
        <f>Table1[[#This Row],[Unit Price]]*Table1[[#This Row],[Quantity]]</f>
        <v>170000</v>
      </c>
      <c r="O1226" s="3">
        <f>Table1[[#This Row],[Cost Price]]*Table1[[#This Row],[Quantity]]</f>
        <v>136000</v>
      </c>
      <c r="P1226" s="3">
        <f>Table1[[#This Row],[Revenue]]-Table1[[#This Row],[COGS]]</f>
        <v>34000</v>
      </c>
      <c r="Q1226" s="1">
        <v>1225</v>
      </c>
    </row>
    <row r="1227" spans="1:17">
      <c r="A1227" t="s">
        <v>144</v>
      </c>
      <c r="B1227" t="str">
        <f>TEXT(Table1[[#This Row],[Date]],"MMMM")</f>
        <v>February</v>
      </c>
      <c r="C1227" t="str">
        <f>TEXT(Table1[[#This Row],[Date]],"DDDD")</f>
        <v>Friday</v>
      </c>
      <c r="D1227" t="s">
        <v>44</v>
      </c>
      <c r="E1227" t="s">
        <v>28</v>
      </c>
      <c r="F1227" t="s">
        <v>41</v>
      </c>
      <c r="G1227" t="s">
        <v>37</v>
      </c>
      <c r="H1227" t="s">
        <v>31</v>
      </c>
      <c r="I1227" t="s">
        <v>32</v>
      </c>
      <c r="J1227" s="3">
        <v>85000</v>
      </c>
      <c r="K1227">
        <v>6</v>
      </c>
      <c r="L1227" t="s">
        <v>42</v>
      </c>
      <c r="M1227" s="3">
        <v>68000</v>
      </c>
      <c r="N1227" s="3">
        <f>Table1[[#This Row],[Unit Price]]*Table1[[#This Row],[Quantity]]</f>
        <v>510000</v>
      </c>
      <c r="O1227" s="3">
        <f>Table1[[#This Row],[Cost Price]]*Table1[[#This Row],[Quantity]]</f>
        <v>408000</v>
      </c>
      <c r="P1227" s="3">
        <f>Table1[[#This Row],[Revenue]]-Table1[[#This Row],[COGS]]</f>
        <v>102000</v>
      </c>
      <c r="Q1227" s="1">
        <v>1226</v>
      </c>
    </row>
    <row r="1228" spans="1:17">
      <c r="A1228" t="s">
        <v>160</v>
      </c>
      <c r="B1228" t="str">
        <f>TEXT(Table1[[#This Row],[Date]],"MMMM")</f>
        <v>January</v>
      </c>
      <c r="C1228" t="str">
        <f>TEXT(Table1[[#This Row],[Date]],"DDDD")</f>
        <v>Saturday</v>
      </c>
      <c r="D1228" t="s">
        <v>27</v>
      </c>
      <c r="E1228" t="s">
        <v>53</v>
      </c>
      <c r="F1228" t="s">
        <v>41</v>
      </c>
      <c r="G1228" t="s">
        <v>30</v>
      </c>
      <c r="H1228" t="s">
        <v>62</v>
      </c>
      <c r="I1228" t="s">
        <v>51</v>
      </c>
      <c r="J1228" s="3">
        <v>150000</v>
      </c>
      <c r="K1228">
        <v>5</v>
      </c>
      <c r="L1228" t="s">
        <v>58</v>
      </c>
      <c r="M1228" s="3">
        <v>120000</v>
      </c>
      <c r="N1228" s="3">
        <f>Table1[[#This Row],[Unit Price]]*Table1[[#This Row],[Quantity]]</f>
        <v>750000</v>
      </c>
      <c r="O1228" s="3">
        <f>Table1[[#This Row],[Cost Price]]*Table1[[#This Row],[Quantity]]</f>
        <v>600000</v>
      </c>
      <c r="P1228" s="3">
        <f>Table1[[#This Row],[Revenue]]-Table1[[#This Row],[COGS]]</f>
        <v>150000</v>
      </c>
      <c r="Q1228" s="1">
        <v>1227</v>
      </c>
    </row>
    <row r="1229" spans="1:17">
      <c r="A1229" t="s">
        <v>145</v>
      </c>
      <c r="B1229" t="str">
        <f>TEXT(Table1[[#This Row],[Date]],"MMMM")</f>
        <v>January</v>
      </c>
      <c r="C1229" t="str">
        <f>TEXT(Table1[[#This Row],[Date]],"DDDD")</f>
        <v>Friday</v>
      </c>
      <c r="D1229" t="s">
        <v>27</v>
      </c>
      <c r="E1229" t="s">
        <v>45</v>
      </c>
      <c r="F1229" t="s">
        <v>41</v>
      </c>
      <c r="G1229" t="s">
        <v>37</v>
      </c>
      <c r="H1229" t="s">
        <v>67</v>
      </c>
      <c r="I1229" t="s">
        <v>51</v>
      </c>
      <c r="J1229" s="3">
        <v>420000</v>
      </c>
      <c r="K1229">
        <v>4</v>
      </c>
      <c r="L1229" t="s">
        <v>65</v>
      </c>
      <c r="M1229" s="3">
        <v>336000</v>
      </c>
      <c r="N1229" s="3">
        <f>Table1[[#This Row],[Unit Price]]*Table1[[#This Row],[Quantity]]</f>
        <v>1680000</v>
      </c>
      <c r="O1229" s="3">
        <f>Table1[[#This Row],[Cost Price]]*Table1[[#This Row],[Quantity]]</f>
        <v>1344000</v>
      </c>
      <c r="P1229" s="3">
        <f>Table1[[#This Row],[Revenue]]-Table1[[#This Row],[COGS]]</f>
        <v>336000</v>
      </c>
      <c r="Q1229" s="1">
        <v>1228</v>
      </c>
    </row>
    <row r="1230" spans="1:17">
      <c r="A1230" t="s">
        <v>138</v>
      </c>
      <c r="B1230" t="str">
        <f>TEXT(Table1[[#This Row],[Date]],"MMMM")</f>
        <v>April</v>
      </c>
      <c r="C1230" t="str">
        <f>TEXT(Table1[[#This Row],[Date]],"DDDD")</f>
        <v>Monday</v>
      </c>
      <c r="D1230" t="s">
        <v>35</v>
      </c>
      <c r="E1230" t="s">
        <v>45</v>
      </c>
      <c r="F1230" t="s">
        <v>41</v>
      </c>
      <c r="G1230" t="s">
        <v>37</v>
      </c>
      <c r="H1230" t="s">
        <v>50</v>
      </c>
      <c r="I1230" t="s">
        <v>51</v>
      </c>
      <c r="J1230" s="3">
        <v>300000</v>
      </c>
      <c r="K1230">
        <v>6</v>
      </c>
      <c r="L1230" t="s">
        <v>69</v>
      </c>
      <c r="M1230" s="3">
        <v>240000</v>
      </c>
      <c r="N1230" s="3">
        <f>Table1[[#This Row],[Unit Price]]*Table1[[#This Row],[Quantity]]</f>
        <v>1800000</v>
      </c>
      <c r="O1230" s="3">
        <f>Table1[[#This Row],[Cost Price]]*Table1[[#This Row],[Quantity]]</f>
        <v>1440000</v>
      </c>
      <c r="P1230" s="3">
        <f>Table1[[#This Row],[Revenue]]-Table1[[#This Row],[COGS]]</f>
        <v>360000</v>
      </c>
      <c r="Q1230" s="1">
        <v>1229</v>
      </c>
    </row>
    <row r="1231" spans="1:17">
      <c r="A1231" t="s">
        <v>177</v>
      </c>
      <c r="B1231" t="str">
        <f>TEXT(Table1[[#This Row],[Date]],"MMMM")</f>
        <v>March</v>
      </c>
      <c r="C1231" t="str">
        <f>TEXT(Table1[[#This Row],[Date]],"DDDD")</f>
        <v>Wednesday</v>
      </c>
      <c r="D1231" t="s">
        <v>49</v>
      </c>
      <c r="E1231" t="s">
        <v>28</v>
      </c>
      <c r="F1231" t="s">
        <v>41</v>
      </c>
      <c r="G1231" t="s">
        <v>30</v>
      </c>
      <c r="H1231" t="s">
        <v>46</v>
      </c>
      <c r="I1231" t="s">
        <v>39</v>
      </c>
      <c r="J1231" s="3">
        <v>60000</v>
      </c>
      <c r="K1231">
        <v>2</v>
      </c>
      <c r="L1231" t="s">
        <v>65</v>
      </c>
      <c r="M1231" s="3">
        <v>48000</v>
      </c>
      <c r="N1231" s="3">
        <f>Table1[[#This Row],[Unit Price]]*Table1[[#This Row],[Quantity]]</f>
        <v>120000</v>
      </c>
      <c r="O1231" s="3">
        <f>Table1[[#This Row],[Cost Price]]*Table1[[#This Row],[Quantity]]</f>
        <v>96000</v>
      </c>
      <c r="P1231" s="3">
        <f>Table1[[#This Row],[Revenue]]-Table1[[#This Row],[COGS]]</f>
        <v>24000</v>
      </c>
      <c r="Q1231" s="1">
        <v>1230</v>
      </c>
    </row>
    <row r="1232" spans="1:17">
      <c r="A1232" t="s">
        <v>63</v>
      </c>
      <c r="B1232" t="str">
        <f>TEXT(Table1[[#This Row],[Date]],"MMMM")</f>
        <v>January</v>
      </c>
      <c r="C1232" t="str">
        <f>TEXT(Table1[[#This Row],[Date]],"DDDD")</f>
        <v>Monday</v>
      </c>
      <c r="D1232" t="s">
        <v>49</v>
      </c>
      <c r="E1232" t="s">
        <v>53</v>
      </c>
      <c r="F1232" t="s">
        <v>41</v>
      </c>
      <c r="G1232" t="s">
        <v>30</v>
      </c>
      <c r="H1232" t="s">
        <v>31</v>
      </c>
      <c r="I1232" t="s">
        <v>32</v>
      </c>
      <c r="J1232" s="3">
        <v>85000</v>
      </c>
      <c r="K1232">
        <v>5</v>
      </c>
      <c r="L1232" t="s">
        <v>58</v>
      </c>
      <c r="M1232" s="3">
        <v>68000</v>
      </c>
      <c r="N1232" s="3">
        <f>Table1[[#This Row],[Unit Price]]*Table1[[#This Row],[Quantity]]</f>
        <v>425000</v>
      </c>
      <c r="O1232" s="3">
        <f>Table1[[#This Row],[Cost Price]]*Table1[[#This Row],[Quantity]]</f>
        <v>340000</v>
      </c>
      <c r="P1232" s="3">
        <f>Table1[[#This Row],[Revenue]]-Table1[[#This Row],[COGS]]</f>
        <v>85000</v>
      </c>
      <c r="Q1232" s="1">
        <v>1231</v>
      </c>
    </row>
    <row r="1233" spans="1:17">
      <c r="A1233" t="s">
        <v>167</v>
      </c>
      <c r="B1233" t="str">
        <f>TEXT(Table1[[#This Row],[Date]],"MMMM")</f>
        <v>April</v>
      </c>
      <c r="C1233" t="str">
        <f>TEXT(Table1[[#This Row],[Date]],"DDDD")</f>
        <v>Wednesday</v>
      </c>
      <c r="D1233" t="s">
        <v>27</v>
      </c>
      <c r="E1233" t="s">
        <v>53</v>
      </c>
      <c r="F1233" t="s">
        <v>29</v>
      </c>
      <c r="G1233" t="s">
        <v>37</v>
      </c>
      <c r="H1233" t="s">
        <v>46</v>
      </c>
      <c r="I1233" t="s">
        <v>39</v>
      </c>
      <c r="J1233" s="3">
        <v>60000</v>
      </c>
      <c r="K1233">
        <v>3</v>
      </c>
      <c r="L1233" t="s">
        <v>42</v>
      </c>
      <c r="M1233" s="3">
        <v>48000</v>
      </c>
      <c r="N1233" s="3">
        <f>Table1[[#This Row],[Unit Price]]*Table1[[#This Row],[Quantity]]</f>
        <v>180000</v>
      </c>
      <c r="O1233" s="3">
        <f>Table1[[#This Row],[Cost Price]]*Table1[[#This Row],[Quantity]]</f>
        <v>144000</v>
      </c>
      <c r="P1233" s="3">
        <f>Table1[[#This Row],[Revenue]]-Table1[[#This Row],[COGS]]</f>
        <v>36000</v>
      </c>
      <c r="Q1233" s="1">
        <v>1232</v>
      </c>
    </row>
    <row r="1234" spans="1:17">
      <c r="A1234" t="s">
        <v>72</v>
      </c>
      <c r="B1234" t="str">
        <f>TEXT(Table1[[#This Row],[Date]],"MMMM")</f>
        <v>February</v>
      </c>
      <c r="C1234" t="str">
        <f>TEXT(Table1[[#This Row],[Date]],"DDDD")</f>
        <v>Wednesday</v>
      </c>
      <c r="D1234" t="s">
        <v>49</v>
      </c>
      <c r="E1234" t="s">
        <v>53</v>
      </c>
      <c r="F1234" t="s">
        <v>41</v>
      </c>
      <c r="G1234" t="s">
        <v>30</v>
      </c>
      <c r="H1234" t="s">
        <v>31</v>
      </c>
      <c r="I1234" t="s">
        <v>32</v>
      </c>
      <c r="J1234" s="3">
        <v>85000</v>
      </c>
      <c r="K1234">
        <v>7</v>
      </c>
      <c r="L1234" t="s">
        <v>58</v>
      </c>
      <c r="M1234" s="3">
        <v>68000</v>
      </c>
      <c r="N1234" s="3">
        <f>Table1[[#This Row],[Unit Price]]*Table1[[#This Row],[Quantity]]</f>
        <v>595000</v>
      </c>
      <c r="O1234" s="3">
        <f>Table1[[#This Row],[Cost Price]]*Table1[[#This Row],[Quantity]]</f>
        <v>476000</v>
      </c>
      <c r="P1234" s="3">
        <f>Table1[[#This Row],[Revenue]]-Table1[[#This Row],[COGS]]</f>
        <v>119000</v>
      </c>
      <c r="Q1234" s="1">
        <v>1233</v>
      </c>
    </row>
    <row r="1235" spans="1:17">
      <c r="A1235" t="s">
        <v>77</v>
      </c>
      <c r="B1235" t="str">
        <f>TEXT(Table1[[#This Row],[Date]],"MMMM")</f>
        <v>April</v>
      </c>
      <c r="C1235" t="str">
        <f>TEXT(Table1[[#This Row],[Date]],"DDDD")</f>
        <v>Friday</v>
      </c>
      <c r="D1235" t="s">
        <v>49</v>
      </c>
      <c r="E1235" t="s">
        <v>36</v>
      </c>
      <c r="F1235" t="s">
        <v>41</v>
      </c>
      <c r="G1235" t="s">
        <v>30</v>
      </c>
      <c r="H1235" t="s">
        <v>54</v>
      </c>
      <c r="I1235" t="s">
        <v>39</v>
      </c>
      <c r="J1235" s="3">
        <v>180000</v>
      </c>
      <c r="K1235">
        <v>5</v>
      </c>
      <c r="L1235" t="s">
        <v>69</v>
      </c>
      <c r="M1235" s="3">
        <v>144000</v>
      </c>
      <c r="N1235" s="3">
        <f>Table1[[#This Row],[Unit Price]]*Table1[[#This Row],[Quantity]]</f>
        <v>900000</v>
      </c>
      <c r="O1235" s="3">
        <f>Table1[[#This Row],[Cost Price]]*Table1[[#This Row],[Quantity]]</f>
        <v>720000</v>
      </c>
      <c r="P1235" s="3">
        <f>Table1[[#This Row],[Revenue]]-Table1[[#This Row],[COGS]]</f>
        <v>180000</v>
      </c>
      <c r="Q1235" s="1">
        <v>1234</v>
      </c>
    </row>
    <row r="1236" spans="1:17">
      <c r="A1236" t="s">
        <v>135</v>
      </c>
      <c r="B1236" t="str">
        <f>TEXT(Table1[[#This Row],[Date]],"MMMM")</f>
        <v>March</v>
      </c>
      <c r="C1236" t="str">
        <f>TEXT(Table1[[#This Row],[Date]],"DDDD")</f>
        <v>Sunday</v>
      </c>
      <c r="D1236" t="s">
        <v>35</v>
      </c>
      <c r="E1236" t="s">
        <v>36</v>
      </c>
      <c r="F1236" t="s">
        <v>29</v>
      </c>
      <c r="G1236" t="s">
        <v>30</v>
      </c>
      <c r="H1236" t="s">
        <v>67</v>
      </c>
      <c r="I1236" t="s">
        <v>51</v>
      </c>
      <c r="J1236" s="3">
        <v>420000</v>
      </c>
      <c r="K1236">
        <v>5</v>
      </c>
      <c r="L1236" t="s">
        <v>47</v>
      </c>
      <c r="M1236" s="3">
        <v>336000</v>
      </c>
      <c r="N1236" s="3">
        <f>Table1[[#This Row],[Unit Price]]*Table1[[#This Row],[Quantity]]</f>
        <v>2100000</v>
      </c>
      <c r="O1236" s="3">
        <f>Table1[[#This Row],[Cost Price]]*Table1[[#This Row],[Quantity]]</f>
        <v>1680000</v>
      </c>
      <c r="P1236" s="3">
        <f>Table1[[#This Row],[Revenue]]-Table1[[#This Row],[COGS]]</f>
        <v>420000</v>
      </c>
      <c r="Q1236" s="1">
        <v>1235</v>
      </c>
    </row>
    <row r="1237" spans="1:17">
      <c r="A1237" t="s">
        <v>108</v>
      </c>
      <c r="B1237" t="str">
        <f>TEXT(Table1[[#This Row],[Date]],"MMMM")</f>
        <v>April</v>
      </c>
      <c r="C1237" t="str">
        <f>TEXT(Table1[[#This Row],[Date]],"DDDD")</f>
        <v>Thursday</v>
      </c>
      <c r="D1237" t="s">
        <v>35</v>
      </c>
      <c r="E1237" t="s">
        <v>53</v>
      </c>
      <c r="F1237" t="s">
        <v>41</v>
      </c>
      <c r="G1237" t="s">
        <v>37</v>
      </c>
      <c r="H1237" t="s">
        <v>31</v>
      </c>
      <c r="I1237" t="s">
        <v>32</v>
      </c>
      <c r="J1237" s="3">
        <v>85000</v>
      </c>
      <c r="K1237">
        <v>6</v>
      </c>
      <c r="L1237" t="s">
        <v>47</v>
      </c>
      <c r="M1237" s="3">
        <v>68000</v>
      </c>
      <c r="N1237" s="3">
        <f>Table1[[#This Row],[Unit Price]]*Table1[[#This Row],[Quantity]]</f>
        <v>510000</v>
      </c>
      <c r="O1237" s="3">
        <f>Table1[[#This Row],[Cost Price]]*Table1[[#This Row],[Quantity]]</f>
        <v>408000</v>
      </c>
      <c r="P1237" s="3">
        <f>Table1[[#This Row],[Revenue]]-Table1[[#This Row],[COGS]]</f>
        <v>102000</v>
      </c>
      <c r="Q1237" s="1">
        <v>1236</v>
      </c>
    </row>
    <row r="1238" spans="1:17">
      <c r="A1238" t="s">
        <v>103</v>
      </c>
      <c r="B1238" t="str">
        <f>TEXT(Table1[[#This Row],[Date]],"MMMM")</f>
        <v>March</v>
      </c>
      <c r="C1238" t="str">
        <f>TEXT(Table1[[#This Row],[Date]],"DDDD")</f>
        <v>Wednesday</v>
      </c>
      <c r="D1238" t="s">
        <v>49</v>
      </c>
      <c r="E1238" t="s">
        <v>28</v>
      </c>
      <c r="F1238" t="s">
        <v>29</v>
      </c>
      <c r="G1238" t="s">
        <v>37</v>
      </c>
      <c r="H1238" t="s">
        <v>67</v>
      </c>
      <c r="I1238" t="s">
        <v>51</v>
      </c>
      <c r="J1238" s="3">
        <v>420000</v>
      </c>
      <c r="K1238">
        <v>7</v>
      </c>
      <c r="L1238" t="s">
        <v>33</v>
      </c>
      <c r="M1238" s="3">
        <v>336000</v>
      </c>
      <c r="N1238" s="3">
        <f>Table1[[#This Row],[Unit Price]]*Table1[[#This Row],[Quantity]]</f>
        <v>2940000</v>
      </c>
      <c r="O1238" s="3">
        <f>Table1[[#This Row],[Cost Price]]*Table1[[#This Row],[Quantity]]</f>
        <v>2352000</v>
      </c>
      <c r="P1238" s="3">
        <f>Table1[[#This Row],[Revenue]]-Table1[[#This Row],[COGS]]</f>
        <v>588000</v>
      </c>
      <c r="Q1238" s="1">
        <v>1237</v>
      </c>
    </row>
    <row r="1239" spans="1:17">
      <c r="A1239" t="s">
        <v>159</v>
      </c>
      <c r="B1239" t="str">
        <f>TEXT(Table1[[#This Row],[Date]],"MMMM")</f>
        <v>February</v>
      </c>
      <c r="C1239" t="str">
        <f>TEXT(Table1[[#This Row],[Date]],"DDDD")</f>
        <v>Sunday</v>
      </c>
      <c r="D1239" t="s">
        <v>44</v>
      </c>
      <c r="E1239" t="s">
        <v>53</v>
      </c>
      <c r="F1239" t="s">
        <v>41</v>
      </c>
      <c r="G1239" t="s">
        <v>30</v>
      </c>
      <c r="H1239" t="s">
        <v>67</v>
      </c>
      <c r="I1239" t="s">
        <v>51</v>
      </c>
      <c r="J1239" s="3">
        <v>420000</v>
      </c>
      <c r="K1239">
        <v>9</v>
      </c>
      <c r="L1239" t="s">
        <v>69</v>
      </c>
      <c r="M1239" s="3">
        <v>336000</v>
      </c>
      <c r="N1239" s="3">
        <f>Table1[[#This Row],[Unit Price]]*Table1[[#This Row],[Quantity]]</f>
        <v>3780000</v>
      </c>
      <c r="O1239" s="3">
        <f>Table1[[#This Row],[Cost Price]]*Table1[[#This Row],[Quantity]]</f>
        <v>3024000</v>
      </c>
      <c r="P1239" s="3">
        <f>Table1[[#This Row],[Revenue]]-Table1[[#This Row],[COGS]]</f>
        <v>756000</v>
      </c>
      <c r="Q1239" s="1">
        <v>1238</v>
      </c>
    </row>
    <row r="1240" spans="1:17">
      <c r="A1240" t="s">
        <v>90</v>
      </c>
      <c r="B1240" t="str">
        <f>TEXT(Table1[[#This Row],[Date]],"MMMM")</f>
        <v>February</v>
      </c>
      <c r="C1240" t="str">
        <f>TEXT(Table1[[#This Row],[Date]],"DDDD")</f>
        <v>Tuesday</v>
      </c>
      <c r="D1240" t="s">
        <v>27</v>
      </c>
      <c r="E1240" t="s">
        <v>36</v>
      </c>
      <c r="F1240" t="s">
        <v>41</v>
      </c>
      <c r="G1240" t="s">
        <v>30</v>
      </c>
      <c r="H1240" t="s">
        <v>50</v>
      </c>
      <c r="I1240" t="s">
        <v>51</v>
      </c>
      <c r="J1240" s="3">
        <v>300000</v>
      </c>
      <c r="K1240">
        <v>3</v>
      </c>
      <c r="L1240" t="s">
        <v>65</v>
      </c>
      <c r="M1240" s="3">
        <v>240000</v>
      </c>
      <c r="N1240" s="3">
        <f>Table1[[#This Row],[Unit Price]]*Table1[[#This Row],[Quantity]]</f>
        <v>900000</v>
      </c>
      <c r="O1240" s="3">
        <f>Table1[[#This Row],[Cost Price]]*Table1[[#This Row],[Quantity]]</f>
        <v>720000</v>
      </c>
      <c r="P1240" s="3">
        <f>Table1[[#This Row],[Revenue]]-Table1[[#This Row],[COGS]]</f>
        <v>180000</v>
      </c>
      <c r="Q1240" s="1">
        <v>1239</v>
      </c>
    </row>
    <row r="1241" spans="1:17">
      <c r="A1241" t="s">
        <v>145</v>
      </c>
      <c r="B1241" t="str">
        <f>TEXT(Table1[[#This Row],[Date]],"MMMM")</f>
        <v>January</v>
      </c>
      <c r="C1241" t="str">
        <f>TEXT(Table1[[#This Row],[Date]],"DDDD")</f>
        <v>Friday</v>
      </c>
      <c r="D1241" t="s">
        <v>35</v>
      </c>
      <c r="E1241" t="s">
        <v>45</v>
      </c>
      <c r="F1241" t="s">
        <v>29</v>
      </c>
      <c r="G1241" t="s">
        <v>30</v>
      </c>
      <c r="H1241" t="s">
        <v>31</v>
      </c>
      <c r="I1241" t="s">
        <v>32</v>
      </c>
      <c r="J1241" s="3">
        <v>85000</v>
      </c>
      <c r="K1241">
        <v>9</v>
      </c>
      <c r="L1241" t="s">
        <v>65</v>
      </c>
      <c r="M1241" s="3">
        <v>68000</v>
      </c>
      <c r="N1241" s="3">
        <f>Table1[[#This Row],[Unit Price]]*Table1[[#This Row],[Quantity]]</f>
        <v>765000</v>
      </c>
      <c r="O1241" s="3">
        <f>Table1[[#This Row],[Cost Price]]*Table1[[#This Row],[Quantity]]</f>
        <v>612000</v>
      </c>
      <c r="P1241" s="3">
        <f>Table1[[#This Row],[Revenue]]-Table1[[#This Row],[COGS]]</f>
        <v>153000</v>
      </c>
      <c r="Q1241" s="1">
        <v>1240</v>
      </c>
    </row>
    <row r="1242" spans="1:17">
      <c r="A1242" t="s">
        <v>141</v>
      </c>
      <c r="B1242" t="str">
        <f>TEXT(Table1[[#This Row],[Date]],"MMMM")</f>
        <v>March</v>
      </c>
      <c r="C1242" t="str">
        <f>TEXT(Table1[[#This Row],[Date]],"DDDD")</f>
        <v>Sunday</v>
      </c>
      <c r="D1242" t="s">
        <v>44</v>
      </c>
      <c r="E1242" t="s">
        <v>28</v>
      </c>
      <c r="F1242" t="s">
        <v>41</v>
      </c>
      <c r="G1242" t="s">
        <v>37</v>
      </c>
      <c r="H1242" t="s">
        <v>73</v>
      </c>
      <c r="I1242" t="s">
        <v>39</v>
      </c>
      <c r="J1242" s="3">
        <v>220000</v>
      </c>
      <c r="K1242">
        <v>7</v>
      </c>
      <c r="L1242" t="s">
        <v>58</v>
      </c>
      <c r="M1242" s="3">
        <v>176000</v>
      </c>
      <c r="N1242" s="3">
        <f>Table1[[#This Row],[Unit Price]]*Table1[[#This Row],[Quantity]]</f>
        <v>1540000</v>
      </c>
      <c r="O1242" s="3">
        <f>Table1[[#This Row],[Cost Price]]*Table1[[#This Row],[Quantity]]</f>
        <v>1232000</v>
      </c>
      <c r="P1242" s="3">
        <f>Table1[[#This Row],[Revenue]]-Table1[[#This Row],[COGS]]</f>
        <v>308000</v>
      </c>
      <c r="Q1242" s="1">
        <v>1241</v>
      </c>
    </row>
    <row r="1243" spans="1:17">
      <c r="A1243" t="s">
        <v>142</v>
      </c>
      <c r="B1243" t="str">
        <f>TEXT(Table1[[#This Row],[Date]],"MMMM")</f>
        <v>April</v>
      </c>
      <c r="C1243" t="str">
        <f>TEXT(Table1[[#This Row],[Date]],"DDDD")</f>
        <v>Monday</v>
      </c>
      <c r="D1243" t="s">
        <v>27</v>
      </c>
      <c r="E1243" t="s">
        <v>36</v>
      </c>
      <c r="F1243" t="s">
        <v>41</v>
      </c>
      <c r="G1243" t="s">
        <v>37</v>
      </c>
      <c r="H1243" t="s">
        <v>50</v>
      </c>
      <c r="I1243" t="s">
        <v>51</v>
      </c>
      <c r="J1243" s="3">
        <v>300000</v>
      </c>
      <c r="K1243">
        <v>10</v>
      </c>
      <c r="L1243" t="s">
        <v>33</v>
      </c>
      <c r="M1243" s="3">
        <v>240000</v>
      </c>
      <c r="N1243" s="3">
        <f>Table1[[#This Row],[Unit Price]]*Table1[[#This Row],[Quantity]]</f>
        <v>3000000</v>
      </c>
      <c r="O1243" s="3">
        <f>Table1[[#This Row],[Cost Price]]*Table1[[#This Row],[Quantity]]</f>
        <v>2400000</v>
      </c>
      <c r="P1243" s="3">
        <f>Table1[[#This Row],[Revenue]]-Table1[[#This Row],[COGS]]</f>
        <v>600000</v>
      </c>
      <c r="Q1243" s="1">
        <v>1242</v>
      </c>
    </row>
    <row r="1244" spans="1:17">
      <c r="A1244" t="s">
        <v>114</v>
      </c>
      <c r="B1244" t="str">
        <f>TEXT(Table1[[#This Row],[Date]],"MMMM")</f>
        <v>April</v>
      </c>
      <c r="C1244" t="str">
        <f>TEXT(Table1[[#This Row],[Date]],"DDDD")</f>
        <v>Sunday</v>
      </c>
      <c r="D1244" t="s">
        <v>27</v>
      </c>
      <c r="E1244" t="s">
        <v>28</v>
      </c>
      <c r="F1244" t="s">
        <v>29</v>
      </c>
      <c r="G1244" t="s">
        <v>37</v>
      </c>
      <c r="H1244" t="s">
        <v>31</v>
      </c>
      <c r="I1244" t="s">
        <v>32</v>
      </c>
      <c r="J1244" s="3">
        <v>85000</v>
      </c>
      <c r="K1244">
        <v>8</v>
      </c>
      <c r="L1244" t="s">
        <v>65</v>
      </c>
      <c r="M1244" s="3">
        <v>68000</v>
      </c>
      <c r="N1244" s="3">
        <f>Table1[[#This Row],[Unit Price]]*Table1[[#This Row],[Quantity]]</f>
        <v>680000</v>
      </c>
      <c r="O1244" s="3">
        <f>Table1[[#This Row],[Cost Price]]*Table1[[#This Row],[Quantity]]</f>
        <v>544000</v>
      </c>
      <c r="P1244" s="3">
        <f>Table1[[#This Row],[Revenue]]-Table1[[#This Row],[COGS]]</f>
        <v>136000</v>
      </c>
      <c r="Q1244" s="1">
        <v>1243</v>
      </c>
    </row>
    <row r="1245" spans="1:17">
      <c r="A1245" t="s">
        <v>86</v>
      </c>
      <c r="B1245" t="str">
        <f>TEXT(Table1[[#This Row],[Date]],"MMMM")</f>
        <v>February</v>
      </c>
      <c r="C1245" t="str">
        <f>TEXT(Table1[[#This Row],[Date]],"DDDD")</f>
        <v>Thursday</v>
      </c>
      <c r="D1245" t="s">
        <v>35</v>
      </c>
      <c r="E1245" t="s">
        <v>36</v>
      </c>
      <c r="F1245" t="s">
        <v>41</v>
      </c>
      <c r="G1245" t="s">
        <v>30</v>
      </c>
      <c r="H1245" t="s">
        <v>38</v>
      </c>
      <c r="I1245" t="s">
        <v>39</v>
      </c>
      <c r="J1245" s="3">
        <v>30000</v>
      </c>
      <c r="K1245">
        <v>3</v>
      </c>
      <c r="L1245" t="s">
        <v>65</v>
      </c>
      <c r="M1245" s="3">
        <v>24000</v>
      </c>
      <c r="N1245" s="3">
        <f>Table1[[#This Row],[Unit Price]]*Table1[[#This Row],[Quantity]]</f>
        <v>90000</v>
      </c>
      <c r="O1245" s="3">
        <f>Table1[[#This Row],[Cost Price]]*Table1[[#This Row],[Quantity]]</f>
        <v>72000</v>
      </c>
      <c r="P1245" s="3">
        <f>Table1[[#This Row],[Revenue]]-Table1[[#This Row],[COGS]]</f>
        <v>18000</v>
      </c>
      <c r="Q1245" s="1">
        <v>1244</v>
      </c>
    </row>
    <row r="1246" spans="1:17">
      <c r="A1246" t="s">
        <v>125</v>
      </c>
      <c r="B1246" t="str">
        <f>TEXT(Table1[[#This Row],[Date]],"MMMM")</f>
        <v>February</v>
      </c>
      <c r="C1246" t="str">
        <f>TEXT(Table1[[#This Row],[Date]],"DDDD")</f>
        <v>Tuesday</v>
      </c>
      <c r="D1246" t="s">
        <v>44</v>
      </c>
      <c r="E1246" t="s">
        <v>45</v>
      </c>
      <c r="F1246" t="s">
        <v>41</v>
      </c>
      <c r="G1246" t="s">
        <v>37</v>
      </c>
      <c r="H1246" t="s">
        <v>31</v>
      </c>
      <c r="I1246" t="s">
        <v>32</v>
      </c>
      <c r="J1246" s="3">
        <v>85000</v>
      </c>
      <c r="K1246">
        <v>8</v>
      </c>
      <c r="L1246" t="s">
        <v>58</v>
      </c>
      <c r="M1246" s="3">
        <v>68000</v>
      </c>
      <c r="N1246" s="3">
        <f>Table1[[#This Row],[Unit Price]]*Table1[[#This Row],[Quantity]]</f>
        <v>680000</v>
      </c>
      <c r="O1246" s="3">
        <f>Table1[[#This Row],[Cost Price]]*Table1[[#This Row],[Quantity]]</f>
        <v>544000</v>
      </c>
      <c r="P1246" s="3">
        <f>Table1[[#This Row],[Revenue]]-Table1[[#This Row],[COGS]]</f>
        <v>136000</v>
      </c>
      <c r="Q1246" s="1">
        <v>1245</v>
      </c>
    </row>
    <row r="1247" spans="1:17">
      <c r="A1247" t="s">
        <v>80</v>
      </c>
      <c r="B1247" t="str">
        <f>TEXT(Table1[[#This Row],[Date]],"MMMM")</f>
        <v>February</v>
      </c>
      <c r="C1247" t="str">
        <f>TEXT(Table1[[#This Row],[Date]],"DDDD")</f>
        <v>Sunday</v>
      </c>
      <c r="D1247" t="s">
        <v>27</v>
      </c>
      <c r="E1247" t="s">
        <v>45</v>
      </c>
      <c r="F1247" t="s">
        <v>29</v>
      </c>
      <c r="G1247" t="s">
        <v>37</v>
      </c>
      <c r="H1247" t="s">
        <v>54</v>
      </c>
      <c r="I1247" t="s">
        <v>39</v>
      </c>
      <c r="J1247" s="3">
        <v>180000</v>
      </c>
      <c r="K1247">
        <v>3</v>
      </c>
      <c r="L1247" t="s">
        <v>58</v>
      </c>
      <c r="M1247" s="3">
        <v>144000</v>
      </c>
      <c r="N1247" s="3">
        <f>Table1[[#This Row],[Unit Price]]*Table1[[#This Row],[Quantity]]</f>
        <v>540000</v>
      </c>
      <c r="O1247" s="3">
        <f>Table1[[#This Row],[Cost Price]]*Table1[[#This Row],[Quantity]]</f>
        <v>432000</v>
      </c>
      <c r="P1247" s="3">
        <f>Table1[[#This Row],[Revenue]]-Table1[[#This Row],[COGS]]</f>
        <v>108000</v>
      </c>
      <c r="Q1247" s="1">
        <v>1246</v>
      </c>
    </row>
    <row r="1248" spans="1:17">
      <c r="A1248" t="s">
        <v>164</v>
      </c>
      <c r="B1248" t="str">
        <f>TEXT(Table1[[#This Row],[Date]],"MMMM")</f>
        <v>March</v>
      </c>
      <c r="C1248" t="str">
        <f>TEXT(Table1[[#This Row],[Date]],"DDDD")</f>
        <v>Tuesday</v>
      </c>
      <c r="D1248" t="s">
        <v>49</v>
      </c>
      <c r="E1248" t="s">
        <v>28</v>
      </c>
      <c r="F1248" t="s">
        <v>29</v>
      </c>
      <c r="G1248" t="s">
        <v>30</v>
      </c>
      <c r="H1248" t="s">
        <v>73</v>
      </c>
      <c r="I1248" t="s">
        <v>39</v>
      </c>
      <c r="J1248" s="3">
        <v>220000</v>
      </c>
      <c r="K1248">
        <v>7</v>
      </c>
      <c r="L1248" t="s">
        <v>65</v>
      </c>
      <c r="M1248" s="3">
        <v>176000</v>
      </c>
      <c r="N1248" s="3">
        <f>Table1[[#This Row],[Unit Price]]*Table1[[#This Row],[Quantity]]</f>
        <v>1540000</v>
      </c>
      <c r="O1248" s="3">
        <f>Table1[[#This Row],[Cost Price]]*Table1[[#This Row],[Quantity]]</f>
        <v>1232000</v>
      </c>
      <c r="P1248" s="3">
        <f>Table1[[#This Row],[Revenue]]-Table1[[#This Row],[COGS]]</f>
        <v>308000</v>
      </c>
      <c r="Q1248" s="1">
        <v>1247</v>
      </c>
    </row>
    <row r="1249" spans="1:17">
      <c r="A1249" t="s">
        <v>55</v>
      </c>
      <c r="B1249" t="str">
        <f>TEXT(Table1[[#This Row],[Date]],"MMMM")</f>
        <v>March</v>
      </c>
      <c r="C1249" t="str">
        <f>TEXT(Table1[[#This Row],[Date]],"DDDD")</f>
        <v>Sunday</v>
      </c>
      <c r="D1249" t="s">
        <v>49</v>
      </c>
      <c r="E1249" t="s">
        <v>45</v>
      </c>
      <c r="F1249" t="s">
        <v>29</v>
      </c>
      <c r="G1249" t="s">
        <v>30</v>
      </c>
      <c r="H1249" t="s">
        <v>54</v>
      </c>
      <c r="I1249" t="s">
        <v>39</v>
      </c>
      <c r="J1249" s="3">
        <v>180000</v>
      </c>
      <c r="K1249">
        <v>8</v>
      </c>
      <c r="L1249" t="s">
        <v>69</v>
      </c>
      <c r="M1249" s="3">
        <v>144000</v>
      </c>
      <c r="N1249" s="3">
        <f>Table1[[#This Row],[Unit Price]]*Table1[[#This Row],[Quantity]]</f>
        <v>1440000</v>
      </c>
      <c r="O1249" s="3">
        <f>Table1[[#This Row],[Cost Price]]*Table1[[#This Row],[Quantity]]</f>
        <v>1152000</v>
      </c>
      <c r="P1249" s="3">
        <f>Table1[[#This Row],[Revenue]]-Table1[[#This Row],[COGS]]</f>
        <v>288000</v>
      </c>
      <c r="Q1249" s="1">
        <v>1248</v>
      </c>
    </row>
    <row r="1250" spans="1:17">
      <c r="A1250" t="s">
        <v>172</v>
      </c>
      <c r="B1250" t="str">
        <f>TEXT(Table1[[#This Row],[Date]],"MMMM")</f>
        <v>March</v>
      </c>
      <c r="C1250" t="str">
        <f>TEXT(Table1[[#This Row],[Date]],"DDDD")</f>
        <v>Saturday</v>
      </c>
      <c r="D1250" t="s">
        <v>44</v>
      </c>
      <c r="E1250" t="s">
        <v>53</v>
      </c>
      <c r="F1250" t="s">
        <v>29</v>
      </c>
      <c r="G1250" t="s">
        <v>30</v>
      </c>
      <c r="H1250" t="s">
        <v>38</v>
      </c>
      <c r="I1250" t="s">
        <v>39</v>
      </c>
      <c r="J1250" s="3">
        <v>30000</v>
      </c>
      <c r="K1250">
        <v>1</v>
      </c>
      <c r="L1250" t="s">
        <v>47</v>
      </c>
      <c r="M1250" s="3">
        <v>24000</v>
      </c>
      <c r="N1250" s="3">
        <f>Table1[[#This Row],[Unit Price]]*Table1[[#This Row],[Quantity]]</f>
        <v>30000</v>
      </c>
      <c r="O1250" s="3">
        <f>Table1[[#This Row],[Cost Price]]*Table1[[#This Row],[Quantity]]</f>
        <v>24000</v>
      </c>
      <c r="P1250" s="3">
        <f>Table1[[#This Row],[Revenue]]-Table1[[#This Row],[COGS]]</f>
        <v>6000</v>
      </c>
      <c r="Q1250" s="1">
        <v>1249</v>
      </c>
    </row>
    <row r="1251" spans="1:17">
      <c r="A1251" t="s">
        <v>90</v>
      </c>
      <c r="B1251" t="str">
        <f>TEXT(Table1[[#This Row],[Date]],"MMMM")</f>
        <v>February</v>
      </c>
      <c r="C1251" t="str">
        <f>TEXT(Table1[[#This Row],[Date]],"DDDD")</f>
        <v>Tuesday</v>
      </c>
      <c r="D1251" t="s">
        <v>35</v>
      </c>
      <c r="E1251" t="s">
        <v>36</v>
      </c>
      <c r="F1251" t="s">
        <v>29</v>
      </c>
      <c r="G1251" t="s">
        <v>30</v>
      </c>
      <c r="H1251" t="s">
        <v>38</v>
      </c>
      <c r="I1251" t="s">
        <v>39</v>
      </c>
      <c r="J1251" s="3">
        <v>30000</v>
      </c>
      <c r="K1251">
        <v>8</v>
      </c>
      <c r="L1251" t="s">
        <v>58</v>
      </c>
      <c r="M1251" s="3">
        <v>24000</v>
      </c>
      <c r="N1251" s="3">
        <f>Table1[[#This Row],[Unit Price]]*Table1[[#This Row],[Quantity]]</f>
        <v>240000</v>
      </c>
      <c r="O1251" s="3">
        <f>Table1[[#This Row],[Cost Price]]*Table1[[#This Row],[Quantity]]</f>
        <v>192000</v>
      </c>
      <c r="P1251" s="3">
        <f>Table1[[#This Row],[Revenue]]-Table1[[#This Row],[COGS]]</f>
        <v>48000</v>
      </c>
      <c r="Q1251" s="1">
        <v>1250</v>
      </c>
    </row>
    <row r="1252" spans="1:17">
      <c r="A1252" t="s">
        <v>154</v>
      </c>
      <c r="B1252" t="str">
        <f>TEXT(Table1[[#This Row],[Date]],"MMMM")</f>
        <v>February</v>
      </c>
      <c r="C1252" t="str">
        <f>TEXT(Table1[[#This Row],[Date]],"DDDD")</f>
        <v>Saturday</v>
      </c>
      <c r="D1252" t="s">
        <v>44</v>
      </c>
      <c r="E1252" t="s">
        <v>28</v>
      </c>
      <c r="F1252" t="s">
        <v>29</v>
      </c>
      <c r="G1252" t="s">
        <v>30</v>
      </c>
      <c r="H1252" t="s">
        <v>54</v>
      </c>
      <c r="I1252" t="s">
        <v>39</v>
      </c>
      <c r="J1252" s="3">
        <v>180000</v>
      </c>
      <c r="K1252">
        <v>3</v>
      </c>
      <c r="L1252" t="s">
        <v>69</v>
      </c>
      <c r="M1252" s="3">
        <v>144000</v>
      </c>
      <c r="N1252" s="3">
        <f>Table1[[#This Row],[Unit Price]]*Table1[[#This Row],[Quantity]]</f>
        <v>540000</v>
      </c>
      <c r="O1252" s="3">
        <f>Table1[[#This Row],[Cost Price]]*Table1[[#This Row],[Quantity]]</f>
        <v>432000</v>
      </c>
      <c r="P1252" s="3">
        <f>Table1[[#This Row],[Revenue]]-Table1[[#This Row],[COGS]]</f>
        <v>108000</v>
      </c>
      <c r="Q1252" s="1">
        <v>1251</v>
      </c>
    </row>
    <row r="1253" spans="1:17">
      <c r="A1253" t="s">
        <v>151</v>
      </c>
      <c r="B1253" t="str">
        <f>TEXT(Table1[[#This Row],[Date]],"MMMM")</f>
        <v>February</v>
      </c>
      <c r="C1253" t="str">
        <f>TEXT(Table1[[#This Row],[Date]],"DDDD")</f>
        <v>Tuesday</v>
      </c>
      <c r="D1253" t="s">
        <v>44</v>
      </c>
      <c r="E1253" t="s">
        <v>36</v>
      </c>
      <c r="F1253" t="s">
        <v>29</v>
      </c>
      <c r="G1253" t="s">
        <v>37</v>
      </c>
      <c r="H1253" t="s">
        <v>31</v>
      </c>
      <c r="I1253" t="s">
        <v>32</v>
      </c>
      <c r="J1253" s="3">
        <v>85000</v>
      </c>
      <c r="K1253">
        <v>7</v>
      </c>
      <c r="L1253" t="s">
        <v>42</v>
      </c>
      <c r="M1253" s="3">
        <v>68000</v>
      </c>
      <c r="N1253" s="3">
        <f>Table1[[#This Row],[Unit Price]]*Table1[[#This Row],[Quantity]]</f>
        <v>595000</v>
      </c>
      <c r="O1253" s="3">
        <f>Table1[[#This Row],[Cost Price]]*Table1[[#This Row],[Quantity]]</f>
        <v>476000</v>
      </c>
      <c r="P1253" s="3">
        <f>Table1[[#This Row],[Revenue]]-Table1[[#This Row],[COGS]]</f>
        <v>119000</v>
      </c>
      <c r="Q1253" s="1">
        <v>1252</v>
      </c>
    </row>
    <row r="1254" spans="1:17">
      <c r="A1254" t="s">
        <v>173</v>
      </c>
      <c r="B1254" t="str">
        <f>TEXT(Table1[[#This Row],[Date]],"MMMM")</f>
        <v>March</v>
      </c>
      <c r="C1254" t="str">
        <f>TEXT(Table1[[#This Row],[Date]],"DDDD")</f>
        <v>Saturday</v>
      </c>
      <c r="D1254" t="s">
        <v>27</v>
      </c>
      <c r="E1254" t="s">
        <v>36</v>
      </c>
      <c r="F1254" t="s">
        <v>29</v>
      </c>
      <c r="G1254" t="s">
        <v>37</v>
      </c>
      <c r="H1254" t="s">
        <v>38</v>
      </c>
      <c r="I1254" t="s">
        <v>39</v>
      </c>
      <c r="J1254" s="3">
        <v>30000</v>
      </c>
      <c r="K1254">
        <v>7</v>
      </c>
      <c r="L1254" t="s">
        <v>47</v>
      </c>
      <c r="M1254" s="3">
        <v>24000</v>
      </c>
      <c r="N1254" s="3">
        <f>Table1[[#This Row],[Unit Price]]*Table1[[#This Row],[Quantity]]</f>
        <v>210000</v>
      </c>
      <c r="O1254" s="3">
        <f>Table1[[#This Row],[Cost Price]]*Table1[[#This Row],[Quantity]]</f>
        <v>168000</v>
      </c>
      <c r="P1254" s="3">
        <f>Table1[[#This Row],[Revenue]]-Table1[[#This Row],[COGS]]</f>
        <v>42000</v>
      </c>
      <c r="Q1254" s="1">
        <v>1253</v>
      </c>
    </row>
    <row r="1255" spans="1:17">
      <c r="A1255" t="s">
        <v>171</v>
      </c>
      <c r="B1255" t="str">
        <f>TEXT(Table1[[#This Row],[Date]],"MMMM")</f>
        <v>March</v>
      </c>
      <c r="C1255" t="str">
        <f>TEXT(Table1[[#This Row],[Date]],"DDDD")</f>
        <v>Monday</v>
      </c>
      <c r="D1255" t="s">
        <v>49</v>
      </c>
      <c r="E1255" t="s">
        <v>53</v>
      </c>
      <c r="F1255" t="s">
        <v>29</v>
      </c>
      <c r="G1255" t="s">
        <v>37</v>
      </c>
      <c r="H1255" t="s">
        <v>46</v>
      </c>
      <c r="I1255" t="s">
        <v>39</v>
      </c>
      <c r="J1255" s="3">
        <v>60000</v>
      </c>
      <c r="K1255">
        <v>3</v>
      </c>
      <c r="L1255" t="s">
        <v>47</v>
      </c>
      <c r="M1255" s="3">
        <v>48000</v>
      </c>
      <c r="N1255" s="3">
        <f>Table1[[#This Row],[Unit Price]]*Table1[[#This Row],[Quantity]]</f>
        <v>180000</v>
      </c>
      <c r="O1255" s="3">
        <f>Table1[[#This Row],[Cost Price]]*Table1[[#This Row],[Quantity]]</f>
        <v>144000</v>
      </c>
      <c r="P1255" s="3">
        <f>Table1[[#This Row],[Revenue]]-Table1[[#This Row],[COGS]]</f>
        <v>36000</v>
      </c>
      <c r="Q1255" s="1">
        <v>1254</v>
      </c>
    </row>
    <row r="1256" spans="1:17">
      <c r="A1256" t="s">
        <v>136</v>
      </c>
      <c r="B1256" t="str">
        <f>TEXT(Table1[[#This Row],[Date]],"MMMM")</f>
        <v>February</v>
      </c>
      <c r="C1256" t="str">
        <f>TEXT(Table1[[#This Row],[Date]],"DDDD")</f>
        <v>Saturday</v>
      </c>
      <c r="D1256" t="s">
        <v>49</v>
      </c>
      <c r="E1256" t="s">
        <v>53</v>
      </c>
      <c r="F1256" t="s">
        <v>29</v>
      </c>
      <c r="G1256" t="s">
        <v>37</v>
      </c>
      <c r="H1256" t="s">
        <v>31</v>
      </c>
      <c r="I1256" t="s">
        <v>32</v>
      </c>
      <c r="J1256" s="3">
        <v>85000</v>
      </c>
      <c r="K1256">
        <v>5</v>
      </c>
      <c r="L1256" t="s">
        <v>33</v>
      </c>
      <c r="M1256" s="3">
        <v>68000</v>
      </c>
      <c r="N1256" s="3">
        <f>Table1[[#This Row],[Unit Price]]*Table1[[#This Row],[Quantity]]</f>
        <v>425000</v>
      </c>
      <c r="O1256" s="3">
        <f>Table1[[#This Row],[Cost Price]]*Table1[[#This Row],[Quantity]]</f>
        <v>340000</v>
      </c>
      <c r="P1256" s="3">
        <f>Table1[[#This Row],[Revenue]]-Table1[[#This Row],[COGS]]</f>
        <v>85000</v>
      </c>
      <c r="Q1256" s="1">
        <v>1255</v>
      </c>
    </row>
    <row r="1257" spans="1:17">
      <c r="A1257" t="s">
        <v>154</v>
      </c>
      <c r="B1257" t="str">
        <f>TEXT(Table1[[#This Row],[Date]],"MMMM")</f>
        <v>February</v>
      </c>
      <c r="C1257" t="str">
        <f>TEXT(Table1[[#This Row],[Date]],"DDDD")</f>
        <v>Saturday</v>
      </c>
      <c r="D1257" t="s">
        <v>35</v>
      </c>
      <c r="E1257" t="s">
        <v>53</v>
      </c>
      <c r="F1257" t="s">
        <v>41</v>
      </c>
      <c r="G1257" t="s">
        <v>30</v>
      </c>
      <c r="H1257" t="s">
        <v>67</v>
      </c>
      <c r="I1257" t="s">
        <v>51</v>
      </c>
      <c r="J1257" s="3">
        <v>420000</v>
      </c>
      <c r="K1257">
        <v>1</v>
      </c>
      <c r="L1257" t="s">
        <v>33</v>
      </c>
      <c r="M1257" s="3">
        <v>336000</v>
      </c>
      <c r="N1257" s="3">
        <f>Table1[[#This Row],[Unit Price]]*Table1[[#This Row],[Quantity]]</f>
        <v>420000</v>
      </c>
      <c r="O1257" s="3">
        <f>Table1[[#This Row],[Cost Price]]*Table1[[#This Row],[Quantity]]</f>
        <v>336000</v>
      </c>
      <c r="P1257" s="3">
        <f>Table1[[#This Row],[Revenue]]-Table1[[#This Row],[COGS]]</f>
        <v>84000</v>
      </c>
      <c r="Q1257" s="1">
        <v>1256</v>
      </c>
    </row>
    <row r="1258" spans="1:17">
      <c r="A1258" t="s">
        <v>142</v>
      </c>
      <c r="B1258" t="str">
        <f>TEXT(Table1[[#This Row],[Date]],"MMMM")</f>
        <v>April</v>
      </c>
      <c r="C1258" t="str">
        <f>TEXT(Table1[[#This Row],[Date]],"DDDD")</f>
        <v>Monday</v>
      </c>
      <c r="D1258" t="s">
        <v>44</v>
      </c>
      <c r="E1258" t="s">
        <v>45</v>
      </c>
      <c r="F1258" t="s">
        <v>41</v>
      </c>
      <c r="G1258" t="s">
        <v>37</v>
      </c>
      <c r="H1258" t="s">
        <v>38</v>
      </c>
      <c r="I1258" t="s">
        <v>39</v>
      </c>
      <c r="J1258" s="3">
        <v>30000</v>
      </c>
      <c r="K1258">
        <v>5</v>
      </c>
      <c r="L1258" t="s">
        <v>33</v>
      </c>
      <c r="M1258" s="3">
        <v>24000</v>
      </c>
      <c r="N1258" s="3">
        <f>Table1[[#This Row],[Unit Price]]*Table1[[#This Row],[Quantity]]</f>
        <v>150000</v>
      </c>
      <c r="O1258" s="3">
        <f>Table1[[#This Row],[Cost Price]]*Table1[[#This Row],[Quantity]]</f>
        <v>120000</v>
      </c>
      <c r="P1258" s="3">
        <f>Table1[[#This Row],[Revenue]]-Table1[[#This Row],[COGS]]</f>
        <v>30000</v>
      </c>
      <c r="Q1258" s="1">
        <v>1257</v>
      </c>
    </row>
    <row r="1259" spans="1:17">
      <c r="A1259" t="s">
        <v>137</v>
      </c>
      <c r="B1259" t="str">
        <f>TEXT(Table1[[#This Row],[Date]],"MMMM")</f>
        <v>April</v>
      </c>
      <c r="C1259" t="str">
        <f>TEXT(Table1[[#This Row],[Date]],"DDDD")</f>
        <v>Wednesday</v>
      </c>
      <c r="D1259" t="s">
        <v>27</v>
      </c>
      <c r="E1259" t="s">
        <v>45</v>
      </c>
      <c r="F1259" t="s">
        <v>29</v>
      </c>
      <c r="G1259" t="s">
        <v>30</v>
      </c>
      <c r="H1259" t="s">
        <v>71</v>
      </c>
      <c r="I1259" t="s">
        <v>51</v>
      </c>
      <c r="J1259" s="3">
        <v>250000</v>
      </c>
      <c r="K1259">
        <v>9</v>
      </c>
      <c r="L1259" t="s">
        <v>58</v>
      </c>
      <c r="M1259" s="3">
        <v>200000</v>
      </c>
      <c r="N1259" s="3">
        <f>Table1[[#This Row],[Unit Price]]*Table1[[#This Row],[Quantity]]</f>
        <v>2250000</v>
      </c>
      <c r="O1259" s="3">
        <f>Table1[[#This Row],[Cost Price]]*Table1[[#This Row],[Quantity]]</f>
        <v>1800000</v>
      </c>
      <c r="P1259" s="3">
        <f>Table1[[#This Row],[Revenue]]-Table1[[#This Row],[COGS]]</f>
        <v>450000</v>
      </c>
      <c r="Q1259" s="1">
        <v>1258</v>
      </c>
    </row>
    <row r="1260" spans="1:17">
      <c r="A1260" t="s">
        <v>63</v>
      </c>
      <c r="B1260" t="str">
        <f>TEXT(Table1[[#This Row],[Date]],"MMMM")</f>
        <v>January</v>
      </c>
      <c r="C1260" t="str">
        <f>TEXT(Table1[[#This Row],[Date]],"DDDD")</f>
        <v>Monday</v>
      </c>
      <c r="D1260" t="s">
        <v>49</v>
      </c>
      <c r="E1260" t="s">
        <v>36</v>
      </c>
      <c r="F1260" t="s">
        <v>41</v>
      </c>
      <c r="G1260" t="s">
        <v>30</v>
      </c>
      <c r="H1260" t="s">
        <v>62</v>
      </c>
      <c r="I1260" t="s">
        <v>51</v>
      </c>
      <c r="J1260" s="3">
        <v>150000</v>
      </c>
      <c r="K1260">
        <v>3</v>
      </c>
      <c r="L1260" t="s">
        <v>69</v>
      </c>
      <c r="M1260" s="3">
        <v>120000</v>
      </c>
      <c r="N1260" s="3">
        <f>Table1[[#This Row],[Unit Price]]*Table1[[#This Row],[Quantity]]</f>
        <v>450000</v>
      </c>
      <c r="O1260" s="3">
        <f>Table1[[#This Row],[Cost Price]]*Table1[[#This Row],[Quantity]]</f>
        <v>360000</v>
      </c>
      <c r="P1260" s="3">
        <f>Table1[[#This Row],[Revenue]]-Table1[[#This Row],[COGS]]</f>
        <v>90000</v>
      </c>
      <c r="Q1260" s="1">
        <v>1259</v>
      </c>
    </row>
    <row r="1261" spans="1:17">
      <c r="A1261" t="s">
        <v>26</v>
      </c>
      <c r="B1261" t="str">
        <f>TEXT(Table1[[#This Row],[Date]],"MMMM")</f>
        <v>January</v>
      </c>
      <c r="C1261" t="str">
        <f>TEXT(Table1[[#This Row],[Date]],"DDDD")</f>
        <v>Sunday</v>
      </c>
      <c r="D1261" t="s">
        <v>35</v>
      </c>
      <c r="E1261" t="s">
        <v>36</v>
      </c>
      <c r="F1261" t="s">
        <v>41</v>
      </c>
      <c r="G1261" t="s">
        <v>30</v>
      </c>
      <c r="H1261" t="s">
        <v>50</v>
      </c>
      <c r="I1261" t="s">
        <v>51</v>
      </c>
      <c r="J1261" s="3">
        <v>300000</v>
      </c>
      <c r="K1261">
        <v>5</v>
      </c>
      <c r="L1261" t="s">
        <v>69</v>
      </c>
      <c r="M1261" s="3">
        <v>240000</v>
      </c>
      <c r="N1261" s="3">
        <f>Table1[[#This Row],[Unit Price]]*Table1[[#This Row],[Quantity]]</f>
        <v>1500000</v>
      </c>
      <c r="O1261" s="3">
        <f>Table1[[#This Row],[Cost Price]]*Table1[[#This Row],[Quantity]]</f>
        <v>1200000</v>
      </c>
      <c r="P1261" s="3">
        <f>Table1[[#This Row],[Revenue]]-Table1[[#This Row],[COGS]]</f>
        <v>300000</v>
      </c>
      <c r="Q1261" s="1">
        <v>1260</v>
      </c>
    </row>
    <row r="1262" spans="1:17">
      <c r="A1262" t="s">
        <v>145</v>
      </c>
      <c r="B1262" t="str">
        <f>TEXT(Table1[[#This Row],[Date]],"MMMM")</f>
        <v>January</v>
      </c>
      <c r="C1262" t="str">
        <f>TEXT(Table1[[#This Row],[Date]],"DDDD")</f>
        <v>Friday</v>
      </c>
      <c r="D1262" t="s">
        <v>27</v>
      </c>
      <c r="E1262" t="s">
        <v>28</v>
      </c>
      <c r="F1262" t="s">
        <v>29</v>
      </c>
      <c r="G1262" t="s">
        <v>37</v>
      </c>
      <c r="H1262" t="s">
        <v>56</v>
      </c>
      <c r="I1262" t="s">
        <v>32</v>
      </c>
      <c r="J1262" s="3">
        <v>320000</v>
      </c>
      <c r="K1262">
        <v>5</v>
      </c>
      <c r="L1262" t="s">
        <v>33</v>
      </c>
      <c r="M1262" s="3">
        <v>256000</v>
      </c>
      <c r="N1262" s="3">
        <f>Table1[[#This Row],[Unit Price]]*Table1[[#This Row],[Quantity]]</f>
        <v>1600000</v>
      </c>
      <c r="O1262" s="3">
        <f>Table1[[#This Row],[Cost Price]]*Table1[[#This Row],[Quantity]]</f>
        <v>1280000</v>
      </c>
      <c r="P1262" s="3">
        <f>Table1[[#This Row],[Revenue]]-Table1[[#This Row],[COGS]]</f>
        <v>320000</v>
      </c>
      <c r="Q1262" s="1">
        <v>1261</v>
      </c>
    </row>
    <row r="1263" spans="1:17">
      <c r="A1263" t="s">
        <v>101</v>
      </c>
      <c r="B1263" t="str">
        <f>TEXT(Table1[[#This Row],[Date]],"MMMM")</f>
        <v>January</v>
      </c>
      <c r="C1263" t="str">
        <f>TEXT(Table1[[#This Row],[Date]],"DDDD")</f>
        <v>Thursday</v>
      </c>
      <c r="D1263" t="s">
        <v>27</v>
      </c>
      <c r="E1263" t="s">
        <v>53</v>
      </c>
      <c r="F1263" t="s">
        <v>41</v>
      </c>
      <c r="G1263" t="s">
        <v>37</v>
      </c>
      <c r="H1263" t="s">
        <v>31</v>
      </c>
      <c r="I1263" t="s">
        <v>32</v>
      </c>
      <c r="J1263" s="3">
        <v>85000</v>
      </c>
      <c r="K1263">
        <v>10</v>
      </c>
      <c r="L1263" t="s">
        <v>65</v>
      </c>
      <c r="M1263" s="3">
        <v>68000</v>
      </c>
      <c r="N1263" s="3">
        <f>Table1[[#This Row],[Unit Price]]*Table1[[#This Row],[Quantity]]</f>
        <v>850000</v>
      </c>
      <c r="O1263" s="3">
        <f>Table1[[#This Row],[Cost Price]]*Table1[[#This Row],[Quantity]]</f>
        <v>680000</v>
      </c>
      <c r="P1263" s="3">
        <f>Table1[[#This Row],[Revenue]]-Table1[[#This Row],[COGS]]</f>
        <v>170000</v>
      </c>
      <c r="Q1263" s="1">
        <v>1262</v>
      </c>
    </row>
    <row r="1264" spans="1:17">
      <c r="A1264" t="s">
        <v>61</v>
      </c>
      <c r="B1264" t="str">
        <f>TEXT(Table1[[#This Row],[Date]],"MMMM")</f>
        <v>January</v>
      </c>
      <c r="C1264" t="str">
        <f>TEXT(Table1[[#This Row],[Date]],"DDDD")</f>
        <v>Friday</v>
      </c>
      <c r="D1264" t="s">
        <v>27</v>
      </c>
      <c r="E1264" t="s">
        <v>36</v>
      </c>
      <c r="F1264" t="s">
        <v>29</v>
      </c>
      <c r="G1264" t="s">
        <v>37</v>
      </c>
      <c r="H1264" t="s">
        <v>54</v>
      </c>
      <c r="I1264" t="s">
        <v>39</v>
      </c>
      <c r="J1264" s="3">
        <v>180000</v>
      </c>
      <c r="K1264">
        <v>3</v>
      </c>
      <c r="L1264" t="s">
        <v>65</v>
      </c>
      <c r="M1264" s="3">
        <v>144000</v>
      </c>
      <c r="N1264" s="3">
        <f>Table1[[#This Row],[Unit Price]]*Table1[[#This Row],[Quantity]]</f>
        <v>540000</v>
      </c>
      <c r="O1264" s="3">
        <f>Table1[[#This Row],[Cost Price]]*Table1[[#This Row],[Quantity]]</f>
        <v>432000</v>
      </c>
      <c r="P1264" s="3">
        <f>Table1[[#This Row],[Revenue]]-Table1[[#This Row],[COGS]]</f>
        <v>108000</v>
      </c>
      <c r="Q1264" s="1">
        <v>1263</v>
      </c>
    </row>
    <row r="1265" spans="1:17">
      <c r="A1265" t="s">
        <v>141</v>
      </c>
      <c r="B1265" t="str">
        <f>TEXT(Table1[[#This Row],[Date]],"MMMM")</f>
        <v>March</v>
      </c>
      <c r="C1265" t="str">
        <f>TEXT(Table1[[#This Row],[Date]],"DDDD")</f>
        <v>Sunday</v>
      </c>
      <c r="D1265" t="s">
        <v>35</v>
      </c>
      <c r="E1265" t="s">
        <v>53</v>
      </c>
      <c r="F1265" t="s">
        <v>41</v>
      </c>
      <c r="G1265" t="s">
        <v>37</v>
      </c>
      <c r="H1265" t="s">
        <v>38</v>
      </c>
      <c r="I1265" t="s">
        <v>39</v>
      </c>
      <c r="J1265" s="3">
        <v>30000</v>
      </c>
      <c r="K1265">
        <v>3</v>
      </c>
      <c r="L1265" t="s">
        <v>69</v>
      </c>
      <c r="M1265" s="3">
        <v>24000</v>
      </c>
      <c r="N1265" s="3">
        <f>Table1[[#This Row],[Unit Price]]*Table1[[#This Row],[Quantity]]</f>
        <v>90000</v>
      </c>
      <c r="O1265" s="3">
        <f>Table1[[#This Row],[Cost Price]]*Table1[[#This Row],[Quantity]]</f>
        <v>72000</v>
      </c>
      <c r="P1265" s="3">
        <f>Table1[[#This Row],[Revenue]]-Table1[[#This Row],[COGS]]</f>
        <v>18000</v>
      </c>
      <c r="Q1265" s="1">
        <v>1264</v>
      </c>
    </row>
    <row r="1266" spans="1:17">
      <c r="A1266" t="s">
        <v>94</v>
      </c>
      <c r="B1266" t="str">
        <f>TEXT(Table1[[#This Row],[Date]],"MMMM")</f>
        <v>January</v>
      </c>
      <c r="C1266" t="str">
        <f>TEXT(Table1[[#This Row],[Date]],"DDDD")</f>
        <v>Friday</v>
      </c>
      <c r="D1266" t="s">
        <v>49</v>
      </c>
      <c r="E1266" t="s">
        <v>36</v>
      </c>
      <c r="F1266" t="s">
        <v>29</v>
      </c>
      <c r="G1266" t="s">
        <v>37</v>
      </c>
      <c r="H1266" t="s">
        <v>62</v>
      </c>
      <c r="I1266" t="s">
        <v>51</v>
      </c>
      <c r="J1266" s="3">
        <v>150000</v>
      </c>
      <c r="K1266">
        <v>5</v>
      </c>
      <c r="L1266" t="s">
        <v>65</v>
      </c>
      <c r="M1266" s="3">
        <v>120000</v>
      </c>
      <c r="N1266" s="3">
        <f>Table1[[#This Row],[Unit Price]]*Table1[[#This Row],[Quantity]]</f>
        <v>750000</v>
      </c>
      <c r="O1266" s="3">
        <f>Table1[[#This Row],[Cost Price]]*Table1[[#This Row],[Quantity]]</f>
        <v>600000</v>
      </c>
      <c r="P1266" s="3">
        <f>Table1[[#This Row],[Revenue]]-Table1[[#This Row],[COGS]]</f>
        <v>150000</v>
      </c>
      <c r="Q1266" s="1">
        <v>1265</v>
      </c>
    </row>
    <row r="1267" spans="1:17">
      <c r="A1267" t="s">
        <v>174</v>
      </c>
      <c r="B1267" t="str">
        <f>TEXT(Table1[[#This Row],[Date]],"MMMM")</f>
        <v>February</v>
      </c>
      <c r="C1267" t="str">
        <f>TEXT(Table1[[#This Row],[Date]],"DDDD")</f>
        <v>Friday</v>
      </c>
      <c r="D1267" t="s">
        <v>49</v>
      </c>
      <c r="E1267" t="s">
        <v>45</v>
      </c>
      <c r="F1267" t="s">
        <v>29</v>
      </c>
      <c r="G1267" t="s">
        <v>30</v>
      </c>
      <c r="H1267" t="s">
        <v>50</v>
      </c>
      <c r="I1267" t="s">
        <v>51</v>
      </c>
      <c r="J1267" s="3">
        <v>300000</v>
      </c>
      <c r="K1267">
        <v>4</v>
      </c>
      <c r="L1267" t="s">
        <v>58</v>
      </c>
      <c r="M1267" s="3">
        <v>240000</v>
      </c>
      <c r="N1267" s="3">
        <f>Table1[[#This Row],[Unit Price]]*Table1[[#This Row],[Quantity]]</f>
        <v>1200000</v>
      </c>
      <c r="O1267" s="3">
        <f>Table1[[#This Row],[Cost Price]]*Table1[[#This Row],[Quantity]]</f>
        <v>960000</v>
      </c>
      <c r="P1267" s="3">
        <f>Table1[[#This Row],[Revenue]]-Table1[[#This Row],[COGS]]</f>
        <v>240000</v>
      </c>
      <c r="Q1267" s="1">
        <v>1266</v>
      </c>
    </row>
    <row r="1268" spans="1:17">
      <c r="A1268" t="s">
        <v>133</v>
      </c>
      <c r="B1268" t="str">
        <f>TEXT(Table1[[#This Row],[Date]],"MMMM")</f>
        <v>January</v>
      </c>
      <c r="C1268" t="str">
        <f>TEXT(Table1[[#This Row],[Date]],"DDDD")</f>
        <v>Wednesday</v>
      </c>
      <c r="D1268" t="s">
        <v>35</v>
      </c>
      <c r="E1268" t="s">
        <v>45</v>
      </c>
      <c r="F1268" t="s">
        <v>41</v>
      </c>
      <c r="G1268" t="s">
        <v>37</v>
      </c>
      <c r="H1268" t="s">
        <v>38</v>
      </c>
      <c r="I1268" t="s">
        <v>39</v>
      </c>
      <c r="J1268" s="3">
        <v>30000</v>
      </c>
      <c r="K1268">
        <v>8</v>
      </c>
      <c r="L1268" t="s">
        <v>65</v>
      </c>
      <c r="M1268" s="3">
        <v>24000</v>
      </c>
      <c r="N1268" s="3">
        <f>Table1[[#This Row],[Unit Price]]*Table1[[#This Row],[Quantity]]</f>
        <v>240000</v>
      </c>
      <c r="O1268" s="3">
        <f>Table1[[#This Row],[Cost Price]]*Table1[[#This Row],[Quantity]]</f>
        <v>192000</v>
      </c>
      <c r="P1268" s="3">
        <f>Table1[[#This Row],[Revenue]]-Table1[[#This Row],[COGS]]</f>
        <v>48000</v>
      </c>
      <c r="Q1268" s="1">
        <v>1267</v>
      </c>
    </row>
    <row r="1269" spans="1:17">
      <c r="A1269" t="s">
        <v>79</v>
      </c>
      <c r="B1269" t="str">
        <f>TEXT(Table1[[#This Row],[Date]],"MMMM")</f>
        <v>February</v>
      </c>
      <c r="C1269" t="str">
        <f>TEXT(Table1[[#This Row],[Date]],"DDDD")</f>
        <v>Wednesday</v>
      </c>
      <c r="D1269" t="s">
        <v>27</v>
      </c>
      <c r="E1269" t="s">
        <v>28</v>
      </c>
      <c r="F1269" t="s">
        <v>29</v>
      </c>
      <c r="G1269" t="s">
        <v>37</v>
      </c>
      <c r="H1269" t="s">
        <v>73</v>
      </c>
      <c r="I1269" t="s">
        <v>39</v>
      </c>
      <c r="J1269" s="3">
        <v>220000</v>
      </c>
      <c r="K1269">
        <v>10</v>
      </c>
      <c r="L1269" t="s">
        <v>42</v>
      </c>
      <c r="M1269" s="3">
        <v>176000</v>
      </c>
      <c r="N1269" s="3">
        <f>Table1[[#This Row],[Unit Price]]*Table1[[#This Row],[Quantity]]</f>
        <v>2200000</v>
      </c>
      <c r="O1269" s="3">
        <f>Table1[[#This Row],[Cost Price]]*Table1[[#This Row],[Quantity]]</f>
        <v>1760000</v>
      </c>
      <c r="P1269" s="3">
        <f>Table1[[#This Row],[Revenue]]-Table1[[#This Row],[COGS]]</f>
        <v>440000</v>
      </c>
      <c r="Q1269" s="1">
        <v>1268</v>
      </c>
    </row>
    <row r="1270" spans="1:17">
      <c r="A1270" t="s">
        <v>55</v>
      </c>
      <c r="B1270" t="str">
        <f>TEXT(Table1[[#This Row],[Date]],"MMMM")</f>
        <v>March</v>
      </c>
      <c r="C1270" t="str">
        <f>TEXT(Table1[[#This Row],[Date]],"DDDD")</f>
        <v>Sunday</v>
      </c>
      <c r="D1270" t="s">
        <v>44</v>
      </c>
      <c r="E1270" t="s">
        <v>45</v>
      </c>
      <c r="F1270" t="s">
        <v>29</v>
      </c>
      <c r="G1270" t="s">
        <v>30</v>
      </c>
      <c r="H1270" t="s">
        <v>38</v>
      </c>
      <c r="I1270" t="s">
        <v>39</v>
      </c>
      <c r="J1270" s="3">
        <v>30000</v>
      </c>
      <c r="K1270">
        <v>10</v>
      </c>
      <c r="L1270" t="s">
        <v>47</v>
      </c>
      <c r="M1270" s="3">
        <v>24000</v>
      </c>
      <c r="N1270" s="3">
        <f>Table1[[#This Row],[Unit Price]]*Table1[[#This Row],[Quantity]]</f>
        <v>300000</v>
      </c>
      <c r="O1270" s="3">
        <f>Table1[[#This Row],[Cost Price]]*Table1[[#This Row],[Quantity]]</f>
        <v>240000</v>
      </c>
      <c r="P1270" s="3">
        <f>Table1[[#This Row],[Revenue]]-Table1[[#This Row],[COGS]]</f>
        <v>60000</v>
      </c>
      <c r="Q1270" s="1">
        <v>1269</v>
      </c>
    </row>
    <row r="1271" spans="1:17">
      <c r="A1271" t="s">
        <v>43</v>
      </c>
      <c r="B1271" t="str">
        <f>TEXT(Table1[[#This Row],[Date]],"MMMM")</f>
        <v>April</v>
      </c>
      <c r="C1271" t="str">
        <f>TEXT(Table1[[#This Row],[Date]],"DDDD")</f>
        <v>Friday</v>
      </c>
      <c r="D1271" t="s">
        <v>35</v>
      </c>
      <c r="E1271" t="s">
        <v>36</v>
      </c>
      <c r="F1271" t="s">
        <v>41</v>
      </c>
      <c r="G1271" t="s">
        <v>37</v>
      </c>
      <c r="H1271" t="s">
        <v>71</v>
      </c>
      <c r="I1271" t="s">
        <v>51</v>
      </c>
      <c r="J1271" s="3">
        <v>250000</v>
      </c>
      <c r="K1271">
        <v>5</v>
      </c>
      <c r="L1271" t="s">
        <v>33</v>
      </c>
      <c r="M1271" s="3">
        <v>200000</v>
      </c>
      <c r="N1271" s="3">
        <f>Table1[[#This Row],[Unit Price]]*Table1[[#This Row],[Quantity]]</f>
        <v>1250000</v>
      </c>
      <c r="O1271" s="3">
        <f>Table1[[#This Row],[Cost Price]]*Table1[[#This Row],[Quantity]]</f>
        <v>1000000</v>
      </c>
      <c r="P1271" s="3">
        <f>Table1[[#This Row],[Revenue]]-Table1[[#This Row],[COGS]]</f>
        <v>250000</v>
      </c>
      <c r="Q1271" s="1">
        <v>1270</v>
      </c>
    </row>
    <row r="1272" spans="1:17">
      <c r="A1272" t="s">
        <v>95</v>
      </c>
      <c r="B1272" t="str">
        <f>TEXT(Table1[[#This Row],[Date]],"MMMM")</f>
        <v>February</v>
      </c>
      <c r="C1272" t="str">
        <f>TEXT(Table1[[#This Row],[Date]],"DDDD")</f>
        <v>Saturday</v>
      </c>
      <c r="D1272" t="s">
        <v>44</v>
      </c>
      <c r="E1272" t="s">
        <v>36</v>
      </c>
      <c r="F1272" t="s">
        <v>41</v>
      </c>
      <c r="G1272" t="s">
        <v>37</v>
      </c>
      <c r="H1272" t="s">
        <v>62</v>
      </c>
      <c r="I1272" t="s">
        <v>51</v>
      </c>
      <c r="J1272" s="3">
        <v>150000</v>
      </c>
      <c r="K1272">
        <v>8</v>
      </c>
      <c r="L1272" t="s">
        <v>33</v>
      </c>
      <c r="M1272" s="3">
        <v>120000</v>
      </c>
      <c r="N1272" s="3">
        <f>Table1[[#This Row],[Unit Price]]*Table1[[#This Row],[Quantity]]</f>
        <v>1200000</v>
      </c>
      <c r="O1272" s="3">
        <f>Table1[[#This Row],[Cost Price]]*Table1[[#This Row],[Quantity]]</f>
        <v>960000</v>
      </c>
      <c r="P1272" s="3">
        <f>Table1[[#This Row],[Revenue]]-Table1[[#This Row],[COGS]]</f>
        <v>240000</v>
      </c>
      <c r="Q1272" s="1">
        <v>1271</v>
      </c>
    </row>
    <row r="1273" spans="1:17">
      <c r="A1273" t="s">
        <v>123</v>
      </c>
      <c r="B1273" t="str">
        <f>TEXT(Table1[[#This Row],[Date]],"MMMM")</f>
        <v>April</v>
      </c>
      <c r="C1273" t="str">
        <f>TEXT(Table1[[#This Row],[Date]],"DDDD")</f>
        <v>Monday</v>
      </c>
      <c r="D1273" t="s">
        <v>44</v>
      </c>
      <c r="E1273" t="s">
        <v>28</v>
      </c>
      <c r="F1273" t="s">
        <v>29</v>
      </c>
      <c r="G1273" t="s">
        <v>37</v>
      </c>
      <c r="H1273" t="s">
        <v>31</v>
      </c>
      <c r="I1273" t="s">
        <v>32</v>
      </c>
      <c r="J1273" s="3">
        <v>85000</v>
      </c>
      <c r="K1273">
        <v>1</v>
      </c>
      <c r="L1273" t="s">
        <v>33</v>
      </c>
      <c r="M1273" s="3">
        <v>68000</v>
      </c>
      <c r="N1273" s="3">
        <f>Table1[[#This Row],[Unit Price]]*Table1[[#This Row],[Quantity]]</f>
        <v>85000</v>
      </c>
      <c r="O1273" s="3">
        <f>Table1[[#This Row],[Cost Price]]*Table1[[#This Row],[Quantity]]</f>
        <v>68000</v>
      </c>
      <c r="P1273" s="3">
        <f>Table1[[#This Row],[Revenue]]-Table1[[#This Row],[COGS]]</f>
        <v>17000</v>
      </c>
      <c r="Q1273" s="1">
        <v>1272</v>
      </c>
    </row>
    <row r="1274" spans="1:17">
      <c r="A1274" t="s">
        <v>76</v>
      </c>
      <c r="B1274" t="str">
        <f>TEXT(Table1[[#This Row],[Date]],"MMMM")</f>
        <v>May</v>
      </c>
      <c r="C1274" t="str">
        <f>TEXT(Table1[[#This Row],[Date]],"DDDD")</f>
        <v>Thursday</v>
      </c>
      <c r="D1274" t="s">
        <v>35</v>
      </c>
      <c r="E1274" t="s">
        <v>45</v>
      </c>
      <c r="F1274" t="s">
        <v>29</v>
      </c>
      <c r="G1274" t="s">
        <v>30</v>
      </c>
      <c r="H1274" t="s">
        <v>73</v>
      </c>
      <c r="I1274" t="s">
        <v>39</v>
      </c>
      <c r="J1274" s="3">
        <v>220000</v>
      </c>
      <c r="K1274">
        <v>2</v>
      </c>
      <c r="L1274" t="s">
        <v>65</v>
      </c>
      <c r="M1274" s="3">
        <v>176000</v>
      </c>
      <c r="N1274" s="3">
        <f>Table1[[#This Row],[Unit Price]]*Table1[[#This Row],[Quantity]]</f>
        <v>440000</v>
      </c>
      <c r="O1274" s="3">
        <f>Table1[[#This Row],[Cost Price]]*Table1[[#This Row],[Quantity]]</f>
        <v>352000</v>
      </c>
      <c r="P1274" s="3">
        <f>Table1[[#This Row],[Revenue]]-Table1[[#This Row],[COGS]]</f>
        <v>88000</v>
      </c>
      <c r="Q1274" s="1">
        <v>1273</v>
      </c>
    </row>
    <row r="1275" spans="1:17">
      <c r="A1275" t="s">
        <v>92</v>
      </c>
      <c r="B1275" t="str">
        <f>TEXT(Table1[[#This Row],[Date]],"MMMM")</f>
        <v>January</v>
      </c>
      <c r="C1275" t="str">
        <f>TEXT(Table1[[#This Row],[Date]],"DDDD")</f>
        <v>Tuesday</v>
      </c>
      <c r="D1275" t="s">
        <v>44</v>
      </c>
      <c r="E1275" t="s">
        <v>36</v>
      </c>
      <c r="F1275" t="s">
        <v>41</v>
      </c>
      <c r="G1275" t="s">
        <v>30</v>
      </c>
      <c r="H1275" t="s">
        <v>46</v>
      </c>
      <c r="I1275" t="s">
        <v>39</v>
      </c>
      <c r="J1275" s="3">
        <v>60000</v>
      </c>
      <c r="K1275">
        <v>9</v>
      </c>
      <c r="L1275" t="s">
        <v>47</v>
      </c>
      <c r="M1275" s="3">
        <v>48000</v>
      </c>
      <c r="N1275" s="3">
        <f>Table1[[#This Row],[Unit Price]]*Table1[[#This Row],[Quantity]]</f>
        <v>540000</v>
      </c>
      <c r="O1275" s="3">
        <f>Table1[[#This Row],[Cost Price]]*Table1[[#This Row],[Quantity]]</f>
        <v>432000</v>
      </c>
      <c r="P1275" s="3">
        <f>Table1[[#This Row],[Revenue]]-Table1[[#This Row],[COGS]]</f>
        <v>108000</v>
      </c>
      <c r="Q1275" s="1">
        <v>1274</v>
      </c>
    </row>
    <row r="1276" spans="1:17">
      <c r="A1276" t="s">
        <v>112</v>
      </c>
      <c r="B1276" t="str">
        <f>TEXT(Table1[[#This Row],[Date]],"MMMM")</f>
        <v>February</v>
      </c>
      <c r="C1276" t="str">
        <f>TEXT(Table1[[#This Row],[Date]],"DDDD")</f>
        <v>Monday</v>
      </c>
      <c r="D1276" t="s">
        <v>49</v>
      </c>
      <c r="E1276" t="s">
        <v>45</v>
      </c>
      <c r="F1276" t="s">
        <v>29</v>
      </c>
      <c r="G1276" t="s">
        <v>30</v>
      </c>
      <c r="H1276" t="s">
        <v>71</v>
      </c>
      <c r="I1276" t="s">
        <v>51</v>
      </c>
      <c r="J1276" s="3">
        <v>250000</v>
      </c>
      <c r="K1276">
        <v>9</v>
      </c>
      <c r="L1276" t="s">
        <v>58</v>
      </c>
      <c r="M1276" s="3">
        <v>200000</v>
      </c>
      <c r="N1276" s="3">
        <f>Table1[[#This Row],[Unit Price]]*Table1[[#This Row],[Quantity]]</f>
        <v>2250000</v>
      </c>
      <c r="O1276" s="3">
        <f>Table1[[#This Row],[Cost Price]]*Table1[[#This Row],[Quantity]]</f>
        <v>1800000</v>
      </c>
      <c r="P1276" s="3">
        <f>Table1[[#This Row],[Revenue]]-Table1[[#This Row],[COGS]]</f>
        <v>450000</v>
      </c>
      <c r="Q1276" s="1">
        <v>1275</v>
      </c>
    </row>
    <row r="1277" spans="1:17">
      <c r="A1277" t="s">
        <v>164</v>
      </c>
      <c r="B1277" t="str">
        <f>TEXT(Table1[[#This Row],[Date]],"MMMM")</f>
        <v>March</v>
      </c>
      <c r="C1277" t="str">
        <f>TEXT(Table1[[#This Row],[Date]],"DDDD")</f>
        <v>Tuesday</v>
      </c>
      <c r="D1277" t="s">
        <v>35</v>
      </c>
      <c r="E1277" t="s">
        <v>28</v>
      </c>
      <c r="F1277" t="s">
        <v>29</v>
      </c>
      <c r="G1277" t="s">
        <v>37</v>
      </c>
      <c r="H1277" t="s">
        <v>31</v>
      </c>
      <c r="I1277" t="s">
        <v>32</v>
      </c>
      <c r="J1277" s="3">
        <v>85000</v>
      </c>
      <c r="K1277">
        <v>7</v>
      </c>
      <c r="L1277" t="s">
        <v>65</v>
      </c>
      <c r="M1277" s="3">
        <v>68000</v>
      </c>
      <c r="N1277" s="3">
        <f>Table1[[#This Row],[Unit Price]]*Table1[[#This Row],[Quantity]]</f>
        <v>595000</v>
      </c>
      <c r="O1277" s="3">
        <f>Table1[[#This Row],[Cost Price]]*Table1[[#This Row],[Quantity]]</f>
        <v>476000</v>
      </c>
      <c r="P1277" s="3">
        <f>Table1[[#This Row],[Revenue]]-Table1[[#This Row],[COGS]]</f>
        <v>119000</v>
      </c>
      <c r="Q1277" s="1">
        <v>1276</v>
      </c>
    </row>
    <row r="1278" spans="1:17">
      <c r="A1278" t="s">
        <v>64</v>
      </c>
      <c r="B1278" t="str">
        <f>TEXT(Table1[[#This Row],[Date]],"MMMM")</f>
        <v>April</v>
      </c>
      <c r="C1278" t="str">
        <f>TEXT(Table1[[#This Row],[Date]],"DDDD")</f>
        <v>Saturday</v>
      </c>
      <c r="D1278" t="s">
        <v>44</v>
      </c>
      <c r="E1278" t="s">
        <v>45</v>
      </c>
      <c r="F1278" t="s">
        <v>29</v>
      </c>
      <c r="G1278" t="s">
        <v>37</v>
      </c>
      <c r="H1278" t="s">
        <v>62</v>
      </c>
      <c r="I1278" t="s">
        <v>51</v>
      </c>
      <c r="J1278" s="3">
        <v>150000</v>
      </c>
      <c r="K1278">
        <v>7</v>
      </c>
      <c r="L1278" t="s">
        <v>58</v>
      </c>
      <c r="M1278" s="3">
        <v>120000</v>
      </c>
      <c r="N1278" s="3">
        <f>Table1[[#This Row],[Unit Price]]*Table1[[#This Row],[Quantity]]</f>
        <v>1050000</v>
      </c>
      <c r="O1278" s="3">
        <f>Table1[[#This Row],[Cost Price]]*Table1[[#This Row],[Quantity]]</f>
        <v>840000</v>
      </c>
      <c r="P1278" s="3">
        <f>Table1[[#This Row],[Revenue]]-Table1[[#This Row],[COGS]]</f>
        <v>210000</v>
      </c>
      <c r="Q1278" s="1">
        <v>1277</v>
      </c>
    </row>
    <row r="1279" spans="1:17">
      <c r="A1279" t="s">
        <v>79</v>
      </c>
      <c r="B1279" t="str">
        <f>TEXT(Table1[[#This Row],[Date]],"MMMM")</f>
        <v>February</v>
      </c>
      <c r="C1279" t="str">
        <f>TEXT(Table1[[#This Row],[Date]],"DDDD")</f>
        <v>Wednesday</v>
      </c>
      <c r="D1279" t="s">
        <v>35</v>
      </c>
      <c r="E1279" t="s">
        <v>45</v>
      </c>
      <c r="F1279" t="s">
        <v>41</v>
      </c>
      <c r="G1279" t="s">
        <v>30</v>
      </c>
      <c r="H1279" t="s">
        <v>38</v>
      </c>
      <c r="I1279" t="s">
        <v>39</v>
      </c>
      <c r="J1279" s="3">
        <v>30000</v>
      </c>
      <c r="K1279">
        <v>3</v>
      </c>
      <c r="L1279" t="s">
        <v>42</v>
      </c>
      <c r="M1279" s="3">
        <v>24000</v>
      </c>
      <c r="N1279" s="3">
        <f>Table1[[#This Row],[Unit Price]]*Table1[[#This Row],[Quantity]]</f>
        <v>90000</v>
      </c>
      <c r="O1279" s="3">
        <f>Table1[[#This Row],[Cost Price]]*Table1[[#This Row],[Quantity]]</f>
        <v>72000</v>
      </c>
      <c r="P1279" s="3">
        <f>Table1[[#This Row],[Revenue]]-Table1[[#This Row],[COGS]]</f>
        <v>18000</v>
      </c>
      <c r="Q1279" s="1">
        <v>1278</v>
      </c>
    </row>
    <row r="1280" spans="1:17">
      <c r="A1280" t="s">
        <v>167</v>
      </c>
      <c r="B1280" t="str">
        <f>TEXT(Table1[[#This Row],[Date]],"MMMM")</f>
        <v>April</v>
      </c>
      <c r="C1280" t="str">
        <f>TEXT(Table1[[#This Row],[Date]],"DDDD")</f>
        <v>Wednesday</v>
      </c>
      <c r="D1280" t="s">
        <v>35</v>
      </c>
      <c r="E1280" t="s">
        <v>45</v>
      </c>
      <c r="F1280" t="s">
        <v>41</v>
      </c>
      <c r="G1280" t="s">
        <v>37</v>
      </c>
      <c r="H1280" t="s">
        <v>38</v>
      </c>
      <c r="I1280" t="s">
        <v>39</v>
      </c>
      <c r="J1280" s="3">
        <v>30000</v>
      </c>
      <c r="K1280">
        <v>3</v>
      </c>
      <c r="L1280" t="s">
        <v>69</v>
      </c>
      <c r="M1280" s="3">
        <v>24000</v>
      </c>
      <c r="N1280" s="3">
        <f>Table1[[#This Row],[Unit Price]]*Table1[[#This Row],[Quantity]]</f>
        <v>90000</v>
      </c>
      <c r="O1280" s="3">
        <f>Table1[[#This Row],[Cost Price]]*Table1[[#This Row],[Quantity]]</f>
        <v>72000</v>
      </c>
      <c r="P1280" s="3">
        <f>Table1[[#This Row],[Revenue]]-Table1[[#This Row],[COGS]]</f>
        <v>18000</v>
      </c>
      <c r="Q1280" s="1">
        <v>1279</v>
      </c>
    </row>
    <row r="1281" spans="1:17">
      <c r="A1281" t="s">
        <v>148</v>
      </c>
      <c r="B1281" t="str">
        <f>TEXT(Table1[[#This Row],[Date]],"MMMM")</f>
        <v>February</v>
      </c>
      <c r="C1281" t="str">
        <f>TEXT(Table1[[#This Row],[Date]],"DDDD")</f>
        <v>Sunday</v>
      </c>
      <c r="D1281" t="s">
        <v>49</v>
      </c>
      <c r="E1281" t="s">
        <v>53</v>
      </c>
      <c r="F1281" t="s">
        <v>29</v>
      </c>
      <c r="G1281" t="s">
        <v>30</v>
      </c>
      <c r="H1281" t="s">
        <v>38</v>
      </c>
      <c r="I1281" t="s">
        <v>39</v>
      </c>
      <c r="J1281" s="3">
        <v>30000</v>
      </c>
      <c r="K1281">
        <v>4</v>
      </c>
      <c r="L1281" t="s">
        <v>65</v>
      </c>
      <c r="M1281" s="3">
        <v>24000</v>
      </c>
      <c r="N1281" s="3">
        <f>Table1[[#This Row],[Unit Price]]*Table1[[#This Row],[Quantity]]</f>
        <v>120000</v>
      </c>
      <c r="O1281" s="3">
        <f>Table1[[#This Row],[Cost Price]]*Table1[[#This Row],[Quantity]]</f>
        <v>96000</v>
      </c>
      <c r="P1281" s="3">
        <f>Table1[[#This Row],[Revenue]]-Table1[[#This Row],[COGS]]</f>
        <v>24000</v>
      </c>
      <c r="Q1281" s="1">
        <v>1280</v>
      </c>
    </row>
    <row r="1282" spans="1:17">
      <c r="A1282" t="s">
        <v>163</v>
      </c>
      <c r="B1282" t="str">
        <f>TEXT(Table1[[#This Row],[Date]],"MMMM")</f>
        <v>April</v>
      </c>
      <c r="C1282" t="str">
        <f>TEXT(Table1[[#This Row],[Date]],"DDDD")</f>
        <v>Tuesday</v>
      </c>
      <c r="D1282" t="s">
        <v>44</v>
      </c>
      <c r="E1282" t="s">
        <v>36</v>
      </c>
      <c r="F1282" t="s">
        <v>29</v>
      </c>
      <c r="G1282" t="s">
        <v>37</v>
      </c>
      <c r="H1282" t="s">
        <v>46</v>
      </c>
      <c r="I1282" t="s">
        <v>39</v>
      </c>
      <c r="J1282" s="3">
        <v>60000</v>
      </c>
      <c r="K1282">
        <v>9</v>
      </c>
      <c r="L1282" t="s">
        <v>42</v>
      </c>
      <c r="M1282" s="3">
        <v>48000</v>
      </c>
      <c r="N1282" s="3">
        <f>Table1[[#This Row],[Unit Price]]*Table1[[#This Row],[Quantity]]</f>
        <v>540000</v>
      </c>
      <c r="O1282" s="3">
        <f>Table1[[#This Row],[Cost Price]]*Table1[[#This Row],[Quantity]]</f>
        <v>432000</v>
      </c>
      <c r="P1282" s="3">
        <f>Table1[[#This Row],[Revenue]]-Table1[[#This Row],[COGS]]</f>
        <v>108000</v>
      </c>
      <c r="Q1282" s="1">
        <v>1281</v>
      </c>
    </row>
    <row r="1283" spans="1:17">
      <c r="A1283" t="s">
        <v>139</v>
      </c>
      <c r="B1283" t="str">
        <f>TEXT(Table1[[#This Row],[Date]],"MMMM")</f>
        <v>January</v>
      </c>
      <c r="C1283" t="str">
        <f>TEXT(Table1[[#This Row],[Date]],"DDDD")</f>
        <v>Monday</v>
      </c>
      <c r="D1283" t="s">
        <v>44</v>
      </c>
      <c r="E1283" t="s">
        <v>53</v>
      </c>
      <c r="F1283" t="s">
        <v>41</v>
      </c>
      <c r="G1283" t="s">
        <v>30</v>
      </c>
      <c r="H1283" t="s">
        <v>46</v>
      </c>
      <c r="I1283" t="s">
        <v>39</v>
      </c>
      <c r="J1283" s="3">
        <v>60000</v>
      </c>
      <c r="K1283">
        <v>9</v>
      </c>
      <c r="L1283" t="s">
        <v>58</v>
      </c>
      <c r="M1283" s="3">
        <v>48000</v>
      </c>
      <c r="N1283" s="3">
        <f>Table1[[#This Row],[Unit Price]]*Table1[[#This Row],[Quantity]]</f>
        <v>540000</v>
      </c>
      <c r="O1283" s="3">
        <f>Table1[[#This Row],[Cost Price]]*Table1[[#This Row],[Quantity]]</f>
        <v>432000</v>
      </c>
      <c r="P1283" s="3">
        <f>Table1[[#This Row],[Revenue]]-Table1[[#This Row],[COGS]]</f>
        <v>108000</v>
      </c>
      <c r="Q1283" s="1">
        <v>1282</v>
      </c>
    </row>
    <row r="1284" spans="1:17">
      <c r="A1284" t="s">
        <v>109</v>
      </c>
      <c r="B1284" t="str">
        <f>TEXT(Table1[[#This Row],[Date]],"MMMM")</f>
        <v>March</v>
      </c>
      <c r="C1284" t="str">
        <f>TEXT(Table1[[#This Row],[Date]],"DDDD")</f>
        <v>Monday</v>
      </c>
      <c r="D1284" t="s">
        <v>44</v>
      </c>
      <c r="E1284" t="s">
        <v>28</v>
      </c>
      <c r="F1284" t="s">
        <v>41</v>
      </c>
      <c r="G1284" t="s">
        <v>30</v>
      </c>
      <c r="H1284" t="s">
        <v>67</v>
      </c>
      <c r="I1284" t="s">
        <v>51</v>
      </c>
      <c r="J1284" s="3">
        <v>420000</v>
      </c>
      <c r="K1284">
        <v>2</v>
      </c>
      <c r="L1284" t="s">
        <v>47</v>
      </c>
      <c r="M1284" s="3">
        <v>336000</v>
      </c>
      <c r="N1284" s="3">
        <f>Table1[[#This Row],[Unit Price]]*Table1[[#This Row],[Quantity]]</f>
        <v>840000</v>
      </c>
      <c r="O1284" s="3">
        <f>Table1[[#This Row],[Cost Price]]*Table1[[#This Row],[Quantity]]</f>
        <v>672000</v>
      </c>
      <c r="P1284" s="3">
        <f>Table1[[#This Row],[Revenue]]-Table1[[#This Row],[COGS]]</f>
        <v>168000</v>
      </c>
      <c r="Q1284" s="1">
        <v>1283</v>
      </c>
    </row>
    <row r="1285" spans="1:17">
      <c r="A1285" t="s">
        <v>153</v>
      </c>
      <c r="B1285" t="str">
        <f>TEXT(Table1[[#This Row],[Date]],"MMMM")</f>
        <v>March</v>
      </c>
      <c r="C1285" t="str">
        <f>TEXT(Table1[[#This Row],[Date]],"DDDD")</f>
        <v>Tuesday</v>
      </c>
      <c r="D1285" t="s">
        <v>49</v>
      </c>
      <c r="E1285" t="s">
        <v>45</v>
      </c>
      <c r="F1285" t="s">
        <v>29</v>
      </c>
      <c r="G1285" t="s">
        <v>37</v>
      </c>
      <c r="H1285" t="s">
        <v>56</v>
      </c>
      <c r="I1285" t="s">
        <v>32</v>
      </c>
      <c r="J1285" s="3">
        <v>320000</v>
      </c>
      <c r="K1285">
        <v>1</v>
      </c>
      <c r="L1285" t="s">
        <v>69</v>
      </c>
      <c r="M1285" s="3">
        <v>256000</v>
      </c>
      <c r="N1285" s="3">
        <f>Table1[[#This Row],[Unit Price]]*Table1[[#This Row],[Quantity]]</f>
        <v>320000</v>
      </c>
      <c r="O1285" s="3">
        <f>Table1[[#This Row],[Cost Price]]*Table1[[#This Row],[Quantity]]</f>
        <v>256000</v>
      </c>
      <c r="P1285" s="3">
        <f>Table1[[#This Row],[Revenue]]-Table1[[#This Row],[COGS]]</f>
        <v>64000</v>
      </c>
      <c r="Q1285" s="1">
        <v>1284</v>
      </c>
    </row>
    <row r="1286" spans="1:17">
      <c r="A1286" t="s">
        <v>101</v>
      </c>
      <c r="B1286" t="str">
        <f>TEXT(Table1[[#This Row],[Date]],"MMMM")</f>
        <v>January</v>
      </c>
      <c r="C1286" t="str">
        <f>TEXT(Table1[[#This Row],[Date]],"DDDD")</f>
        <v>Thursday</v>
      </c>
      <c r="D1286" t="s">
        <v>27</v>
      </c>
      <c r="E1286" t="s">
        <v>28</v>
      </c>
      <c r="F1286" t="s">
        <v>29</v>
      </c>
      <c r="G1286" t="s">
        <v>37</v>
      </c>
      <c r="H1286" t="s">
        <v>38</v>
      </c>
      <c r="I1286" t="s">
        <v>39</v>
      </c>
      <c r="J1286" s="3">
        <v>30000</v>
      </c>
      <c r="K1286">
        <v>5</v>
      </c>
      <c r="L1286" t="s">
        <v>42</v>
      </c>
      <c r="M1286" s="3">
        <v>24000</v>
      </c>
      <c r="N1286" s="3">
        <f>Table1[[#This Row],[Unit Price]]*Table1[[#This Row],[Quantity]]</f>
        <v>150000</v>
      </c>
      <c r="O1286" s="3">
        <f>Table1[[#This Row],[Cost Price]]*Table1[[#This Row],[Quantity]]</f>
        <v>120000</v>
      </c>
      <c r="P1286" s="3">
        <f>Table1[[#This Row],[Revenue]]-Table1[[#This Row],[COGS]]</f>
        <v>30000</v>
      </c>
      <c r="Q1286" s="1">
        <v>1285</v>
      </c>
    </row>
    <row r="1287" spans="1:17">
      <c r="A1287" t="s">
        <v>141</v>
      </c>
      <c r="B1287" t="str">
        <f>TEXT(Table1[[#This Row],[Date]],"MMMM")</f>
        <v>March</v>
      </c>
      <c r="C1287" t="str">
        <f>TEXT(Table1[[#This Row],[Date]],"DDDD")</f>
        <v>Sunday</v>
      </c>
      <c r="D1287" t="s">
        <v>27</v>
      </c>
      <c r="E1287" t="s">
        <v>45</v>
      </c>
      <c r="F1287" s="2" t="s">
        <v>41</v>
      </c>
      <c r="G1287" t="s">
        <v>37</v>
      </c>
      <c r="H1287" t="s">
        <v>31</v>
      </c>
      <c r="I1287" t="s">
        <v>32</v>
      </c>
      <c r="J1287" s="3">
        <v>85000</v>
      </c>
      <c r="K1287">
        <v>5</v>
      </c>
      <c r="L1287" t="s">
        <v>69</v>
      </c>
      <c r="M1287" s="3">
        <v>68000</v>
      </c>
      <c r="N1287" s="3">
        <f>Table1[[#This Row],[Unit Price]]*Table1[[#This Row],[Quantity]]</f>
        <v>425000</v>
      </c>
      <c r="O1287" s="3">
        <f>Table1[[#This Row],[Cost Price]]*Table1[[#This Row],[Quantity]]</f>
        <v>340000</v>
      </c>
      <c r="P1287" s="3">
        <f>Table1[[#This Row],[Revenue]]-Table1[[#This Row],[COGS]]</f>
        <v>85000</v>
      </c>
      <c r="Q1287" s="1">
        <v>1286</v>
      </c>
    </row>
    <row r="1288" spans="1:17">
      <c r="A1288" t="s">
        <v>126</v>
      </c>
      <c r="B1288" t="str">
        <f>TEXT(Table1[[#This Row],[Date]],"MMMM")</f>
        <v>January</v>
      </c>
      <c r="C1288" t="str">
        <f>TEXT(Table1[[#This Row],[Date]],"DDDD")</f>
        <v>Thursday</v>
      </c>
      <c r="D1288" t="s">
        <v>27</v>
      </c>
      <c r="E1288" t="s">
        <v>45</v>
      </c>
      <c r="F1288" s="2" t="s">
        <v>41</v>
      </c>
      <c r="G1288" t="s">
        <v>30</v>
      </c>
      <c r="H1288" t="s">
        <v>67</v>
      </c>
      <c r="I1288" t="s">
        <v>51</v>
      </c>
      <c r="J1288" s="3">
        <v>420000</v>
      </c>
      <c r="K1288">
        <v>10</v>
      </c>
      <c r="L1288" t="s">
        <v>58</v>
      </c>
      <c r="M1288" s="3">
        <v>336000</v>
      </c>
      <c r="N1288" s="3">
        <f>Table1[[#This Row],[Unit Price]]*Table1[[#This Row],[Quantity]]</f>
        <v>4200000</v>
      </c>
      <c r="O1288" s="3">
        <f>Table1[[#This Row],[Cost Price]]*Table1[[#This Row],[Quantity]]</f>
        <v>3360000</v>
      </c>
      <c r="P1288" s="3">
        <f>Table1[[#This Row],[Revenue]]-Table1[[#This Row],[COGS]]</f>
        <v>840000</v>
      </c>
      <c r="Q1288" s="1">
        <v>1287</v>
      </c>
    </row>
    <row r="1289" spans="1:17">
      <c r="A1289" t="s">
        <v>128</v>
      </c>
      <c r="B1289" t="str">
        <f>TEXT(Table1[[#This Row],[Date]],"MMMM")</f>
        <v>March</v>
      </c>
      <c r="C1289" t="str">
        <f>TEXT(Table1[[#This Row],[Date]],"DDDD")</f>
        <v>Friday</v>
      </c>
      <c r="D1289" t="s">
        <v>35</v>
      </c>
      <c r="E1289" t="s">
        <v>28</v>
      </c>
      <c r="F1289" s="2" t="s">
        <v>41</v>
      </c>
      <c r="G1289" t="s">
        <v>30</v>
      </c>
      <c r="H1289" t="s">
        <v>71</v>
      </c>
      <c r="I1289" t="s">
        <v>51</v>
      </c>
      <c r="J1289" s="3">
        <v>250000</v>
      </c>
      <c r="K1289">
        <v>8</v>
      </c>
      <c r="L1289" t="s">
        <v>65</v>
      </c>
      <c r="M1289" s="3">
        <v>200000</v>
      </c>
      <c r="N1289" s="3">
        <f>Table1[[#This Row],[Unit Price]]*Table1[[#This Row],[Quantity]]</f>
        <v>2000000</v>
      </c>
      <c r="O1289" s="3">
        <f>Table1[[#This Row],[Cost Price]]*Table1[[#This Row],[Quantity]]</f>
        <v>1600000</v>
      </c>
      <c r="P1289" s="3">
        <f>Table1[[#This Row],[Revenue]]-Table1[[#This Row],[COGS]]</f>
        <v>400000</v>
      </c>
      <c r="Q1289" s="1">
        <v>1288</v>
      </c>
    </row>
    <row r="1290" spans="1:17">
      <c r="A1290" t="s">
        <v>164</v>
      </c>
      <c r="B1290" t="str">
        <f>TEXT(Table1[[#This Row],[Date]],"MMMM")</f>
        <v>March</v>
      </c>
      <c r="C1290" t="str">
        <f>TEXT(Table1[[#This Row],[Date]],"DDDD")</f>
        <v>Tuesday</v>
      </c>
      <c r="D1290" t="s">
        <v>27</v>
      </c>
      <c r="E1290" t="s">
        <v>36</v>
      </c>
      <c r="F1290" s="2" t="s">
        <v>41</v>
      </c>
      <c r="G1290" t="s">
        <v>37</v>
      </c>
      <c r="H1290" t="s">
        <v>71</v>
      </c>
      <c r="I1290" t="s">
        <v>51</v>
      </c>
      <c r="J1290" s="3">
        <v>250000</v>
      </c>
      <c r="K1290">
        <v>10</v>
      </c>
      <c r="L1290" t="s">
        <v>58</v>
      </c>
      <c r="M1290" s="3">
        <v>200000</v>
      </c>
      <c r="N1290" s="3">
        <f>Table1[[#This Row],[Unit Price]]*Table1[[#This Row],[Quantity]]</f>
        <v>2500000</v>
      </c>
      <c r="O1290" s="3">
        <f>Table1[[#This Row],[Cost Price]]*Table1[[#This Row],[Quantity]]</f>
        <v>2000000</v>
      </c>
      <c r="P1290" s="3">
        <f>Table1[[#This Row],[Revenue]]-Table1[[#This Row],[COGS]]</f>
        <v>500000</v>
      </c>
      <c r="Q1290" s="1">
        <v>1289</v>
      </c>
    </row>
    <row r="1291" spans="1:17">
      <c r="A1291" t="s">
        <v>125</v>
      </c>
      <c r="B1291" t="str">
        <f>TEXT(Table1[[#This Row],[Date]],"MMMM")</f>
        <v>February</v>
      </c>
      <c r="C1291" t="str">
        <f>TEXT(Table1[[#This Row],[Date]],"DDDD")</f>
        <v>Tuesday</v>
      </c>
      <c r="D1291" t="s">
        <v>35</v>
      </c>
      <c r="E1291" t="s">
        <v>36</v>
      </c>
      <c r="F1291" s="2" t="s">
        <v>41</v>
      </c>
      <c r="G1291" t="s">
        <v>37</v>
      </c>
      <c r="H1291" t="s">
        <v>62</v>
      </c>
      <c r="I1291" t="s">
        <v>51</v>
      </c>
      <c r="J1291" s="3">
        <v>150000</v>
      </c>
      <c r="K1291">
        <v>4</v>
      </c>
      <c r="L1291" t="s">
        <v>47</v>
      </c>
      <c r="M1291" s="3">
        <v>120000</v>
      </c>
      <c r="N1291" s="3">
        <f>Table1[[#This Row],[Unit Price]]*Table1[[#This Row],[Quantity]]</f>
        <v>600000</v>
      </c>
      <c r="O1291" s="3">
        <f>Table1[[#This Row],[Cost Price]]*Table1[[#This Row],[Quantity]]</f>
        <v>480000</v>
      </c>
      <c r="P1291" s="3">
        <f>Table1[[#This Row],[Revenue]]-Table1[[#This Row],[COGS]]</f>
        <v>120000</v>
      </c>
      <c r="Q1291" s="1">
        <v>1290</v>
      </c>
    </row>
    <row r="1292" spans="1:17">
      <c r="A1292" t="s">
        <v>136</v>
      </c>
      <c r="B1292" t="str">
        <f>TEXT(Table1[[#This Row],[Date]],"MMMM")</f>
        <v>February</v>
      </c>
      <c r="C1292" t="str">
        <f>TEXT(Table1[[#This Row],[Date]],"DDDD")</f>
        <v>Saturday</v>
      </c>
      <c r="D1292" t="s">
        <v>35</v>
      </c>
      <c r="E1292" t="s">
        <v>36</v>
      </c>
      <c r="F1292" s="2" t="s">
        <v>41</v>
      </c>
      <c r="G1292" t="s">
        <v>30</v>
      </c>
      <c r="H1292" t="s">
        <v>54</v>
      </c>
      <c r="I1292" t="s">
        <v>39</v>
      </c>
      <c r="J1292" s="3">
        <v>180000</v>
      </c>
      <c r="K1292">
        <v>6</v>
      </c>
      <c r="L1292" t="s">
        <v>47</v>
      </c>
      <c r="M1292" s="3">
        <v>144000</v>
      </c>
      <c r="N1292" s="3">
        <f>Table1[[#This Row],[Unit Price]]*Table1[[#This Row],[Quantity]]</f>
        <v>1080000</v>
      </c>
      <c r="O1292" s="3">
        <f>Table1[[#This Row],[Cost Price]]*Table1[[#This Row],[Quantity]]</f>
        <v>864000</v>
      </c>
      <c r="P1292" s="3">
        <f>Table1[[#This Row],[Revenue]]-Table1[[#This Row],[COGS]]</f>
        <v>216000</v>
      </c>
      <c r="Q1292" s="1">
        <v>1291</v>
      </c>
    </row>
    <row r="1293" spans="1:17">
      <c r="A1293" t="s">
        <v>121</v>
      </c>
      <c r="B1293" t="str">
        <f>TEXT(Table1[[#This Row],[Date]],"MMMM")</f>
        <v>April</v>
      </c>
      <c r="C1293" t="str">
        <f>TEXT(Table1[[#This Row],[Date]],"DDDD")</f>
        <v>Wednesday</v>
      </c>
      <c r="D1293" t="s">
        <v>35</v>
      </c>
      <c r="E1293" t="s">
        <v>45</v>
      </c>
      <c r="F1293" s="2" t="s">
        <v>41</v>
      </c>
      <c r="G1293" t="s">
        <v>37</v>
      </c>
      <c r="H1293" t="s">
        <v>38</v>
      </c>
      <c r="I1293" t="s">
        <v>39</v>
      </c>
      <c r="J1293" s="3">
        <v>30000</v>
      </c>
      <c r="K1293">
        <v>6</v>
      </c>
      <c r="L1293" t="s">
        <v>47</v>
      </c>
      <c r="M1293" s="3">
        <v>24000</v>
      </c>
      <c r="N1293" s="3">
        <f>Table1[[#This Row],[Unit Price]]*Table1[[#This Row],[Quantity]]</f>
        <v>180000</v>
      </c>
      <c r="O1293" s="3">
        <f>Table1[[#This Row],[Cost Price]]*Table1[[#This Row],[Quantity]]</f>
        <v>144000</v>
      </c>
      <c r="P1293" s="3">
        <f>Table1[[#This Row],[Revenue]]-Table1[[#This Row],[COGS]]</f>
        <v>36000</v>
      </c>
      <c r="Q1293" s="1">
        <v>1292</v>
      </c>
    </row>
    <row r="1294" spans="1:17">
      <c r="A1294" t="s">
        <v>95</v>
      </c>
      <c r="B1294" t="str">
        <f>TEXT(Table1[[#This Row],[Date]],"MMMM")</f>
        <v>February</v>
      </c>
      <c r="C1294" t="str">
        <f>TEXT(Table1[[#This Row],[Date]],"DDDD")</f>
        <v>Saturday</v>
      </c>
      <c r="D1294" t="s">
        <v>27</v>
      </c>
      <c r="E1294" t="s">
        <v>36</v>
      </c>
      <c r="F1294" s="2" t="s">
        <v>41</v>
      </c>
      <c r="G1294" t="s">
        <v>30</v>
      </c>
      <c r="H1294" t="s">
        <v>71</v>
      </c>
      <c r="I1294" t="s">
        <v>51</v>
      </c>
      <c r="J1294" s="3">
        <v>250000</v>
      </c>
      <c r="K1294">
        <v>5</v>
      </c>
      <c r="L1294" t="s">
        <v>58</v>
      </c>
      <c r="M1294" s="3">
        <v>200000</v>
      </c>
      <c r="N1294" s="3">
        <f>Table1[[#This Row],[Unit Price]]*Table1[[#This Row],[Quantity]]</f>
        <v>1250000</v>
      </c>
      <c r="O1294" s="3">
        <f>Table1[[#This Row],[Cost Price]]*Table1[[#This Row],[Quantity]]</f>
        <v>1000000</v>
      </c>
      <c r="P1294" s="3">
        <f>Table1[[#This Row],[Revenue]]-Table1[[#This Row],[COGS]]</f>
        <v>250000</v>
      </c>
      <c r="Q1294" s="1">
        <v>1293</v>
      </c>
    </row>
    <row r="1295" spans="1:17">
      <c r="A1295" t="s">
        <v>159</v>
      </c>
      <c r="B1295" t="str">
        <f>TEXT(Table1[[#This Row],[Date]],"MMMM")</f>
        <v>February</v>
      </c>
      <c r="C1295" t="str">
        <f>TEXT(Table1[[#This Row],[Date]],"DDDD")</f>
        <v>Sunday</v>
      </c>
      <c r="D1295" t="s">
        <v>44</v>
      </c>
      <c r="E1295" t="s">
        <v>36</v>
      </c>
      <c r="F1295" s="2" t="s">
        <v>41</v>
      </c>
      <c r="G1295" t="s">
        <v>30</v>
      </c>
      <c r="H1295" t="s">
        <v>56</v>
      </c>
      <c r="I1295" t="s">
        <v>32</v>
      </c>
      <c r="J1295" s="3">
        <v>320000</v>
      </c>
      <c r="K1295">
        <v>2</v>
      </c>
      <c r="L1295" t="s">
        <v>69</v>
      </c>
      <c r="M1295" s="3">
        <v>256000</v>
      </c>
      <c r="N1295" s="3">
        <f>Table1[[#This Row],[Unit Price]]*Table1[[#This Row],[Quantity]]</f>
        <v>640000</v>
      </c>
      <c r="O1295" s="3">
        <f>Table1[[#This Row],[Cost Price]]*Table1[[#This Row],[Quantity]]</f>
        <v>512000</v>
      </c>
      <c r="P1295" s="3">
        <f>Table1[[#This Row],[Revenue]]-Table1[[#This Row],[COGS]]</f>
        <v>128000</v>
      </c>
      <c r="Q1295" s="1">
        <v>1294</v>
      </c>
    </row>
    <row r="1296" spans="1:17">
      <c r="A1296" t="s">
        <v>74</v>
      </c>
      <c r="B1296" t="str">
        <f>TEXT(Table1[[#This Row],[Date]],"MMMM")</f>
        <v>February</v>
      </c>
      <c r="C1296" t="str">
        <f>TEXT(Table1[[#This Row],[Date]],"DDDD")</f>
        <v>Monday</v>
      </c>
      <c r="D1296" t="s">
        <v>35</v>
      </c>
      <c r="E1296" t="s">
        <v>36</v>
      </c>
      <c r="F1296" s="2" t="s">
        <v>41</v>
      </c>
      <c r="G1296" t="s">
        <v>37</v>
      </c>
      <c r="H1296" t="s">
        <v>50</v>
      </c>
      <c r="I1296" t="s">
        <v>51</v>
      </c>
      <c r="J1296" s="3">
        <v>300000</v>
      </c>
      <c r="K1296">
        <v>10</v>
      </c>
      <c r="L1296" t="s">
        <v>58</v>
      </c>
      <c r="M1296" s="3">
        <v>240000</v>
      </c>
      <c r="N1296" s="3">
        <f>Table1[[#This Row],[Unit Price]]*Table1[[#This Row],[Quantity]]</f>
        <v>3000000</v>
      </c>
      <c r="O1296" s="3">
        <f>Table1[[#This Row],[Cost Price]]*Table1[[#This Row],[Quantity]]</f>
        <v>2400000</v>
      </c>
      <c r="P1296" s="3">
        <f>Table1[[#This Row],[Revenue]]-Table1[[#This Row],[COGS]]</f>
        <v>600000</v>
      </c>
      <c r="Q1296" s="1">
        <v>1295</v>
      </c>
    </row>
    <row r="1297" spans="1:17">
      <c r="A1297" t="s">
        <v>61</v>
      </c>
      <c r="B1297" t="str">
        <f>TEXT(Table1[[#This Row],[Date]],"MMMM")</f>
        <v>January</v>
      </c>
      <c r="C1297" t="str">
        <f>TEXT(Table1[[#This Row],[Date]],"DDDD")</f>
        <v>Friday</v>
      </c>
      <c r="D1297" t="s">
        <v>27</v>
      </c>
      <c r="E1297" t="s">
        <v>36</v>
      </c>
      <c r="F1297" s="2" t="s">
        <v>41</v>
      </c>
      <c r="G1297" t="s">
        <v>37</v>
      </c>
      <c r="H1297" t="s">
        <v>50</v>
      </c>
      <c r="I1297" t="s">
        <v>51</v>
      </c>
      <c r="J1297" s="3">
        <v>300000</v>
      </c>
      <c r="K1297">
        <v>7</v>
      </c>
      <c r="L1297" t="s">
        <v>65</v>
      </c>
      <c r="M1297" s="3">
        <v>240000</v>
      </c>
      <c r="N1297" s="3">
        <f>Table1[[#This Row],[Unit Price]]*Table1[[#This Row],[Quantity]]</f>
        <v>2100000</v>
      </c>
      <c r="O1297" s="3">
        <f>Table1[[#This Row],[Cost Price]]*Table1[[#This Row],[Quantity]]</f>
        <v>1680000</v>
      </c>
      <c r="P1297" s="3">
        <f>Table1[[#This Row],[Revenue]]-Table1[[#This Row],[COGS]]</f>
        <v>420000</v>
      </c>
      <c r="Q1297" s="1">
        <v>1296</v>
      </c>
    </row>
    <row r="1298" spans="1:17">
      <c r="A1298" t="s">
        <v>150</v>
      </c>
      <c r="B1298" t="str">
        <f>TEXT(Table1[[#This Row],[Date]],"MMMM")</f>
        <v>January</v>
      </c>
      <c r="C1298" t="str">
        <f>TEXT(Table1[[#This Row],[Date]],"DDDD")</f>
        <v>Sunday</v>
      </c>
      <c r="D1298" t="s">
        <v>49</v>
      </c>
      <c r="E1298" t="s">
        <v>28</v>
      </c>
      <c r="F1298" s="2" t="s">
        <v>41</v>
      </c>
      <c r="G1298" t="s">
        <v>30</v>
      </c>
      <c r="H1298" t="s">
        <v>54</v>
      </c>
      <c r="I1298" t="s">
        <v>39</v>
      </c>
      <c r="J1298" s="3">
        <v>180000</v>
      </c>
      <c r="K1298">
        <v>1</v>
      </c>
      <c r="L1298" t="s">
        <v>69</v>
      </c>
      <c r="M1298" s="3">
        <v>144000</v>
      </c>
      <c r="N1298" s="3">
        <f>Table1[[#This Row],[Unit Price]]*Table1[[#This Row],[Quantity]]</f>
        <v>180000</v>
      </c>
      <c r="O1298" s="3">
        <f>Table1[[#This Row],[Cost Price]]*Table1[[#This Row],[Quantity]]</f>
        <v>144000</v>
      </c>
      <c r="P1298" s="3">
        <f>Table1[[#This Row],[Revenue]]-Table1[[#This Row],[COGS]]</f>
        <v>36000</v>
      </c>
      <c r="Q1298" s="1">
        <v>1297</v>
      </c>
    </row>
    <row r="1299" spans="1:17">
      <c r="A1299" t="s">
        <v>151</v>
      </c>
      <c r="B1299" t="str">
        <f>TEXT(Table1[[#This Row],[Date]],"MMMM")</f>
        <v>February</v>
      </c>
      <c r="C1299" t="str">
        <f>TEXT(Table1[[#This Row],[Date]],"DDDD")</f>
        <v>Tuesday</v>
      </c>
      <c r="D1299" t="s">
        <v>35</v>
      </c>
      <c r="E1299" t="s">
        <v>45</v>
      </c>
      <c r="F1299" s="2" t="s">
        <v>41</v>
      </c>
      <c r="G1299" t="s">
        <v>37</v>
      </c>
      <c r="H1299" t="s">
        <v>50</v>
      </c>
      <c r="I1299" t="s">
        <v>51</v>
      </c>
      <c r="J1299" s="3">
        <v>300000</v>
      </c>
      <c r="K1299">
        <v>10</v>
      </c>
      <c r="L1299" t="s">
        <v>33</v>
      </c>
      <c r="M1299" s="3">
        <v>240000</v>
      </c>
      <c r="N1299" s="3">
        <f>Table1[[#This Row],[Unit Price]]*Table1[[#This Row],[Quantity]]</f>
        <v>3000000</v>
      </c>
      <c r="O1299" s="3">
        <f>Table1[[#This Row],[Cost Price]]*Table1[[#This Row],[Quantity]]</f>
        <v>2400000</v>
      </c>
      <c r="P1299" s="3">
        <f>Table1[[#This Row],[Revenue]]-Table1[[#This Row],[COGS]]</f>
        <v>600000</v>
      </c>
      <c r="Q1299" s="1">
        <v>1298</v>
      </c>
    </row>
    <row r="1300" spans="1:17">
      <c r="A1300" t="s">
        <v>165</v>
      </c>
      <c r="B1300" t="str">
        <f>TEXT(Table1[[#This Row],[Date]],"MMMM")</f>
        <v>April</v>
      </c>
      <c r="C1300" t="str">
        <f>TEXT(Table1[[#This Row],[Date]],"DDDD")</f>
        <v>Sunday</v>
      </c>
      <c r="D1300" t="s">
        <v>27</v>
      </c>
      <c r="E1300" t="s">
        <v>53</v>
      </c>
      <c r="F1300" s="2" t="s">
        <v>41</v>
      </c>
      <c r="G1300" t="s">
        <v>30</v>
      </c>
      <c r="H1300" t="s">
        <v>54</v>
      </c>
      <c r="I1300" t="s">
        <v>39</v>
      </c>
      <c r="J1300" s="3">
        <v>180000</v>
      </c>
      <c r="K1300">
        <v>7</v>
      </c>
      <c r="L1300" t="s">
        <v>65</v>
      </c>
      <c r="M1300" s="3">
        <v>144000</v>
      </c>
      <c r="N1300" s="3">
        <f>Table1[[#This Row],[Unit Price]]*Table1[[#This Row],[Quantity]]</f>
        <v>1260000</v>
      </c>
      <c r="O1300" s="3">
        <f>Table1[[#This Row],[Cost Price]]*Table1[[#This Row],[Quantity]]</f>
        <v>1008000</v>
      </c>
      <c r="P1300" s="3">
        <f>Table1[[#This Row],[Revenue]]-Table1[[#This Row],[COGS]]</f>
        <v>252000</v>
      </c>
      <c r="Q1300" s="1">
        <v>1299</v>
      </c>
    </row>
    <row r="1301" spans="1:17">
      <c r="A1301" t="s">
        <v>139</v>
      </c>
      <c r="B1301" t="str">
        <f>TEXT(Table1[[#This Row],[Date]],"MMMM")</f>
        <v>January</v>
      </c>
      <c r="C1301" t="str">
        <f>TEXT(Table1[[#This Row],[Date]],"DDDD")</f>
        <v>Monday</v>
      </c>
      <c r="D1301" t="s">
        <v>27</v>
      </c>
      <c r="E1301" t="s">
        <v>36</v>
      </c>
      <c r="F1301" s="2" t="s">
        <v>41</v>
      </c>
      <c r="G1301" t="s">
        <v>30</v>
      </c>
      <c r="H1301" t="s">
        <v>38</v>
      </c>
      <c r="I1301" t="s">
        <v>39</v>
      </c>
      <c r="J1301" s="3">
        <v>30000</v>
      </c>
      <c r="K1301">
        <v>7</v>
      </c>
      <c r="L1301" t="s">
        <v>47</v>
      </c>
      <c r="M1301" s="3">
        <v>24000</v>
      </c>
      <c r="N1301" s="3">
        <f>Table1[[#This Row],[Unit Price]]*Table1[[#This Row],[Quantity]]</f>
        <v>210000</v>
      </c>
      <c r="O1301" s="3">
        <f>Table1[[#This Row],[Cost Price]]*Table1[[#This Row],[Quantity]]</f>
        <v>168000</v>
      </c>
      <c r="P1301" s="3">
        <f>Table1[[#This Row],[Revenue]]-Table1[[#This Row],[COGS]]</f>
        <v>42000</v>
      </c>
      <c r="Q1301" s="1">
        <v>1300</v>
      </c>
    </row>
    <row r="1302" spans="1:17">
      <c r="A1302" t="s">
        <v>92</v>
      </c>
      <c r="B1302" t="str">
        <f>TEXT(Table1[[#This Row],[Date]],"MMMM")</f>
        <v>January</v>
      </c>
      <c r="C1302" t="str">
        <f>TEXT(Table1[[#This Row],[Date]],"DDDD")</f>
        <v>Tuesday</v>
      </c>
      <c r="D1302" t="s">
        <v>35</v>
      </c>
      <c r="E1302" t="s">
        <v>28</v>
      </c>
      <c r="F1302" s="2" t="s">
        <v>41</v>
      </c>
      <c r="G1302" t="s">
        <v>30</v>
      </c>
      <c r="H1302" t="s">
        <v>38</v>
      </c>
      <c r="I1302" t="s">
        <v>39</v>
      </c>
      <c r="J1302" s="3">
        <v>30000</v>
      </c>
      <c r="K1302">
        <v>6</v>
      </c>
      <c r="L1302" t="s">
        <v>42</v>
      </c>
      <c r="M1302" s="3">
        <v>24000</v>
      </c>
      <c r="N1302" s="3">
        <f>Table1[[#This Row],[Unit Price]]*Table1[[#This Row],[Quantity]]</f>
        <v>180000</v>
      </c>
      <c r="O1302" s="3">
        <f>Table1[[#This Row],[Cost Price]]*Table1[[#This Row],[Quantity]]</f>
        <v>144000</v>
      </c>
      <c r="P1302" s="3">
        <f>Table1[[#This Row],[Revenue]]-Table1[[#This Row],[COGS]]</f>
        <v>36000</v>
      </c>
      <c r="Q1302" s="1">
        <v>1301</v>
      </c>
    </row>
    <row r="1303" spans="1:17">
      <c r="A1303" t="s">
        <v>148</v>
      </c>
      <c r="B1303" t="str">
        <f>TEXT(Table1[[#This Row],[Date]],"MMMM")</f>
        <v>February</v>
      </c>
      <c r="C1303" t="str">
        <f>TEXT(Table1[[#This Row],[Date]],"DDDD")</f>
        <v>Sunday</v>
      </c>
      <c r="D1303" t="s">
        <v>35</v>
      </c>
      <c r="E1303" t="s">
        <v>36</v>
      </c>
      <c r="F1303" s="2" t="s">
        <v>41</v>
      </c>
      <c r="G1303" t="s">
        <v>30</v>
      </c>
      <c r="H1303" t="s">
        <v>31</v>
      </c>
      <c r="I1303" t="s">
        <v>32</v>
      </c>
      <c r="J1303" s="3">
        <v>85000</v>
      </c>
      <c r="K1303">
        <v>7</v>
      </c>
      <c r="L1303" t="s">
        <v>58</v>
      </c>
      <c r="M1303" s="3">
        <v>68000</v>
      </c>
      <c r="N1303" s="3">
        <f>Table1[[#This Row],[Unit Price]]*Table1[[#This Row],[Quantity]]</f>
        <v>595000</v>
      </c>
      <c r="O1303" s="3">
        <f>Table1[[#This Row],[Cost Price]]*Table1[[#This Row],[Quantity]]</f>
        <v>476000</v>
      </c>
      <c r="P1303" s="3">
        <f>Table1[[#This Row],[Revenue]]-Table1[[#This Row],[COGS]]</f>
        <v>119000</v>
      </c>
      <c r="Q1303" s="1">
        <v>1302</v>
      </c>
    </row>
    <row r="1304" spans="1:17">
      <c r="A1304" t="s">
        <v>78</v>
      </c>
      <c r="B1304" t="str">
        <f>TEXT(Table1[[#This Row],[Date]],"MMMM")</f>
        <v>April</v>
      </c>
      <c r="C1304" t="str">
        <f>TEXT(Table1[[#This Row],[Date]],"DDDD")</f>
        <v>Tuesday</v>
      </c>
      <c r="D1304" t="s">
        <v>35</v>
      </c>
      <c r="E1304" t="s">
        <v>28</v>
      </c>
      <c r="F1304" s="2" t="s">
        <v>41</v>
      </c>
      <c r="G1304" t="s">
        <v>37</v>
      </c>
      <c r="H1304" t="s">
        <v>71</v>
      </c>
      <c r="I1304" t="s">
        <v>51</v>
      </c>
      <c r="J1304" s="3">
        <v>250000</v>
      </c>
      <c r="K1304">
        <v>3</v>
      </c>
      <c r="L1304" t="s">
        <v>58</v>
      </c>
      <c r="M1304" s="3">
        <v>200000</v>
      </c>
      <c r="N1304" s="3">
        <f>Table1[[#This Row],[Unit Price]]*Table1[[#This Row],[Quantity]]</f>
        <v>750000</v>
      </c>
      <c r="O1304" s="3">
        <f>Table1[[#This Row],[Cost Price]]*Table1[[#This Row],[Quantity]]</f>
        <v>600000</v>
      </c>
      <c r="P1304" s="3">
        <f>Table1[[#This Row],[Revenue]]-Table1[[#This Row],[COGS]]</f>
        <v>150000</v>
      </c>
      <c r="Q1304" s="1">
        <v>1303</v>
      </c>
    </row>
    <row r="1305" spans="1:17">
      <c r="A1305" t="s">
        <v>85</v>
      </c>
      <c r="B1305" t="str">
        <f>TEXT(Table1[[#This Row],[Date]],"MMMM")</f>
        <v>February</v>
      </c>
      <c r="C1305" t="str">
        <f>TEXT(Table1[[#This Row],[Date]],"DDDD")</f>
        <v>Thursday</v>
      </c>
      <c r="D1305" t="s">
        <v>27</v>
      </c>
      <c r="E1305" t="s">
        <v>36</v>
      </c>
      <c r="F1305" s="2" t="s">
        <v>41</v>
      </c>
      <c r="G1305" t="s">
        <v>30</v>
      </c>
      <c r="H1305" t="s">
        <v>56</v>
      </c>
      <c r="I1305" t="s">
        <v>32</v>
      </c>
      <c r="J1305" s="3">
        <v>320000</v>
      </c>
      <c r="K1305">
        <v>7</v>
      </c>
      <c r="L1305" t="s">
        <v>47</v>
      </c>
      <c r="M1305" s="3">
        <v>256000</v>
      </c>
      <c r="N1305" s="3">
        <f>Table1[[#This Row],[Unit Price]]*Table1[[#This Row],[Quantity]]</f>
        <v>2240000</v>
      </c>
      <c r="O1305" s="3">
        <f>Table1[[#This Row],[Cost Price]]*Table1[[#This Row],[Quantity]]</f>
        <v>1792000</v>
      </c>
      <c r="P1305" s="3">
        <f>Table1[[#This Row],[Revenue]]-Table1[[#This Row],[COGS]]</f>
        <v>448000</v>
      </c>
      <c r="Q1305" s="1">
        <v>1304</v>
      </c>
    </row>
    <row r="1306" spans="1:17">
      <c r="A1306" t="s">
        <v>158</v>
      </c>
      <c r="B1306" t="str">
        <f>TEXT(Table1[[#This Row],[Date]],"MMMM")</f>
        <v>January</v>
      </c>
      <c r="C1306" t="str">
        <f>TEXT(Table1[[#This Row],[Date]],"DDDD")</f>
        <v>Saturday</v>
      </c>
      <c r="D1306" t="s">
        <v>44</v>
      </c>
      <c r="E1306" t="s">
        <v>45</v>
      </c>
      <c r="F1306" s="2" t="s">
        <v>41</v>
      </c>
      <c r="G1306" t="s">
        <v>37</v>
      </c>
      <c r="H1306" t="s">
        <v>38</v>
      </c>
      <c r="I1306" t="s">
        <v>39</v>
      </c>
      <c r="J1306" s="3">
        <v>30000</v>
      </c>
      <c r="K1306">
        <v>7</v>
      </c>
      <c r="L1306" t="s">
        <v>58</v>
      </c>
      <c r="M1306" s="3">
        <v>24000</v>
      </c>
      <c r="N1306" s="3">
        <f>Table1[[#This Row],[Unit Price]]*Table1[[#This Row],[Quantity]]</f>
        <v>210000</v>
      </c>
      <c r="O1306" s="3">
        <f>Table1[[#This Row],[Cost Price]]*Table1[[#This Row],[Quantity]]</f>
        <v>168000</v>
      </c>
      <c r="P1306" s="3">
        <f>Table1[[#This Row],[Revenue]]-Table1[[#This Row],[COGS]]</f>
        <v>42000</v>
      </c>
      <c r="Q1306" s="1">
        <v>1305</v>
      </c>
    </row>
    <row r="1307" spans="1:17">
      <c r="A1307" t="s">
        <v>128</v>
      </c>
      <c r="B1307" t="str">
        <f>TEXT(Table1[[#This Row],[Date]],"MMMM")</f>
        <v>March</v>
      </c>
      <c r="C1307" t="str">
        <f>TEXT(Table1[[#This Row],[Date]],"DDDD")</f>
        <v>Friday</v>
      </c>
      <c r="D1307" t="s">
        <v>27</v>
      </c>
      <c r="E1307" t="s">
        <v>45</v>
      </c>
      <c r="F1307" s="2" t="s">
        <v>41</v>
      </c>
      <c r="G1307" t="s">
        <v>30</v>
      </c>
      <c r="H1307" t="s">
        <v>56</v>
      </c>
      <c r="I1307" t="s">
        <v>32</v>
      </c>
      <c r="J1307" s="3">
        <v>320000</v>
      </c>
      <c r="K1307">
        <v>8</v>
      </c>
      <c r="L1307" t="s">
        <v>33</v>
      </c>
      <c r="M1307" s="3">
        <v>256000</v>
      </c>
      <c r="N1307" s="3">
        <f>Table1[[#This Row],[Unit Price]]*Table1[[#This Row],[Quantity]]</f>
        <v>2560000</v>
      </c>
      <c r="O1307" s="3">
        <f>Table1[[#This Row],[Cost Price]]*Table1[[#This Row],[Quantity]]</f>
        <v>2048000</v>
      </c>
      <c r="P1307" s="3">
        <f>Table1[[#This Row],[Revenue]]-Table1[[#This Row],[COGS]]</f>
        <v>512000</v>
      </c>
      <c r="Q1307" s="1">
        <v>1306</v>
      </c>
    </row>
    <row r="1308" spans="1:17">
      <c r="A1308" t="s">
        <v>43</v>
      </c>
      <c r="B1308" t="str">
        <f>TEXT(Table1[[#This Row],[Date]],"MMMM")</f>
        <v>April</v>
      </c>
      <c r="C1308" t="str">
        <f>TEXT(Table1[[#This Row],[Date]],"DDDD")</f>
        <v>Friday</v>
      </c>
      <c r="D1308" t="s">
        <v>49</v>
      </c>
      <c r="E1308" t="s">
        <v>53</v>
      </c>
      <c r="F1308" s="2" t="s">
        <v>41</v>
      </c>
      <c r="G1308" t="s">
        <v>30</v>
      </c>
      <c r="H1308" t="s">
        <v>56</v>
      </c>
      <c r="I1308" t="s">
        <v>32</v>
      </c>
      <c r="J1308" s="3">
        <v>320000</v>
      </c>
      <c r="K1308">
        <v>7</v>
      </c>
      <c r="L1308" t="s">
        <v>65</v>
      </c>
      <c r="M1308" s="3">
        <v>256000</v>
      </c>
      <c r="N1308" s="3">
        <f>Table1[[#This Row],[Unit Price]]*Table1[[#This Row],[Quantity]]</f>
        <v>2240000</v>
      </c>
      <c r="O1308" s="3">
        <f>Table1[[#This Row],[Cost Price]]*Table1[[#This Row],[Quantity]]</f>
        <v>1792000</v>
      </c>
      <c r="P1308" s="3">
        <f>Table1[[#This Row],[Revenue]]-Table1[[#This Row],[COGS]]</f>
        <v>448000</v>
      </c>
      <c r="Q1308" s="1">
        <v>1307</v>
      </c>
    </row>
    <row r="1309" spans="1:17">
      <c r="A1309" t="s">
        <v>167</v>
      </c>
      <c r="B1309" t="str">
        <f>TEXT(Table1[[#This Row],[Date]],"MMMM")</f>
        <v>April</v>
      </c>
      <c r="C1309" t="str">
        <f>TEXT(Table1[[#This Row],[Date]],"DDDD")</f>
        <v>Wednesday</v>
      </c>
      <c r="D1309" t="s">
        <v>35</v>
      </c>
      <c r="E1309" t="s">
        <v>36</v>
      </c>
      <c r="F1309" s="2" t="s">
        <v>41</v>
      </c>
      <c r="G1309" t="s">
        <v>37</v>
      </c>
      <c r="H1309" t="s">
        <v>46</v>
      </c>
      <c r="I1309" t="s">
        <v>39</v>
      </c>
      <c r="J1309" s="3">
        <v>60000</v>
      </c>
      <c r="K1309">
        <v>2</v>
      </c>
      <c r="L1309" t="s">
        <v>47</v>
      </c>
      <c r="M1309" s="3">
        <v>48000</v>
      </c>
      <c r="N1309" s="3">
        <f>Table1[[#This Row],[Unit Price]]*Table1[[#This Row],[Quantity]]</f>
        <v>120000</v>
      </c>
      <c r="O1309" s="3">
        <f>Table1[[#This Row],[Cost Price]]*Table1[[#This Row],[Quantity]]</f>
        <v>96000</v>
      </c>
      <c r="P1309" s="3">
        <f>Table1[[#This Row],[Revenue]]-Table1[[#This Row],[COGS]]</f>
        <v>24000</v>
      </c>
      <c r="Q1309" s="1">
        <v>1308</v>
      </c>
    </row>
    <row r="1310" spans="1:17">
      <c r="A1310" t="s">
        <v>103</v>
      </c>
      <c r="B1310" t="str">
        <f>TEXT(Table1[[#This Row],[Date]],"MMMM")</f>
        <v>March</v>
      </c>
      <c r="C1310" t="str">
        <f>TEXT(Table1[[#This Row],[Date]],"DDDD")</f>
        <v>Wednesday</v>
      </c>
      <c r="D1310" t="s">
        <v>27</v>
      </c>
      <c r="E1310" t="s">
        <v>28</v>
      </c>
      <c r="F1310" s="2" t="s">
        <v>41</v>
      </c>
      <c r="G1310" t="s">
        <v>37</v>
      </c>
      <c r="H1310" t="s">
        <v>73</v>
      </c>
      <c r="I1310" t="s">
        <v>39</v>
      </c>
      <c r="J1310" s="3">
        <v>220000</v>
      </c>
      <c r="K1310">
        <v>8</v>
      </c>
      <c r="L1310" t="s">
        <v>65</v>
      </c>
      <c r="M1310" s="3">
        <v>176000</v>
      </c>
      <c r="N1310" s="3">
        <f>Table1[[#This Row],[Unit Price]]*Table1[[#This Row],[Quantity]]</f>
        <v>1760000</v>
      </c>
      <c r="O1310" s="3">
        <f>Table1[[#This Row],[Cost Price]]*Table1[[#This Row],[Quantity]]</f>
        <v>1408000</v>
      </c>
      <c r="P1310" s="3">
        <f>Table1[[#This Row],[Revenue]]-Table1[[#This Row],[COGS]]</f>
        <v>352000</v>
      </c>
      <c r="Q1310" s="1">
        <v>1309</v>
      </c>
    </row>
    <row r="1311" spans="1:17">
      <c r="A1311" t="s">
        <v>139</v>
      </c>
      <c r="B1311" t="str">
        <f>TEXT(Table1[[#This Row],[Date]],"MMMM")</f>
        <v>January</v>
      </c>
      <c r="C1311" t="str">
        <f>TEXT(Table1[[#This Row],[Date]],"DDDD")</f>
        <v>Monday</v>
      </c>
      <c r="D1311" t="s">
        <v>44</v>
      </c>
      <c r="E1311" t="s">
        <v>45</v>
      </c>
      <c r="F1311" s="2" t="s">
        <v>41</v>
      </c>
      <c r="G1311" t="s">
        <v>30</v>
      </c>
      <c r="H1311" t="s">
        <v>46</v>
      </c>
      <c r="I1311" t="s">
        <v>39</v>
      </c>
      <c r="J1311" s="3">
        <v>60000</v>
      </c>
      <c r="K1311">
        <v>2</v>
      </c>
      <c r="L1311" t="s">
        <v>47</v>
      </c>
      <c r="M1311" s="3">
        <v>48000</v>
      </c>
      <c r="N1311" s="3">
        <f>Table1[[#This Row],[Unit Price]]*Table1[[#This Row],[Quantity]]</f>
        <v>120000</v>
      </c>
      <c r="O1311" s="3">
        <f>Table1[[#This Row],[Cost Price]]*Table1[[#This Row],[Quantity]]</f>
        <v>96000</v>
      </c>
      <c r="P1311" s="3">
        <f>Table1[[#This Row],[Revenue]]-Table1[[#This Row],[COGS]]</f>
        <v>24000</v>
      </c>
      <c r="Q1311" s="1">
        <v>1310</v>
      </c>
    </row>
    <row r="1312" spans="1:17">
      <c r="A1312" t="s">
        <v>99</v>
      </c>
      <c r="B1312" t="str">
        <f>TEXT(Table1[[#This Row],[Date]],"MMMM")</f>
        <v>April</v>
      </c>
      <c r="C1312" t="str">
        <f>TEXT(Table1[[#This Row],[Date]],"DDDD")</f>
        <v>Sunday</v>
      </c>
      <c r="D1312" t="s">
        <v>27</v>
      </c>
      <c r="E1312" t="s">
        <v>45</v>
      </c>
      <c r="F1312" s="2" t="s">
        <v>41</v>
      </c>
      <c r="G1312" t="s">
        <v>30</v>
      </c>
      <c r="H1312" t="s">
        <v>56</v>
      </c>
      <c r="I1312" t="s">
        <v>32</v>
      </c>
      <c r="J1312" s="3">
        <v>320000</v>
      </c>
      <c r="K1312">
        <v>2</v>
      </c>
      <c r="L1312" t="s">
        <v>69</v>
      </c>
      <c r="M1312" s="3">
        <v>256000</v>
      </c>
      <c r="N1312" s="3">
        <f>Table1[[#This Row],[Unit Price]]*Table1[[#This Row],[Quantity]]</f>
        <v>640000</v>
      </c>
      <c r="O1312" s="3">
        <f>Table1[[#This Row],[Cost Price]]*Table1[[#This Row],[Quantity]]</f>
        <v>512000</v>
      </c>
      <c r="P1312" s="3">
        <f>Table1[[#This Row],[Revenue]]-Table1[[#This Row],[COGS]]</f>
        <v>128000</v>
      </c>
      <c r="Q1312" s="1">
        <v>1311</v>
      </c>
    </row>
    <row r="1313" spans="1:17">
      <c r="A1313" t="s">
        <v>78</v>
      </c>
      <c r="B1313" t="str">
        <f>TEXT(Table1[[#This Row],[Date]],"MMMM")</f>
        <v>April</v>
      </c>
      <c r="C1313" t="str">
        <f>TEXT(Table1[[#This Row],[Date]],"DDDD")</f>
        <v>Tuesday</v>
      </c>
      <c r="D1313" t="s">
        <v>35</v>
      </c>
      <c r="E1313" t="s">
        <v>28</v>
      </c>
      <c r="F1313" s="2" t="s">
        <v>41</v>
      </c>
      <c r="G1313" t="s">
        <v>37</v>
      </c>
      <c r="H1313" t="s">
        <v>38</v>
      </c>
      <c r="I1313" t="s">
        <v>39</v>
      </c>
      <c r="J1313" s="3">
        <v>30000</v>
      </c>
      <c r="K1313">
        <v>2</v>
      </c>
      <c r="L1313" t="s">
        <v>58</v>
      </c>
      <c r="M1313" s="3">
        <v>24000</v>
      </c>
      <c r="N1313" s="3">
        <f>Table1[[#This Row],[Unit Price]]*Table1[[#This Row],[Quantity]]</f>
        <v>60000</v>
      </c>
      <c r="O1313" s="3">
        <f>Table1[[#This Row],[Cost Price]]*Table1[[#This Row],[Quantity]]</f>
        <v>48000</v>
      </c>
      <c r="P1313" s="3">
        <f>Table1[[#This Row],[Revenue]]-Table1[[#This Row],[COGS]]</f>
        <v>12000</v>
      </c>
      <c r="Q1313" s="1">
        <v>1312</v>
      </c>
    </row>
    <row r="1314" spans="1:17">
      <c r="A1314" t="s">
        <v>132</v>
      </c>
      <c r="B1314" t="str">
        <f>TEXT(Table1[[#This Row],[Date]],"MMMM")</f>
        <v>April</v>
      </c>
      <c r="C1314" t="str">
        <f>TEXT(Table1[[#This Row],[Date]],"DDDD")</f>
        <v>Saturday</v>
      </c>
      <c r="D1314" t="s">
        <v>49</v>
      </c>
      <c r="E1314" t="s">
        <v>36</v>
      </c>
      <c r="F1314" s="2" t="s">
        <v>41</v>
      </c>
      <c r="G1314" t="s">
        <v>37</v>
      </c>
      <c r="H1314" t="s">
        <v>38</v>
      </c>
      <c r="I1314" t="s">
        <v>39</v>
      </c>
      <c r="J1314" s="3">
        <v>30000</v>
      </c>
      <c r="K1314">
        <v>7</v>
      </c>
      <c r="L1314" t="s">
        <v>58</v>
      </c>
      <c r="M1314" s="3">
        <v>24000</v>
      </c>
      <c r="N1314" s="3">
        <f>Table1[[#This Row],[Unit Price]]*Table1[[#This Row],[Quantity]]</f>
        <v>210000</v>
      </c>
      <c r="O1314" s="3">
        <f>Table1[[#This Row],[Cost Price]]*Table1[[#This Row],[Quantity]]</f>
        <v>168000</v>
      </c>
      <c r="P1314" s="3">
        <f>Table1[[#This Row],[Revenue]]-Table1[[#This Row],[COGS]]</f>
        <v>42000</v>
      </c>
      <c r="Q1314" s="1">
        <v>1313</v>
      </c>
    </row>
    <row r="1315" spans="1:17">
      <c r="A1315" t="s">
        <v>177</v>
      </c>
      <c r="B1315" t="str">
        <f>TEXT(Table1[[#This Row],[Date]],"MMMM")</f>
        <v>March</v>
      </c>
      <c r="C1315" t="str">
        <f>TEXT(Table1[[#This Row],[Date]],"DDDD")</f>
        <v>Wednesday</v>
      </c>
      <c r="D1315" t="s">
        <v>49</v>
      </c>
      <c r="E1315" t="s">
        <v>28</v>
      </c>
      <c r="F1315" s="2" t="s">
        <v>41</v>
      </c>
      <c r="G1315" t="s">
        <v>37</v>
      </c>
      <c r="H1315" t="s">
        <v>71</v>
      </c>
      <c r="I1315" t="s">
        <v>51</v>
      </c>
      <c r="J1315" s="3">
        <v>250000</v>
      </c>
      <c r="K1315">
        <v>10</v>
      </c>
      <c r="L1315" t="s">
        <v>58</v>
      </c>
      <c r="M1315" s="3">
        <v>200000</v>
      </c>
      <c r="N1315" s="3">
        <f>Table1[[#This Row],[Unit Price]]*Table1[[#This Row],[Quantity]]</f>
        <v>2500000</v>
      </c>
      <c r="O1315" s="3">
        <f>Table1[[#This Row],[Cost Price]]*Table1[[#This Row],[Quantity]]</f>
        <v>2000000</v>
      </c>
      <c r="P1315" s="3">
        <f>Table1[[#This Row],[Revenue]]-Table1[[#This Row],[COGS]]</f>
        <v>500000</v>
      </c>
      <c r="Q1315" s="1">
        <v>1314</v>
      </c>
    </row>
    <row r="1316" spans="1:17">
      <c r="A1316" t="s">
        <v>113</v>
      </c>
      <c r="B1316" t="str">
        <f>TEXT(Table1[[#This Row],[Date]],"MMMM")</f>
        <v>April</v>
      </c>
      <c r="C1316" t="str">
        <f>TEXT(Table1[[#This Row],[Date]],"DDDD")</f>
        <v>Monday</v>
      </c>
      <c r="D1316" t="s">
        <v>35</v>
      </c>
      <c r="E1316" t="s">
        <v>53</v>
      </c>
      <c r="F1316" s="2" t="s">
        <v>41</v>
      </c>
      <c r="G1316" t="s">
        <v>37</v>
      </c>
      <c r="H1316" t="s">
        <v>50</v>
      </c>
      <c r="I1316" t="s">
        <v>51</v>
      </c>
      <c r="J1316" s="3">
        <v>300000</v>
      </c>
      <c r="K1316">
        <v>9</v>
      </c>
      <c r="L1316" t="s">
        <v>47</v>
      </c>
      <c r="M1316" s="3">
        <v>240000</v>
      </c>
      <c r="N1316" s="3">
        <f>Table1[[#This Row],[Unit Price]]*Table1[[#This Row],[Quantity]]</f>
        <v>2700000</v>
      </c>
      <c r="O1316" s="3">
        <f>Table1[[#This Row],[Cost Price]]*Table1[[#This Row],[Quantity]]</f>
        <v>2160000</v>
      </c>
      <c r="P1316" s="3">
        <f>Table1[[#This Row],[Revenue]]-Table1[[#This Row],[COGS]]</f>
        <v>540000</v>
      </c>
      <c r="Q1316" s="1">
        <v>1315</v>
      </c>
    </row>
    <row r="1317" spans="1:17">
      <c r="A1317" t="s">
        <v>118</v>
      </c>
      <c r="B1317" t="str">
        <f>TEXT(Table1[[#This Row],[Date]],"MMMM")</f>
        <v>March</v>
      </c>
      <c r="C1317" t="str">
        <f>TEXT(Table1[[#This Row],[Date]],"DDDD")</f>
        <v>Tuesday</v>
      </c>
      <c r="D1317" t="s">
        <v>44</v>
      </c>
      <c r="E1317" t="s">
        <v>45</v>
      </c>
      <c r="F1317" s="2" t="s">
        <v>41</v>
      </c>
      <c r="G1317" t="s">
        <v>37</v>
      </c>
      <c r="H1317" t="s">
        <v>31</v>
      </c>
      <c r="I1317" t="s">
        <v>32</v>
      </c>
      <c r="J1317" s="3">
        <v>85000</v>
      </c>
      <c r="K1317">
        <v>6</v>
      </c>
      <c r="L1317" t="s">
        <v>65</v>
      </c>
      <c r="M1317" s="3">
        <v>68000</v>
      </c>
      <c r="N1317" s="3">
        <f>Table1[[#This Row],[Unit Price]]*Table1[[#This Row],[Quantity]]</f>
        <v>510000</v>
      </c>
      <c r="O1317" s="3">
        <f>Table1[[#This Row],[Cost Price]]*Table1[[#This Row],[Quantity]]</f>
        <v>408000</v>
      </c>
      <c r="P1317" s="3">
        <f>Table1[[#This Row],[Revenue]]-Table1[[#This Row],[COGS]]</f>
        <v>102000</v>
      </c>
      <c r="Q1317" s="1">
        <v>1316</v>
      </c>
    </row>
    <row r="1318" spans="1:17">
      <c r="A1318" t="s">
        <v>166</v>
      </c>
      <c r="B1318" t="str">
        <f>TEXT(Table1[[#This Row],[Date]],"MMMM")</f>
        <v>January</v>
      </c>
      <c r="C1318" t="str">
        <f>TEXT(Table1[[#This Row],[Date]],"DDDD")</f>
        <v>Thursday</v>
      </c>
      <c r="D1318" t="s">
        <v>27</v>
      </c>
      <c r="E1318" t="s">
        <v>28</v>
      </c>
      <c r="F1318" s="2" t="s">
        <v>41</v>
      </c>
      <c r="G1318" t="s">
        <v>37</v>
      </c>
      <c r="H1318" t="s">
        <v>38</v>
      </c>
      <c r="I1318" t="s">
        <v>39</v>
      </c>
      <c r="J1318" s="3">
        <v>30000</v>
      </c>
      <c r="K1318">
        <v>4</v>
      </c>
      <c r="L1318" t="s">
        <v>33</v>
      </c>
      <c r="M1318" s="3">
        <v>24000</v>
      </c>
      <c r="N1318" s="3">
        <f>Table1[[#This Row],[Unit Price]]*Table1[[#This Row],[Quantity]]</f>
        <v>120000</v>
      </c>
      <c r="O1318" s="3">
        <f>Table1[[#This Row],[Cost Price]]*Table1[[#This Row],[Quantity]]</f>
        <v>96000</v>
      </c>
      <c r="P1318" s="3">
        <f>Table1[[#This Row],[Revenue]]-Table1[[#This Row],[COGS]]</f>
        <v>24000</v>
      </c>
      <c r="Q1318" s="1">
        <v>1317</v>
      </c>
    </row>
    <row r="1319" spans="1:17">
      <c r="A1319" t="s">
        <v>173</v>
      </c>
      <c r="B1319" t="str">
        <f>TEXT(Table1[[#This Row],[Date]],"MMMM")</f>
        <v>March</v>
      </c>
      <c r="C1319" t="str">
        <f>TEXT(Table1[[#This Row],[Date]],"DDDD")</f>
        <v>Saturday</v>
      </c>
      <c r="D1319" t="s">
        <v>44</v>
      </c>
      <c r="E1319" t="s">
        <v>53</v>
      </c>
      <c r="F1319" s="2" t="s">
        <v>41</v>
      </c>
      <c r="G1319" t="s">
        <v>30</v>
      </c>
      <c r="H1319" t="s">
        <v>50</v>
      </c>
      <c r="I1319" t="s">
        <v>51</v>
      </c>
      <c r="J1319" s="3">
        <v>300000</v>
      </c>
      <c r="K1319">
        <v>4</v>
      </c>
      <c r="L1319" t="s">
        <v>33</v>
      </c>
      <c r="M1319" s="3">
        <v>240000</v>
      </c>
      <c r="N1319" s="3">
        <f>Table1[[#This Row],[Unit Price]]*Table1[[#This Row],[Quantity]]</f>
        <v>1200000</v>
      </c>
      <c r="O1319" s="3">
        <f>Table1[[#This Row],[Cost Price]]*Table1[[#This Row],[Quantity]]</f>
        <v>960000</v>
      </c>
      <c r="P1319" s="3">
        <f>Table1[[#This Row],[Revenue]]-Table1[[#This Row],[COGS]]</f>
        <v>240000</v>
      </c>
      <c r="Q1319" s="1">
        <v>1318</v>
      </c>
    </row>
    <row r="1320" spans="1:17">
      <c r="A1320" t="s">
        <v>80</v>
      </c>
      <c r="B1320" t="str">
        <f>TEXT(Table1[[#This Row],[Date]],"MMMM")</f>
        <v>February</v>
      </c>
      <c r="C1320" t="str">
        <f>TEXT(Table1[[#This Row],[Date]],"DDDD")</f>
        <v>Sunday</v>
      </c>
      <c r="D1320" t="s">
        <v>44</v>
      </c>
      <c r="E1320" t="s">
        <v>53</v>
      </c>
      <c r="F1320" s="2" t="s">
        <v>41</v>
      </c>
      <c r="G1320" t="s">
        <v>37</v>
      </c>
      <c r="H1320" t="s">
        <v>73</v>
      </c>
      <c r="I1320" t="s">
        <v>39</v>
      </c>
      <c r="J1320" s="3">
        <v>220000</v>
      </c>
      <c r="K1320">
        <v>5</v>
      </c>
      <c r="L1320" t="s">
        <v>58</v>
      </c>
      <c r="M1320" s="3">
        <v>176000</v>
      </c>
      <c r="N1320" s="3">
        <f>Table1[[#This Row],[Unit Price]]*Table1[[#This Row],[Quantity]]</f>
        <v>1100000</v>
      </c>
      <c r="O1320" s="3">
        <f>Table1[[#This Row],[Cost Price]]*Table1[[#This Row],[Quantity]]</f>
        <v>880000</v>
      </c>
      <c r="P1320" s="3">
        <f>Table1[[#This Row],[Revenue]]-Table1[[#This Row],[COGS]]</f>
        <v>220000</v>
      </c>
      <c r="Q1320" s="1">
        <v>1319</v>
      </c>
    </row>
    <row r="1321" spans="1:17">
      <c r="A1321" t="s">
        <v>134</v>
      </c>
      <c r="B1321" t="str">
        <f>TEXT(Table1[[#This Row],[Date]],"MMMM")</f>
        <v>January</v>
      </c>
      <c r="C1321" t="str">
        <f>TEXT(Table1[[#This Row],[Date]],"DDDD")</f>
        <v>Wednesday</v>
      </c>
      <c r="D1321" t="s">
        <v>35</v>
      </c>
      <c r="E1321" t="s">
        <v>53</v>
      </c>
      <c r="F1321" t="s">
        <v>41</v>
      </c>
      <c r="G1321" t="s">
        <v>37</v>
      </c>
      <c r="H1321" t="s">
        <v>73</v>
      </c>
      <c r="I1321" t="s">
        <v>39</v>
      </c>
      <c r="J1321" s="3">
        <v>220000</v>
      </c>
      <c r="K1321">
        <v>4</v>
      </c>
      <c r="L1321" t="s">
        <v>58</v>
      </c>
      <c r="M1321" s="3">
        <v>176000</v>
      </c>
      <c r="N1321" s="3">
        <f>Table1[[#This Row],[Unit Price]]*Table1[[#This Row],[Quantity]]</f>
        <v>880000</v>
      </c>
      <c r="O1321" s="3">
        <f>Table1[[#This Row],[Cost Price]]*Table1[[#This Row],[Quantity]]</f>
        <v>704000</v>
      </c>
      <c r="P1321" s="3">
        <f>Table1[[#This Row],[Revenue]]-Table1[[#This Row],[COGS]]</f>
        <v>176000</v>
      </c>
      <c r="Q1321" s="1">
        <v>1320</v>
      </c>
    </row>
    <row r="1322" spans="1:17">
      <c r="A1322" t="s">
        <v>115</v>
      </c>
      <c r="B1322" t="str">
        <f>TEXT(Table1[[#This Row],[Date]],"MMMM")</f>
        <v>January</v>
      </c>
      <c r="C1322" t="str">
        <f>TEXT(Table1[[#This Row],[Date]],"DDDD")</f>
        <v>Thursday</v>
      </c>
      <c r="D1322" t="s">
        <v>35</v>
      </c>
      <c r="E1322" t="s">
        <v>53</v>
      </c>
      <c r="F1322" t="s">
        <v>41</v>
      </c>
      <c r="G1322" t="s">
        <v>30</v>
      </c>
      <c r="H1322" t="s">
        <v>38</v>
      </c>
      <c r="I1322" t="s">
        <v>39</v>
      </c>
      <c r="J1322" s="3">
        <v>30000</v>
      </c>
      <c r="K1322">
        <v>1</v>
      </c>
      <c r="L1322" t="s">
        <v>69</v>
      </c>
      <c r="M1322" s="3">
        <v>24000</v>
      </c>
      <c r="N1322" s="3">
        <f>Table1[[#This Row],[Unit Price]]*Table1[[#This Row],[Quantity]]</f>
        <v>30000</v>
      </c>
      <c r="O1322" s="3">
        <f>Table1[[#This Row],[Cost Price]]*Table1[[#This Row],[Quantity]]</f>
        <v>24000</v>
      </c>
      <c r="P1322" s="3">
        <f>Table1[[#This Row],[Revenue]]-Table1[[#This Row],[COGS]]</f>
        <v>6000</v>
      </c>
      <c r="Q1322" s="1">
        <v>1321</v>
      </c>
    </row>
    <row r="1323" spans="1:17">
      <c r="A1323" t="s">
        <v>72</v>
      </c>
      <c r="B1323" t="str">
        <f>TEXT(Table1[[#This Row],[Date]],"MMMM")</f>
        <v>February</v>
      </c>
      <c r="C1323" t="str">
        <f>TEXT(Table1[[#This Row],[Date]],"DDDD")</f>
        <v>Wednesday</v>
      </c>
      <c r="D1323" t="s">
        <v>44</v>
      </c>
      <c r="E1323" t="s">
        <v>36</v>
      </c>
      <c r="F1323" t="s">
        <v>29</v>
      </c>
      <c r="G1323" t="s">
        <v>30</v>
      </c>
      <c r="H1323" t="s">
        <v>67</v>
      </c>
      <c r="I1323" t="s">
        <v>51</v>
      </c>
      <c r="J1323" s="3">
        <v>420000</v>
      </c>
      <c r="K1323">
        <v>9</v>
      </c>
      <c r="L1323" t="s">
        <v>42</v>
      </c>
      <c r="M1323" s="3">
        <v>336000</v>
      </c>
      <c r="N1323" s="3">
        <f>Table1[[#This Row],[Unit Price]]*Table1[[#This Row],[Quantity]]</f>
        <v>3780000</v>
      </c>
      <c r="O1323" s="3">
        <f>Table1[[#This Row],[Cost Price]]*Table1[[#This Row],[Quantity]]</f>
        <v>3024000</v>
      </c>
      <c r="P1323" s="3">
        <f>Table1[[#This Row],[Revenue]]-Table1[[#This Row],[COGS]]</f>
        <v>756000</v>
      </c>
      <c r="Q1323" s="1">
        <v>1322</v>
      </c>
    </row>
    <row r="1324" spans="1:17">
      <c r="A1324" t="s">
        <v>114</v>
      </c>
      <c r="B1324" t="str">
        <f>TEXT(Table1[[#This Row],[Date]],"MMMM")</f>
        <v>April</v>
      </c>
      <c r="C1324" t="str">
        <f>TEXT(Table1[[#This Row],[Date]],"DDDD")</f>
        <v>Sunday</v>
      </c>
      <c r="D1324" t="s">
        <v>27</v>
      </c>
      <c r="E1324" t="s">
        <v>36</v>
      </c>
      <c r="F1324" t="s">
        <v>41</v>
      </c>
      <c r="G1324" t="s">
        <v>30</v>
      </c>
      <c r="H1324" t="s">
        <v>46</v>
      </c>
      <c r="I1324" t="s">
        <v>39</v>
      </c>
      <c r="J1324" s="3">
        <v>60000</v>
      </c>
      <c r="K1324">
        <v>6</v>
      </c>
      <c r="L1324" t="s">
        <v>42</v>
      </c>
      <c r="M1324" s="3">
        <v>48000</v>
      </c>
      <c r="N1324" s="3">
        <f>Table1[[#This Row],[Unit Price]]*Table1[[#This Row],[Quantity]]</f>
        <v>360000</v>
      </c>
      <c r="O1324" s="3">
        <f>Table1[[#This Row],[Cost Price]]*Table1[[#This Row],[Quantity]]</f>
        <v>288000</v>
      </c>
      <c r="P1324" s="3">
        <f>Table1[[#This Row],[Revenue]]-Table1[[#This Row],[COGS]]</f>
        <v>72000</v>
      </c>
      <c r="Q1324" s="1">
        <v>1323</v>
      </c>
    </row>
    <row r="1325" spans="1:17">
      <c r="A1325" t="s">
        <v>139</v>
      </c>
      <c r="B1325" t="str">
        <f>TEXT(Table1[[#This Row],[Date]],"MMMM")</f>
        <v>January</v>
      </c>
      <c r="C1325" t="str">
        <f>TEXT(Table1[[#This Row],[Date]],"DDDD")</f>
        <v>Monday</v>
      </c>
      <c r="D1325" t="s">
        <v>27</v>
      </c>
      <c r="E1325" t="s">
        <v>53</v>
      </c>
      <c r="F1325" t="s">
        <v>29</v>
      </c>
      <c r="G1325" t="s">
        <v>30</v>
      </c>
      <c r="H1325" t="s">
        <v>54</v>
      </c>
      <c r="I1325" t="s">
        <v>39</v>
      </c>
      <c r="J1325" s="3">
        <v>180000</v>
      </c>
      <c r="K1325">
        <v>2</v>
      </c>
      <c r="L1325" t="s">
        <v>47</v>
      </c>
      <c r="M1325" s="3">
        <v>144000</v>
      </c>
      <c r="N1325" s="3">
        <f>Table1[[#This Row],[Unit Price]]*Table1[[#This Row],[Quantity]]</f>
        <v>360000</v>
      </c>
      <c r="O1325" s="3">
        <f>Table1[[#This Row],[Cost Price]]*Table1[[#This Row],[Quantity]]</f>
        <v>288000</v>
      </c>
      <c r="P1325" s="3">
        <f>Table1[[#This Row],[Revenue]]-Table1[[#This Row],[COGS]]</f>
        <v>72000</v>
      </c>
      <c r="Q1325" s="1">
        <v>1324</v>
      </c>
    </row>
    <row r="1326" spans="1:17">
      <c r="A1326" t="s">
        <v>106</v>
      </c>
      <c r="B1326" t="str">
        <f>TEXT(Table1[[#This Row],[Date]],"MMMM")</f>
        <v>April</v>
      </c>
      <c r="C1326" t="str">
        <f>TEXT(Table1[[#This Row],[Date]],"DDDD")</f>
        <v>Wednesday</v>
      </c>
      <c r="D1326" t="s">
        <v>35</v>
      </c>
      <c r="E1326" t="s">
        <v>36</v>
      </c>
      <c r="F1326" t="s">
        <v>29</v>
      </c>
      <c r="G1326" t="s">
        <v>30</v>
      </c>
      <c r="H1326" t="s">
        <v>31</v>
      </c>
      <c r="I1326" t="s">
        <v>32</v>
      </c>
      <c r="J1326" s="3">
        <v>85000</v>
      </c>
      <c r="K1326">
        <v>1</v>
      </c>
      <c r="L1326" t="s">
        <v>42</v>
      </c>
      <c r="M1326" s="3">
        <v>68000</v>
      </c>
      <c r="N1326" s="3">
        <f>Table1[[#This Row],[Unit Price]]*Table1[[#This Row],[Quantity]]</f>
        <v>85000</v>
      </c>
      <c r="O1326" s="3">
        <f>Table1[[#This Row],[Cost Price]]*Table1[[#This Row],[Quantity]]</f>
        <v>68000</v>
      </c>
      <c r="P1326" s="3">
        <f>Table1[[#This Row],[Revenue]]-Table1[[#This Row],[COGS]]</f>
        <v>17000</v>
      </c>
      <c r="Q1326" s="1">
        <v>1325</v>
      </c>
    </row>
    <row r="1327" spans="1:17">
      <c r="A1327" t="s">
        <v>86</v>
      </c>
      <c r="B1327" t="str">
        <f>TEXT(Table1[[#This Row],[Date]],"MMMM")</f>
        <v>February</v>
      </c>
      <c r="C1327" t="str">
        <f>TEXT(Table1[[#This Row],[Date]],"DDDD")</f>
        <v>Thursday</v>
      </c>
      <c r="D1327" t="s">
        <v>27</v>
      </c>
      <c r="E1327" t="s">
        <v>45</v>
      </c>
      <c r="F1327" t="s">
        <v>29</v>
      </c>
      <c r="G1327" t="s">
        <v>37</v>
      </c>
      <c r="H1327" t="s">
        <v>71</v>
      </c>
      <c r="I1327" t="s">
        <v>51</v>
      </c>
      <c r="J1327" s="3">
        <v>250000</v>
      </c>
      <c r="K1327">
        <v>2</v>
      </c>
      <c r="L1327" t="s">
        <v>33</v>
      </c>
      <c r="M1327" s="3">
        <v>200000</v>
      </c>
      <c r="N1327" s="3">
        <f>Table1[[#This Row],[Unit Price]]*Table1[[#This Row],[Quantity]]</f>
        <v>500000</v>
      </c>
      <c r="O1327" s="3">
        <f>Table1[[#This Row],[Cost Price]]*Table1[[#This Row],[Quantity]]</f>
        <v>400000</v>
      </c>
      <c r="P1327" s="3">
        <f>Table1[[#This Row],[Revenue]]-Table1[[#This Row],[COGS]]</f>
        <v>100000</v>
      </c>
      <c r="Q1327" s="1">
        <v>1326</v>
      </c>
    </row>
    <row r="1328" spans="1:17">
      <c r="A1328" t="s">
        <v>130</v>
      </c>
      <c r="B1328" t="str">
        <f>TEXT(Table1[[#This Row],[Date]],"MMMM")</f>
        <v>January</v>
      </c>
      <c r="C1328" t="str">
        <f>TEXT(Table1[[#This Row],[Date]],"DDDD")</f>
        <v>Monday</v>
      </c>
      <c r="D1328" t="s">
        <v>49</v>
      </c>
      <c r="E1328" t="s">
        <v>53</v>
      </c>
      <c r="F1328" t="s">
        <v>29</v>
      </c>
      <c r="G1328" t="s">
        <v>37</v>
      </c>
      <c r="H1328" t="s">
        <v>38</v>
      </c>
      <c r="I1328" t="s">
        <v>39</v>
      </c>
      <c r="J1328" s="3">
        <v>30000</v>
      </c>
      <c r="K1328">
        <v>7</v>
      </c>
      <c r="L1328" t="s">
        <v>58</v>
      </c>
      <c r="M1328" s="3">
        <v>24000</v>
      </c>
      <c r="N1328" s="3">
        <f>Table1[[#This Row],[Unit Price]]*Table1[[#This Row],[Quantity]]</f>
        <v>210000</v>
      </c>
      <c r="O1328" s="3">
        <f>Table1[[#This Row],[Cost Price]]*Table1[[#This Row],[Quantity]]</f>
        <v>168000</v>
      </c>
      <c r="P1328" s="3">
        <f>Table1[[#This Row],[Revenue]]-Table1[[#This Row],[COGS]]</f>
        <v>42000</v>
      </c>
      <c r="Q1328" s="1">
        <v>1327</v>
      </c>
    </row>
    <row r="1329" spans="1:17">
      <c r="A1329" t="s">
        <v>155</v>
      </c>
      <c r="B1329" t="str">
        <f>TEXT(Table1[[#This Row],[Date]],"MMMM")</f>
        <v>April</v>
      </c>
      <c r="C1329" t="str">
        <f>TEXT(Table1[[#This Row],[Date]],"DDDD")</f>
        <v>Thursday</v>
      </c>
      <c r="D1329" t="s">
        <v>27</v>
      </c>
      <c r="E1329" t="s">
        <v>36</v>
      </c>
      <c r="F1329" t="s">
        <v>29</v>
      </c>
      <c r="G1329" t="s">
        <v>37</v>
      </c>
      <c r="H1329" t="s">
        <v>67</v>
      </c>
      <c r="I1329" t="s">
        <v>51</v>
      </c>
      <c r="J1329" s="3">
        <v>420000</v>
      </c>
      <c r="K1329">
        <v>9</v>
      </c>
      <c r="L1329" t="s">
        <v>58</v>
      </c>
      <c r="M1329" s="3">
        <v>336000</v>
      </c>
      <c r="N1329" s="3">
        <f>Table1[[#This Row],[Unit Price]]*Table1[[#This Row],[Quantity]]</f>
        <v>3780000</v>
      </c>
      <c r="O1329" s="3">
        <f>Table1[[#This Row],[Cost Price]]*Table1[[#This Row],[Quantity]]</f>
        <v>3024000</v>
      </c>
      <c r="P1329" s="3">
        <f>Table1[[#This Row],[Revenue]]-Table1[[#This Row],[COGS]]</f>
        <v>756000</v>
      </c>
      <c r="Q1329" s="1">
        <v>1328</v>
      </c>
    </row>
    <row r="1330" spans="1:17">
      <c r="A1330" t="s">
        <v>26</v>
      </c>
      <c r="B1330" t="str">
        <f>TEXT(Table1[[#This Row],[Date]],"MMMM")</f>
        <v>January</v>
      </c>
      <c r="C1330" t="str">
        <f>TEXT(Table1[[#This Row],[Date]],"DDDD")</f>
        <v>Sunday</v>
      </c>
      <c r="D1330" t="s">
        <v>44</v>
      </c>
      <c r="E1330" t="s">
        <v>53</v>
      </c>
      <c r="F1330" t="s">
        <v>29</v>
      </c>
      <c r="G1330" t="s">
        <v>30</v>
      </c>
      <c r="H1330" t="s">
        <v>46</v>
      </c>
      <c r="I1330" t="s">
        <v>39</v>
      </c>
      <c r="J1330" s="3">
        <v>60000</v>
      </c>
      <c r="K1330">
        <v>7</v>
      </c>
      <c r="L1330" t="s">
        <v>42</v>
      </c>
      <c r="M1330" s="3">
        <v>48000</v>
      </c>
      <c r="N1330" s="3">
        <f>Table1[[#This Row],[Unit Price]]*Table1[[#This Row],[Quantity]]</f>
        <v>420000</v>
      </c>
      <c r="O1330" s="3">
        <f>Table1[[#This Row],[Cost Price]]*Table1[[#This Row],[Quantity]]</f>
        <v>336000</v>
      </c>
      <c r="P1330" s="3">
        <f>Table1[[#This Row],[Revenue]]-Table1[[#This Row],[COGS]]</f>
        <v>84000</v>
      </c>
      <c r="Q1330" s="1">
        <v>1329</v>
      </c>
    </row>
    <row r="1331" spans="1:17">
      <c r="A1331" t="s">
        <v>157</v>
      </c>
      <c r="B1331" t="str">
        <f>TEXT(Table1[[#This Row],[Date]],"MMMM")</f>
        <v>April</v>
      </c>
      <c r="C1331" t="str">
        <f>TEXT(Table1[[#This Row],[Date]],"DDDD")</f>
        <v>Tuesday</v>
      </c>
      <c r="D1331" t="s">
        <v>49</v>
      </c>
      <c r="E1331" t="s">
        <v>45</v>
      </c>
      <c r="F1331" t="s">
        <v>29</v>
      </c>
      <c r="G1331" t="s">
        <v>37</v>
      </c>
      <c r="H1331" t="s">
        <v>50</v>
      </c>
      <c r="I1331" t="s">
        <v>51</v>
      </c>
      <c r="J1331" s="3">
        <v>300000</v>
      </c>
      <c r="K1331">
        <v>7</v>
      </c>
      <c r="L1331" t="s">
        <v>58</v>
      </c>
      <c r="M1331" s="3">
        <v>240000</v>
      </c>
      <c r="N1331" s="3">
        <f>Table1[[#This Row],[Unit Price]]*Table1[[#This Row],[Quantity]]</f>
        <v>2100000</v>
      </c>
      <c r="O1331" s="3">
        <f>Table1[[#This Row],[Cost Price]]*Table1[[#This Row],[Quantity]]</f>
        <v>1680000</v>
      </c>
      <c r="P1331" s="3">
        <f>Table1[[#This Row],[Revenue]]-Table1[[#This Row],[COGS]]</f>
        <v>420000</v>
      </c>
      <c r="Q1331" s="1">
        <v>1330</v>
      </c>
    </row>
    <row r="1332" spans="1:17">
      <c r="A1332" t="s">
        <v>75</v>
      </c>
      <c r="B1332" t="str">
        <f>TEXT(Table1[[#This Row],[Date]],"MMMM")</f>
        <v>March</v>
      </c>
      <c r="C1332" t="str">
        <f>TEXT(Table1[[#This Row],[Date]],"DDDD")</f>
        <v>Monday</v>
      </c>
      <c r="D1332" t="s">
        <v>35</v>
      </c>
      <c r="E1332" t="s">
        <v>28</v>
      </c>
      <c r="F1332" t="s">
        <v>41</v>
      </c>
      <c r="G1332" t="s">
        <v>30</v>
      </c>
      <c r="H1332" t="s">
        <v>62</v>
      </c>
      <c r="I1332" t="s">
        <v>51</v>
      </c>
      <c r="J1332" s="3">
        <v>150000</v>
      </c>
      <c r="K1332">
        <v>9</v>
      </c>
      <c r="L1332" t="s">
        <v>69</v>
      </c>
      <c r="M1332" s="3">
        <v>120000</v>
      </c>
      <c r="N1332" s="3">
        <f>Table1[[#This Row],[Unit Price]]*Table1[[#This Row],[Quantity]]</f>
        <v>1350000</v>
      </c>
      <c r="O1332" s="3">
        <f>Table1[[#This Row],[Cost Price]]*Table1[[#This Row],[Quantity]]</f>
        <v>1080000</v>
      </c>
      <c r="P1332" s="3">
        <f>Table1[[#This Row],[Revenue]]-Table1[[#This Row],[COGS]]</f>
        <v>270000</v>
      </c>
      <c r="Q1332" s="1">
        <v>1331</v>
      </c>
    </row>
    <row r="1333" spans="1:17">
      <c r="A1333" t="s">
        <v>107</v>
      </c>
      <c r="B1333" t="str">
        <f>TEXT(Table1[[#This Row],[Date]],"MMMM")</f>
        <v>February</v>
      </c>
      <c r="C1333" t="str">
        <f>TEXT(Table1[[#This Row],[Date]],"DDDD")</f>
        <v>Wednesday</v>
      </c>
      <c r="D1333" t="s">
        <v>44</v>
      </c>
      <c r="E1333" t="s">
        <v>45</v>
      </c>
      <c r="F1333" t="s">
        <v>41</v>
      </c>
      <c r="G1333" t="s">
        <v>30</v>
      </c>
      <c r="H1333" t="s">
        <v>50</v>
      </c>
      <c r="I1333" t="s">
        <v>51</v>
      </c>
      <c r="J1333" s="3">
        <v>300000</v>
      </c>
      <c r="K1333">
        <v>7</v>
      </c>
      <c r="L1333" t="s">
        <v>47</v>
      </c>
      <c r="M1333" s="3">
        <v>240000</v>
      </c>
      <c r="N1333" s="3">
        <f>Table1[[#This Row],[Unit Price]]*Table1[[#This Row],[Quantity]]</f>
        <v>2100000</v>
      </c>
      <c r="O1333" s="3">
        <f>Table1[[#This Row],[Cost Price]]*Table1[[#This Row],[Quantity]]</f>
        <v>1680000</v>
      </c>
      <c r="P1333" s="3">
        <f>Table1[[#This Row],[Revenue]]-Table1[[#This Row],[COGS]]</f>
        <v>420000</v>
      </c>
      <c r="Q1333" s="1">
        <v>1332</v>
      </c>
    </row>
    <row r="1334" spans="1:17">
      <c r="A1334" t="s">
        <v>61</v>
      </c>
      <c r="B1334" t="str">
        <f>TEXT(Table1[[#This Row],[Date]],"MMMM")</f>
        <v>January</v>
      </c>
      <c r="C1334" t="str">
        <f>TEXT(Table1[[#This Row],[Date]],"DDDD")</f>
        <v>Friday</v>
      </c>
      <c r="D1334" t="s">
        <v>27</v>
      </c>
      <c r="E1334" t="s">
        <v>36</v>
      </c>
      <c r="F1334" t="s">
        <v>29</v>
      </c>
      <c r="G1334" t="s">
        <v>30</v>
      </c>
      <c r="H1334" t="s">
        <v>71</v>
      </c>
      <c r="I1334" t="s">
        <v>51</v>
      </c>
      <c r="J1334" s="3">
        <v>250000</v>
      </c>
      <c r="K1334">
        <v>1</v>
      </c>
      <c r="L1334" t="s">
        <v>65</v>
      </c>
      <c r="M1334" s="3">
        <v>200000</v>
      </c>
      <c r="N1334" s="3">
        <f>Table1[[#This Row],[Unit Price]]*Table1[[#This Row],[Quantity]]</f>
        <v>250000</v>
      </c>
      <c r="O1334" s="3">
        <f>Table1[[#This Row],[Cost Price]]*Table1[[#This Row],[Quantity]]</f>
        <v>200000</v>
      </c>
      <c r="P1334" s="3">
        <f>Table1[[#This Row],[Revenue]]-Table1[[#This Row],[COGS]]</f>
        <v>50000</v>
      </c>
      <c r="Q1334" s="1">
        <v>1333</v>
      </c>
    </row>
    <row r="1335" spans="1:17">
      <c r="A1335" t="s">
        <v>158</v>
      </c>
      <c r="B1335" t="str">
        <f>TEXT(Table1[[#This Row],[Date]],"MMMM")</f>
        <v>January</v>
      </c>
      <c r="C1335" t="str">
        <f>TEXT(Table1[[#This Row],[Date]],"DDDD")</f>
        <v>Saturday</v>
      </c>
      <c r="D1335" t="s">
        <v>27</v>
      </c>
      <c r="E1335" t="s">
        <v>36</v>
      </c>
      <c r="F1335" t="s">
        <v>41</v>
      </c>
      <c r="G1335" t="s">
        <v>30</v>
      </c>
      <c r="H1335" t="s">
        <v>71</v>
      </c>
      <c r="I1335" t="s">
        <v>51</v>
      </c>
      <c r="J1335" s="3">
        <v>250000</v>
      </c>
      <c r="K1335">
        <v>6</v>
      </c>
      <c r="L1335" t="s">
        <v>47</v>
      </c>
      <c r="M1335" s="3">
        <v>200000</v>
      </c>
      <c r="N1335" s="3">
        <f>Table1[[#This Row],[Unit Price]]*Table1[[#This Row],[Quantity]]</f>
        <v>1500000</v>
      </c>
      <c r="O1335" s="3">
        <f>Table1[[#This Row],[Cost Price]]*Table1[[#This Row],[Quantity]]</f>
        <v>1200000</v>
      </c>
      <c r="P1335" s="3">
        <f>Table1[[#This Row],[Revenue]]-Table1[[#This Row],[COGS]]</f>
        <v>300000</v>
      </c>
      <c r="Q1335" s="1">
        <v>1334</v>
      </c>
    </row>
    <row r="1336" spans="1:17">
      <c r="A1336" t="s">
        <v>147</v>
      </c>
      <c r="B1336" t="str">
        <f>TEXT(Table1[[#This Row],[Date]],"MMMM")</f>
        <v>January</v>
      </c>
      <c r="C1336" t="str">
        <f>TEXT(Table1[[#This Row],[Date]],"DDDD")</f>
        <v>Saturday</v>
      </c>
      <c r="D1336" t="s">
        <v>35</v>
      </c>
      <c r="E1336" t="s">
        <v>45</v>
      </c>
      <c r="F1336" t="s">
        <v>41</v>
      </c>
      <c r="G1336" t="s">
        <v>37</v>
      </c>
      <c r="H1336" t="s">
        <v>67</v>
      </c>
      <c r="I1336" t="s">
        <v>51</v>
      </c>
      <c r="J1336" s="3">
        <v>420000</v>
      </c>
      <c r="K1336">
        <v>9</v>
      </c>
      <c r="L1336" t="s">
        <v>69</v>
      </c>
      <c r="M1336" s="3">
        <v>336000</v>
      </c>
      <c r="N1336" s="3">
        <f>Table1[[#This Row],[Unit Price]]*Table1[[#This Row],[Quantity]]</f>
        <v>3780000</v>
      </c>
      <c r="O1336" s="3">
        <f>Table1[[#This Row],[Cost Price]]*Table1[[#This Row],[Quantity]]</f>
        <v>3024000</v>
      </c>
      <c r="P1336" s="3">
        <f>Table1[[#This Row],[Revenue]]-Table1[[#This Row],[COGS]]</f>
        <v>756000</v>
      </c>
      <c r="Q1336" s="1">
        <v>1335</v>
      </c>
    </row>
    <row r="1337" spans="1:17">
      <c r="A1337" t="s">
        <v>128</v>
      </c>
      <c r="B1337" t="str">
        <f>TEXT(Table1[[#This Row],[Date]],"MMMM")</f>
        <v>March</v>
      </c>
      <c r="C1337" t="str">
        <f>TEXT(Table1[[#This Row],[Date]],"DDDD")</f>
        <v>Friday</v>
      </c>
      <c r="D1337" t="s">
        <v>44</v>
      </c>
      <c r="E1337" t="s">
        <v>53</v>
      </c>
      <c r="F1337" t="s">
        <v>41</v>
      </c>
      <c r="G1337" t="s">
        <v>30</v>
      </c>
      <c r="H1337" t="s">
        <v>54</v>
      </c>
      <c r="I1337" t="s">
        <v>39</v>
      </c>
      <c r="J1337" s="3">
        <v>180000</v>
      </c>
      <c r="K1337">
        <v>6</v>
      </c>
      <c r="L1337" t="s">
        <v>42</v>
      </c>
      <c r="M1337" s="3">
        <v>144000</v>
      </c>
      <c r="N1337" s="3">
        <f>Table1[[#This Row],[Unit Price]]*Table1[[#This Row],[Quantity]]</f>
        <v>1080000</v>
      </c>
      <c r="O1337" s="3">
        <f>Table1[[#This Row],[Cost Price]]*Table1[[#This Row],[Quantity]]</f>
        <v>864000</v>
      </c>
      <c r="P1337" s="3">
        <f>Table1[[#This Row],[Revenue]]-Table1[[#This Row],[COGS]]</f>
        <v>216000</v>
      </c>
      <c r="Q1337" s="1">
        <v>1336</v>
      </c>
    </row>
    <row r="1338" spans="1:17">
      <c r="A1338" t="s">
        <v>158</v>
      </c>
      <c r="B1338" t="str">
        <f>TEXT(Table1[[#This Row],[Date]],"MMMM")</f>
        <v>January</v>
      </c>
      <c r="C1338" t="str">
        <f>TEXT(Table1[[#This Row],[Date]],"DDDD")</f>
        <v>Saturday</v>
      </c>
      <c r="D1338" t="s">
        <v>44</v>
      </c>
      <c r="E1338" t="s">
        <v>45</v>
      </c>
      <c r="F1338" t="s">
        <v>41</v>
      </c>
      <c r="G1338" t="s">
        <v>30</v>
      </c>
      <c r="H1338" t="s">
        <v>31</v>
      </c>
      <c r="I1338" t="s">
        <v>32</v>
      </c>
      <c r="J1338" s="3">
        <v>85000</v>
      </c>
      <c r="K1338">
        <v>5</v>
      </c>
      <c r="L1338" t="s">
        <v>69</v>
      </c>
      <c r="M1338" s="3">
        <v>68000</v>
      </c>
      <c r="N1338" s="3">
        <f>Table1[[#This Row],[Unit Price]]*Table1[[#This Row],[Quantity]]</f>
        <v>425000</v>
      </c>
      <c r="O1338" s="3">
        <f>Table1[[#This Row],[Cost Price]]*Table1[[#This Row],[Quantity]]</f>
        <v>340000</v>
      </c>
      <c r="P1338" s="3">
        <f>Table1[[#This Row],[Revenue]]-Table1[[#This Row],[COGS]]</f>
        <v>85000</v>
      </c>
      <c r="Q1338" s="1">
        <v>1337</v>
      </c>
    </row>
    <row r="1339" spans="1:17">
      <c r="A1339" t="s">
        <v>121</v>
      </c>
      <c r="B1339" t="str">
        <f>TEXT(Table1[[#This Row],[Date]],"MMMM")</f>
        <v>April</v>
      </c>
      <c r="C1339" t="str">
        <f>TEXT(Table1[[#This Row],[Date]],"DDDD")</f>
        <v>Wednesday</v>
      </c>
      <c r="D1339" t="s">
        <v>27</v>
      </c>
      <c r="E1339" t="s">
        <v>45</v>
      </c>
      <c r="F1339" t="s">
        <v>41</v>
      </c>
      <c r="G1339" t="s">
        <v>30</v>
      </c>
      <c r="H1339" t="s">
        <v>73</v>
      </c>
      <c r="I1339" t="s">
        <v>39</v>
      </c>
      <c r="J1339" s="3">
        <v>220000</v>
      </c>
      <c r="K1339">
        <v>5</v>
      </c>
      <c r="L1339" t="s">
        <v>69</v>
      </c>
      <c r="M1339" s="3">
        <v>176000</v>
      </c>
      <c r="N1339" s="3">
        <f>Table1[[#This Row],[Unit Price]]*Table1[[#This Row],[Quantity]]</f>
        <v>1100000</v>
      </c>
      <c r="O1339" s="3">
        <f>Table1[[#This Row],[Cost Price]]*Table1[[#This Row],[Quantity]]</f>
        <v>880000</v>
      </c>
      <c r="P1339" s="3">
        <f>Table1[[#This Row],[Revenue]]-Table1[[#This Row],[COGS]]</f>
        <v>220000</v>
      </c>
      <c r="Q1339" s="1">
        <v>1338</v>
      </c>
    </row>
    <row r="1340" spans="1:17">
      <c r="A1340" t="s">
        <v>129</v>
      </c>
      <c r="B1340" t="str">
        <f>TEXT(Table1[[#This Row],[Date]],"MMMM")</f>
        <v>March</v>
      </c>
      <c r="C1340" t="str">
        <f>TEXT(Table1[[#This Row],[Date]],"DDDD")</f>
        <v>Tuesday</v>
      </c>
      <c r="D1340" t="s">
        <v>35</v>
      </c>
      <c r="E1340" t="s">
        <v>53</v>
      </c>
      <c r="F1340" t="s">
        <v>29</v>
      </c>
      <c r="G1340" t="s">
        <v>30</v>
      </c>
      <c r="H1340" t="s">
        <v>46</v>
      </c>
      <c r="I1340" t="s">
        <v>39</v>
      </c>
      <c r="J1340" s="3">
        <v>60000</v>
      </c>
      <c r="K1340">
        <v>8</v>
      </c>
      <c r="L1340" t="s">
        <v>65</v>
      </c>
      <c r="M1340" s="3">
        <v>48000</v>
      </c>
      <c r="N1340" s="3">
        <f>Table1[[#This Row],[Unit Price]]*Table1[[#This Row],[Quantity]]</f>
        <v>480000</v>
      </c>
      <c r="O1340" s="3">
        <f>Table1[[#This Row],[Cost Price]]*Table1[[#This Row],[Quantity]]</f>
        <v>384000</v>
      </c>
      <c r="P1340" s="3">
        <f>Table1[[#This Row],[Revenue]]-Table1[[#This Row],[COGS]]</f>
        <v>96000</v>
      </c>
      <c r="Q1340" s="1">
        <v>1339</v>
      </c>
    </row>
    <row r="1341" spans="1:17">
      <c r="A1341" t="s">
        <v>100</v>
      </c>
      <c r="B1341" t="str">
        <f>TEXT(Table1[[#This Row],[Date]],"MMMM")</f>
        <v>January</v>
      </c>
      <c r="C1341" t="str">
        <f>TEXT(Table1[[#This Row],[Date]],"DDDD")</f>
        <v>Monday</v>
      </c>
      <c r="D1341" t="s">
        <v>35</v>
      </c>
      <c r="E1341" t="s">
        <v>53</v>
      </c>
      <c r="F1341" t="s">
        <v>41</v>
      </c>
      <c r="G1341" t="s">
        <v>37</v>
      </c>
      <c r="H1341" t="s">
        <v>31</v>
      </c>
      <c r="I1341" t="s">
        <v>32</v>
      </c>
      <c r="J1341" s="3">
        <v>85000</v>
      </c>
      <c r="K1341">
        <v>10</v>
      </c>
      <c r="L1341" t="s">
        <v>58</v>
      </c>
      <c r="M1341" s="3">
        <v>68000</v>
      </c>
      <c r="N1341" s="3">
        <f>Table1[[#This Row],[Unit Price]]*Table1[[#This Row],[Quantity]]</f>
        <v>850000</v>
      </c>
      <c r="O1341" s="3">
        <f>Table1[[#This Row],[Cost Price]]*Table1[[#This Row],[Quantity]]</f>
        <v>680000</v>
      </c>
      <c r="P1341" s="3">
        <f>Table1[[#This Row],[Revenue]]-Table1[[#This Row],[COGS]]</f>
        <v>170000</v>
      </c>
      <c r="Q1341" s="1">
        <v>1340</v>
      </c>
    </row>
    <row r="1342" spans="1:17">
      <c r="A1342" t="s">
        <v>112</v>
      </c>
      <c r="B1342" t="str">
        <f>TEXT(Table1[[#This Row],[Date]],"MMMM")</f>
        <v>February</v>
      </c>
      <c r="C1342" t="str">
        <f>TEXT(Table1[[#This Row],[Date]],"DDDD")</f>
        <v>Monday</v>
      </c>
      <c r="D1342" t="s">
        <v>49</v>
      </c>
      <c r="E1342" t="s">
        <v>36</v>
      </c>
      <c r="F1342" t="s">
        <v>29</v>
      </c>
      <c r="G1342" t="s">
        <v>37</v>
      </c>
      <c r="H1342" t="s">
        <v>38</v>
      </c>
      <c r="I1342" t="s">
        <v>39</v>
      </c>
      <c r="J1342" s="3">
        <v>30000</v>
      </c>
      <c r="K1342">
        <v>6</v>
      </c>
      <c r="L1342" t="s">
        <v>69</v>
      </c>
      <c r="M1342" s="3">
        <v>24000</v>
      </c>
      <c r="N1342" s="3">
        <f>Table1[[#This Row],[Unit Price]]*Table1[[#This Row],[Quantity]]</f>
        <v>180000</v>
      </c>
      <c r="O1342" s="3">
        <f>Table1[[#This Row],[Cost Price]]*Table1[[#This Row],[Quantity]]</f>
        <v>144000</v>
      </c>
      <c r="P1342" s="3">
        <f>Table1[[#This Row],[Revenue]]-Table1[[#This Row],[COGS]]</f>
        <v>36000</v>
      </c>
      <c r="Q1342" s="1">
        <v>1341</v>
      </c>
    </row>
    <row r="1343" spans="1:17">
      <c r="A1343" t="s">
        <v>142</v>
      </c>
      <c r="B1343" t="str">
        <f>TEXT(Table1[[#This Row],[Date]],"MMMM")</f>
        <v>April</v>
      </c>
      <c r="C1343" t="str">
        <f>TEXT(Table1[[#This Row],[Date]],"DDDD")</f>
        <v>Monday</v>
      </c>
      <c r="D1343" t="s">
        <v>27</v>
      </c>
      <c r="E1343" t="s">
        <v>36</v>
      </c>
      <c r="F1343" t="s">
        <v>41</v>
      </c>
      <c r="G1343" t="s">
        <v>37</v>
      </c>
      <c r="H1343" t="s">
        <v>56</v>
      </c>
      <c r="I1343" t="s">
        <v>32</v>
      </c>
      <c r="J1343" s="3">
        <v>320000</v>
      </c>
      <c r="K1343">
        <v>10</v>
      </c>
      <c r="L1343" t="s">
        <v>42</v>
      </c>
      <c r="M1343" s="3">
        <v>256000</v>
      </c>
      <c r="N1343" s="3">
        <f>Table1[[#This Row],[Unit Price]]*Table1[[#This Row],[Quantity]]</f>
        <v>3200000</v>
      </c>
      <c r="O1343" s="3">
        <f>Table1[[#This Row],[Cost Price]]*Table1[[#This Row],[Quantity]]</f>
        <v>2560000</v>
      </c>
      <c r="P1343" s="3">
        <f>Table1[[#This Row],[Revenue]]-Table1[[#This Row],[COGS]]</f>
        <v>640000</v>
      </c>
      <c r="Q1343" s="1">
        <v>1342</v>
      </c>
    </row>
    <row r="1344" spans="1:17">
      <c r="A1344" t="s">
        <v>116</v>
      </c>
      <c r="B1344" t="str">
        <f>TEXT(Table1[[#This Row],[Date]],"MMMM")</f>
        <v>April</v>
      </c>
      <c r="C1344" t="str">
        <f>TEXT(Table1[[#This Row],[Date]],"DDDD")</f>
        <v>Saturday</v>
      </c>
      <c r="D1344" t="s">
        <v>44</v>
      </c>
      <c r="E1344" t="s">
        <v>53</v>
      </c>
      <c r="F1344" t="s">
        <v>41</v>
      </c>
      <c r="G1344" t="s">
        <v>37</v>
      </c>
      <c r="H1344" t="s">
        <v>46</v>
      </c>
      <c r="I1344" t="s">
        <v>39</v>
      </c>
      <c r="J1344" s="3">
        <v>60000</v>
      </c>
      <c r="K1344">
        <v>2</v>
      </c>
      <c r="L1344" t="s">
        <v>42</v>
      </c>
      <c r="M1344" s="3">
        <v>48000</v>
      </c>
      <c r="N1344" s="3">
        <f>Table1[[#This Row],[Unit Price]]*Table1[[#This Row],[Quantity]]</f>
        <v>120000</v>
      </c>
      <c r="O1344" s="3">
        <f>Table1[[#This Row],[Cost Price]]*Table1[[#This Row],[Quantity]]</f>
        <v>96000</v>
      </c>
      <c r="P1344" s="3">
        <f>Table1[[#This Row],[Revenue]]-Table1[[#This Row],[COGS]]</f>
        <v>24000</v>
      </c>
      <c r="Q1344" s="1">
        <v>1343</v>
      </c>
    </row>
    <row r="1345" spans="1:17">
      <c r="A1345" t="s">
        <v>70</v>
      </c>
      <c r="B1345" t="str">
        <f>TEXT(Table1[[#This Row],[Date]],"MMMM")</f>
        <v>April</v>
      </c>
      <c r="C1345" t="str">
        <f>TEXT(Table1[[#This Row],[Date]],"DDDD")</f>
        <v>Friday</v>
      </c>
      <c r="D1345" t="s">
        <v>35</v>
      </c>
      <c r="E1345" t="s">
        <v>36</v>
      </c>
      <c r="F1345" t="s">
        <v>41</v>
      </c>
      <c r="G1345" t="s">
        <v>37</v>
      </c>
      <c r="H1345" t="s">
        <v>67</v>
      </c>
      <c r="I1345" t="s">
        <v>51</v>
      </c>
      <c r="J1345" s="3">
        <v>420000</v>
      </c>
      <c r="K1345">
        <v>3</v>
      </c>
      <c r="L1345" t="s">
        <v>33</v>
      </c>
      <c r="M1345" s="3">
        <v>336000</v>
      </c>
      <c r="N1345" s="3">
        <f>Table1[[#This Row],[Unit Price]]*Table1[[#This Row],[Quantity]]</f>
        <v>1260000</v>
      </c>
      <c r="O1345" s="3">
        <f>Table1[[#This Row],[Cost Price]]*Table1[[#This Row],[Quantity]]</f>
        <v>1008000</v>
      </c>
      <c r="P1345" s="3">
        <f>Table1[[#This Row],[Revenue]]-Table1[[#This Row],[COGS]]</f>
        <v>252000</v>
      </c>
      <c r="Q1345" s="1">
        <v>1344</v>
      </c>
    </row>
    <row r="1346" spans="1:17">
      <c r="A1346" t="s">
        <v>55</v>
      </c>
      <c r="B1346" t="str">
        <f>TEXT(Table1[[#This Row],[Date]],"MMMM")</f>
        <v>March</v>
      </c>
      <c r="C1346" t="str">
        <f>TEXT(Table1[[#This Row],[Date]],"DDDD")</f>
        <v>Sunday</v>
      </c>
      <c r="D1346" t="s">
        <v>35</v>
      </c>
      <c r="E1346" t="s">
        <v>36</v>
      </c>
      <c r="F1346" t="s">
        <v>29</v>
      </c>
      <c r="G1346" t="s">
        <v>30</v>
      </c>
      <c r="H1346" t="s">
        <v>62</v>
      </c>
      <c r="I1346" t="s">
        <v>51</v>
      </c>
      <c r="J1346" s="3">
        <v>150000</v>
      </c>
      <c r="K1346">
        <v>5</v>
      </c>
      <c r="L1346" t="s">
        <v>47</v>
      </c>
      <c r="M1346" s="3">
        <v>120000</v>
      </c>
      <c r="N1346" s="3">
        <f>Table1[[#This Row],[Unit Price]]*Table1[[#This Row],[Quantity]]</f>
        <v>750000</v>
      </c>
      <c r="O1346" s="3">
        <f>Table1[[#This Row],[Cost Price]]*Table1[[#This Row],[Quantity]]</f>
        <v>600000</v>
      </c>
      <c r="P1346" s="3">
        <f>Table1[[#This Row],[Revenue]]-Table1[[#This Row],[COGS]]</f>
        <v>150000</v>
      </c>
      <c r="Q1346" s="1">
        <v>1345</v>
      </c>
    </row>
    <row r="1347" spans="1:17">
      <c r="A1347" t="s">
        <v>90</v>
      </c>
      <c r="B1347" t="str">
        <f>TEXT(Table1[[#This Row],[Date]],"MMMM")</f>
        <v>February</v>
      </c>
      <c r="C1347" t="str">
        <f>TEXT(Table1[[#This Row],[Date]],"DDDD")</f>
        <v>Tuesday</v>
      </c>
      <c r="D1347" t="s">
        <v>44</v>
      </c>
      <c r="E1347" t="s">
        <v>36</v>
      </c>
      <c r="F1347" t="s">
        <v>29</v>
      </c>
      <c r="G1347" t="s">
        <v>37</v>
      </c>
      <c r="H1347" t="s">
        <v>62</v>
      </c>
      <c r="I1347" t="s">
        <v>51</v>
      </c>
      <c r="J1347" s="3">
        <v>150000</v>
      </c>
      <c r="K1347">
        <v>9</v>
      </c>
      <c r="L1347" t="s">
        <v>58</v>
      </c>
      <c r="M1347" s="3">
        <v>120000</v>
      </c>
      <c r="N1347" s="3">
        <f>Table1[[#This Row],[Unit Price]]*Table1[[#This Row],[Quantity]]</f>
        <v>1350000</v>
      </c>
      <c r="O1347" s="3">
        <f>Table1[[#This Row],[Cost Price]]*Table1[[#This Row],[Quantity]]</f>
        <v>1080000</v>
      </c>
      <c r="P1347" s="3">
        <f>Table1[[#This Row],[Revenue]]-Table1[[#This Row],[COGS]]</f>
        <v>270000</v>
      </c>
      <c r="Q1347" s="1">
        <v>1346</v>
      </c>
    </row>
    <row r="1348" spans="1:17">
      <c r="A1348" t="s">
        <v>119</v>
      </c>
      <c r="B1348" t="str">
        <f>TEXT(Table1[[#This Row],[Date]],"MMMM")</f>
        <v>February</v>
      </c>
      <c r="C1348" t="str">
        <f>TEXT(Table1[[#This Row],[Date]],"DDDD")</f>
        <v>Sunday</v>
      </c>
      <c r="D1348" t="s">
        <v>44</v>
      </c>
      <c r="E1348" t="s">
        <v>28</v>
      </c>
      <c r="F1348" t="s">
        <v>41</v>
      </c>
      <c r="G1348" t="s">
        <v>37</v>
      </c>
      <c r="H1348" t="s">
        <v>31</v>
      </c>
      <c r="I1348" t="s">
        <v>32</v>
      </c>
      <c r="J1348" s="3">
        <v>85000</v>
      </c>
      <c r="K1348">
        <v>5</v>
      </c>
      <c r="L1348" t="s">
        <v>65</v>
      </c>
      <c r="M1348" s="3">
        <v>68000</v>
      </c>
      <c r="N1348" s="3">
        <f>Table1[[#This Row],[Unit Price]]*Table1[[#This Row],[Quantity]]</f>
        <v>425000</v>
      </c>
      <c r="O1348" s="3">
        <f>Table1[[#This Row],[Cost Price]]*Table1[[#This Row],[Quantity]]</f>
        <v>340000</v>
      </c>
      <c r="P1348" s="3">
        <f>Table1[[#This Row],[Revenue]]-Table1[[#This Row],[COGS]]</f>
        <v>85000</v>
      </c>
      <c r="Q1348" s="1">
        <v>1347</v>
      </c>
    </row>
    <row r="1349" spans="1:17">
      <c r="A1349" t="s">
        <v>57</v>
      </c>
      <c r="B1349" t="str">
        <f>TEXT(Table1[[#This Row],[Date]],"MMMM")</f>
        <v>February</v>
      </c>
      <c r="C1349" t="str">
        <f>TEXT(Table1[[#This Row],[Date]],"DDDD")</f>
        <v>Thursday</v>
      </c>
      <c r="D1349" t="s">
        <v>49</v>
      </c>
      <c r="E1349" t="s">
        <v>36</v>
      </c>
      <c r="F1349" t="s">
        <v>41</v>
      </c>
      <c r="G1349" t="s">
        <v>30</v>
      </c>
      <c r="H1349" t="s">
        <v>56</v>
      </c>
      <c r="I1349" t="s">
        <v>32</v>
      </c>
      <c r="J1349" s="3">
        <v>320000</v>
      </c>
      <c r="K1349">
        <v>1</v>
      </c>
      <c r="L1349" t="s">
        <v>42</v>
      </c>
      <c r="M1349" s="3">
        <v>256000</v>
      </c>
      <c r="N1349" s="3">
        <f>Table1[[#This Row],[Unit Price]]*Table1[[#This Row],[Quantity]]</f>
        <v>320000</v>
      </c>
      <c r="O1349" s="3">
        <f>Table1[[#This Row],[Cost Price]]*Table1[[#This Row],[Quantity]]</f>
        <v>256000</v>
      </c>
      <c r="P1349" s="3">
        <f>Table1[[#This Row],[Revenue]]-Table1[[#This Row],[COGS]]</f>
        <v>64000</v>
      </c>
      <c r="Q1349" s="1">
        <v>1348</v>
      </c>
    </row>
    <row r="1350" spans="1:17">
      <c r="A1350" t="s">
        <v>60</v>
      </c>
      <c r="B1350" t="str">
        <f>TEXT(Table1[[#This Row],[Date]],"MMMM")</f>
        <v>March</v>
      </c>
      <c r="C1350" t="str">
        <f>TEXT(Table1[[#This Row],[Date]],"DDDD")</f>
        <v>Wednesday</v>
      </c>
      <c r="D1350" t="s">
        <v>35</v>
      </c>
      <c r="E1350" t="s">
        <v>28</v>
      </c>
      <c r="F1350" t="s">
        <v>29</v>
      </c>
      <c r="G1350" t="s">
        <v>37</v>
      </c>
      <c r="H1350" t="s">
        <v>38</v>
      </c>
      <c r="I1350" t="s">
        <v>39</v>
      </c>
      <c r="J1350" s="3">
        <v>30000</v>
      </c>
      <c r="K1350">
        <v>4</v>
      </c>
      <c r="L1350" t="s">
        <v>47</v>
      </c>
      <c r="M1350" s="3">
        <v>24000</v>
      </c>
      <c r="N1350" s="3">
        <f>Table1[[#This Row],[Unit Price]]*Table1[[#This Row],[Quantity]]</f>
        <v>120000</v>
      </c>
      <c r="O1350" s="3">
        <f>Table1[[#This Row],[Cost Price]]*Table1[[#This Row],[Quantity]]</f>
        <v>96000</v>
      </c>
      <c r="P1350" s="3">
        <f>Table1[[#This Row],[Revenue]]-Table1[[#This Row],[COGS]]</f>
        <v>24000</v>
      </c>
      <c r="Q1350" s="1">
        <v>1349</v>
      </c>
    </row>
    <row r="1351" spans="1:17">
      <c r="A1351" t="s">
        <v>48</v>
      </c>
      <c r="B1351" t="str">
        <f>TEXT(Table1[[#This Row],[Date]],"MMMM")</f>
        <v>April</v>
      </c>
      <c r="C1351" t="str">
        <f>TEXT(Table1[[#This Row],[Date]],"DDDD")</f>
        <v>Sunday</v>
      </c>
      <c r="D1351" t="s">
        <v>44</v>
      </c>
      <c r="E1351" t="s">
        <v>45</v>
      </c>
      <c r="F1351" t="s">
        <v>41</v>
      </c>
      <c r="G1351" t="s">
        <v>37</v>
      </c>
      <c r="H1351" t="s">
        <v>73</v>
      </c>
      <c r="I1351" t="s">
        <v>39</v>
      </c>
      <c r="J1351" s="3">
        <v>220000</v>
      </c>
      <c r="K1351">
        <v>8</v>
      </c>
      <c r="L1351" t="s">
        <v>65</v>
      </c>
      <c r="M1351" s="3">
        <v>176000</v>
      </c>
      <c r="N1351" s="3">
        <f>Table1[[#This Row],[Unit Price]]*Table1[[#This Row],[Quantity]]</f>
        <v>1760000</v>
      </c>
      <c r="O1351" s="3">
        <f>Table1[[#This Row],[Cost Price]]*Table1[[#This Row],[Quantity]]</f>
        <v>1408000</v>
      </c>
      <c r="P1351" s="3">
        <f>Table1[[#This Row],[Revenue]]-Table1[[#This Row],[COGS]]</f>
        <v>352000</v>
      </c>
      <c r="Q1351" s="1">
        <v>1350</v>
      </c>
    </row>
    <row r="1352" spans="1:17">
      <c r="A1352" t="s">
        <v>164</v>
      </c>
      <c r="B1352" t="str">
        <f>TEXT(Table1[[#This Row],[Date]],"MMMM")</f>
        <v>March</v>
      </c>
      <c r="C1352" t="str">
        <f>TEXT(Table1[[#This Row],[Date]],"DDDD")</f>
        <v>Tuesday</v>
      </c>
      <c r="D1352" t="s">
        <v>27</v>
      </c>
      <c r="E1352" t="s">
        <v>53</v>
      </c>
      <c r="F1352" t="s">
        <v>41</v>
      </c>
      <c r="G1352" t="s">
        <v>37</v>
      </c>
      <c r="H1352" t="s">
        <v>56</v>
      </c>
      <c r="I1352" t="s">
        <v>32</v>
      </c>
      <c r="J1352" s="3">
        <v>320000</v>
      </c>
      <c r="K1352">
        <v>5</v>
      </c>
      <c r="L1352" t="s">
        <v>69</v>
      </c>
      <c r="M1352" s="3">
        <v>256000</v>
      </c>
      <c r="N1352" s="3">
        <f>Table1[[#This Row],[Unit Price]]*Table1[[#This Row],[Quantity]]</f>
        <v>1600000</v>
      </c>
      <c r="O1352" s="3">
        <f>Table1[[#This Row],[Cost Price]]*Table1[[#This Row],[Quantity]]</f>
        <v>1280000</v>
      </c>
      <c r="P1352" s="3">
        <f>Table1[[#This Row],[Revenue]]-Table1[[#This Row],[COGS]]</f>
        <v>320000</v>
      </c>
      <c r="Q1352" s="1">
        <v>1351</v>
      </c>
    </row>
    <row r="1353" spans="1:17">
      <c r="A1353" t="s">
        <v>154</v>
      </c>
      <c r="B1353" t="str">
        <f>TEXT(Table1[[#This Row],[Date]],"MMMM")</f>
        <v>February</v>
      </c>
      <c r="C1353" t="str">
        <f>TEXT(Table1[[#This Row],[Date]],"DDDD")</f>
        <v>Saturday</v>
      </c>
      <c r="D1353" t="s">
        <v>27</v>
      </c>
      <c r="E1353" t="s">
        <v>53</v>
      </c>
      <c r="F1353" t="s">
        <v>41</v>
      </c>
      <c r="G1353" t="s">
        <v>37</v>
      </c>
      <c r="H1353" t="s">
        <v>31</v>
      </c>
      <c r="I1353" t="s">
        <v>32</v>
      </c>
      <c r="J1353" s="3">
        <v>85000</v>
      </c>
      <c r="K1353">
        <v>3</v>
      </c>
      <c r="L1353" t="s">
        <v>65</v>
      </c>
      <c r="M1353" s="3">
        <v>68000</v>
      </c>
      <c r="N1353" s="3">
        <f>Table1[[#This Row],[Unit Price]]*Table1[[#This Row],[Quantity]]</f>
        <v>255000</v>
      </c>
      <c r="O1353" s="3">
        <f>Table1[[#This Row],[Cost Price]]*Table1[[#This Row],[Quantity]]</f>
        <v>204000</v>
      </c>
      <c r="P1353" s="3">
        <f>Table1[[#This Row],[Revenue]]-Table1[[#This Row],[COGS]]</f>
        <v>51000</v>
      </c>
      <c r="Q1353" s="1">
        <v>1352</v>
      </c>
    </row>
    <row r="1354" spans="1:17">
      <c r="A1354" t="s">
        <v>136</v>
      </c>
      <c r="B1354" t="str">
        <f>TEXT(Table1[[#This Row],[Date]],"MMMM")</f>
        <v>February</v>
      </c>
      <c r="C1354" t="str">
        <f>TEXT(Table1[[#This Row],[Date]],"DDDD")</f>
        <v>Saturday</v>
      </c>
      <c r="D1354" t="s">
        <v>35</v>
      </c>
      <c r="E1354" t="s">
        <v>45</v>
      </c>
      <c r="F1354" t="s">
        <v>29</v>
      </c>
      <c r="G1354" t="s">
        <v>37</v>
      </c>
      <c r="H1354" t="s">
        <v>56</v>
      </c>
      <c r="I1354" t="s">
        <v>32</v>
      </c>
      <c r="J1354" s="3">
        <v>320000</v>
      </c>
      <c r="K1354">
        <v>10</v>
      </c>
      <c r="L1354" t="s">
        <v>33</v>
      </c>
      <c r="M1354" s="3">
        <v>256000</v>
      </c>
      <c r="N1354" s="3">
        <f>Table1[[#This Row],[Unit Price]]*Table1[[#This Row],[Quantity]]</f>
        <v>3200000</v>
      </c>
      <c r="O1354" s="3">
        <f>Table1[[#This Row],[Cost Price]]*Table1[[#This Row],[Quantity]]</f>
        <v>2560000</v>
      </c>
      <c r="P1354" s="3">
        <f>Table1[[#This Row],[Revenue]]-Table1[[#This Row],[COGS]]</f>
        <v>640000</v>
      </c>
      <c r="Q1354" s="1">
        <v>1353</v>
      </c>
    </row>
    <row r="1355" spans="1:17">
      <c r="A1355" t="s">
        <v>174</v>
      </c>
      <c r="B1355" t="str">
        <f>TEXT(Table1[[#This Row],[Date]],"MMMM")</f>
        <v>February</v>
      </c>
      <c r="C1355" t="str">
        <f>TEXT(Table1[[#This Row],[Date]],"DDDD")</f>
        <v>Friday</v>
      </c>
      <c r="D1355" t="s">
        <v>27</v>
      </c>
      <c r="E1355" t="s">
        <v>45</v>
      </c>
      <c r="F1355" t="s">
        <v>29</v>
      </c>
      <c r="G1355" t="s">
        <v>30</v>
      </c>
      <c r="H1355" t="s">
        <v>67</v>
      </c>
      <c r="I1355" t="s">
        <v>51</v>
      </c>
      <c r="J1355" s="3">
        <v>420000</v>
      </c>
      <c r="K1355">
        <v>2</v>
      </c>
      <c r="L1355" t="s">
        <v>69</v>
      </c>
      <c r="M1355" s="3">
        <v>336000</v>
      </c>
      <c r="N1355" s="3">
        <f>Table1[[#This Row],[Unit Price]]*Table1[[#This Row],[Quantity]]</f>
        <v>840000</v>
      </c>
      <c r="O1355" s="3">
        <f>Table1[[#This Row],[Cost Price]]*Table1[[#This Row],[Quantity]]</f>
        <v>672000</v>
      </c>
      <c r="P1355" s="3">
        <f>Table1[[#This Row],[Revenue]]-Table1[[#This Row],[COGS]]</f>
        <v>168000</v>
      </c>
      <c r="Q1355" s="1">
        <v>1354</v>
      </c>
    </row>
    <row r="1356" spans="1:17">
      <c r="A1356" t="s">
        <v>172</v>
      </c>
      <c r="B1356" t="str">
        <f>TEXT(Table1[[#This Row],[Date]],"MMMM")</f>
        <v>March</v>
      </c>
      <c r="C1356" t="str">
        <f>TEXT(Table1[[#This Row],[Date]],"DDDD")</f>
        <v>Saturday</v>
      </c>
      <c r="D1356" t="s">
        <v>49</v>
      </c>
      <c r="E1356" t="s">
        <v>53</v>
      </c>
      <c r="F1356" t="s">
        <v>29</v>
      </c>
      <c r="G1356" t="s">
        <v>30</v>
      </c>
      <c r="H1356" t="s">
        <v>38</v>
      </c>
      <c r="I1356" t="s">
        <v>39</v>
      </c>
      <c r="J1356" s="3">
        <v>30000</v>
      </c>
      <c r="K1356">
        <v>3</v>
      </c>
      <c r="L1356" t="s">
        <v>33</v>
      </c>
      <c r="M1356" s="3">
        <v>24000</v>
      </c>
      <c r="N1356" s="3">
        <f>Table1[[#This Row],[Unit Price]]*Table1[[#This Row],[Quantity]]</f>
        <v>90000</v>
      </c>
      <c r="O1356" s="3">
        <f>Table1[[#This Row],[Cost Price]]*Table1[[#This Row],[Quantity]]</f>
        <v>72000</v>
      </c>
      <c r="P1356" s="3">
        <f>Table1[[#This Row],[Revenue]]-Table1[[#This Row],[COGS]]</f>
        <v>18000</v>
      </c>
      <c r="Q1356" s="1">
        <v>1355</v>
      </c>
    </row>
    <row r="1357" spans="1:17">
      <c r="A1357" t="s">
        <v>108</v>
      </c>
      <c r="B1357" t="str">
        <f>TEXT(Table1[[#This Row],[Date]],"MMMM")</f>
        <v>April</v>
      </c>
      <c r="C1357" t="str">
        <f>TEXT(Table1[[#This Row],[Date]],"DDDD")</f>
        <v>Thursday</v>
      </c>
      <c r="D1357" t="s">
        <v>27</v>
      </c>
      <c r="E1357" t="s">
        <v>53</v>
      </c>
      <c r="F1357" t="s">
        <v>41</v>
      </c>
      <c r="G1357" t="s">
        <v>30</v>
      </c>
      <c r="H1357" t="s">
        <v>38</v>
      </c>
      <c r="I1357" t="s">
        <v>39</v>
      </c>
      <c r="J1357" s="3">
        <v>30000</v>
      </c>
      <c r="K1357">
        <v>1</v>
      </c>
      <c r="L1357" t="s">
        <v>69</v>
      </c>
      <c r="M1357" s="3">
        <v>24000</v>
      </c>
      <c r="N1357" s="3">
        <f>Table1[[#This Row],[Unit Price]]*Table1[[#This Row],[Quantity]]</f>
        <v>30000</v>
      </c>
      <c r="O1357" s="3">
        <f>Table1[[#This Row],[Cost Price]]*Table1[[#This Row],[Quantity]]</f>
        <v>24000</v>
      </c>
      <c r="P1357" s="3">
        <f>Table1[[#This Row],[Revenue]]-Table1[[#This Row],[COGS]]</f>
        <v>6000</v>
      </c>
      <c r="Q1357" s="1">
        <v>1356</v>
      </c>
    </row>
    <row r="1358" spans="1:17">
      <c r="A1358" t="s">
        <v>110</v>
      </c>
      <c r="B1358" t="str">
        <f>TEXT(Table1[[#This Row],[Date]],"MMMM")</f>
        <v>January</v>
      </c>
      <c r="C1358" t="str">
        <f>TEXT(Table1[[#This Row],[Date]],"DDDD")</f>
        <v>Thursday</v>
      </c>
      <c r="D1358" t="s">
        <v>35</v>
      </c>
      <c r="E1358" t="s">
        <v>45</v>
      </c>
      <c r="F1358" t="s">
        <v>29</v>
      </c>
      <c r="G1358" t="s">
        <v>37</v>
      </c>
      <c r="H1358" t="s">
        <v>67</v>
      </c>
      <c r="I1358" t="s">
        <v>51</v>
      </c>
      <c r="J1358" s="3">
        <v>420000</v>
      </c>
      <c r="K1358">
        <v>10</v>
      </c>
      <c r="L1358" t="s">
        <v>69</v>
      </c>
      <c r="M1358" s="3">
        <v>336000</v>
      </c>
      <c r="N1358" s="3">
        <f>Table1[[#This Row],[Unit Price]]*Table1[[#This Row],[Quantity]]</f>
        <v>4200000</v>
      </c>
      <c r="O1358" s="3">
        <f>Table1[[#This Row],[Cost Price]]*Table1[[#This Row],[Quantity]]</f>
        <v>3360000</v>
      </c>
      <c r="P1358" s="3">
        <f>Table1[[#This Row],[Revenue]]-Table1[[#This Row],[COGS]]</f>
        <v>840000</v>
      </c>
      <c r="Q1358" s="1">
        <v>1357</v>
      </c>
    </row>
    <row r="1359" spans="1:17">
      <c r="A1359" t="s">
        <v>78</v>
      </c>
      <c r="B1359" t="str">
        <f>TEXT(Table1[[#This Row],[Date]],"MMMM")</f>
        <v>April</v>
      </c>
      <c r="C1359" t="str">
        <f>TEXT(Table1[[#This Row],[Date]],"DDDD")</f>
        <v>Tuesday</v>
      </c>
      <c r="D1359" t="s">
        <v>44</v>
      </c>
      <c r="E1359" t="s">
        <v>45</v>
      </c>
      <c r="F1359" t="s">
        <v>29</v>
      </c>
      <c r="G1359" t="s">
        <v>37</v>
      </c>
      <c r="H1359" t="s">
        <v>62</v>
      </c>
      <c r="I1359" t="s">
        <v>51</v>
      </c>
      <c r="J1359" s="3">
        <v>150000</v>
      </c>
      <c r="K1359">
        <v>8</v>
      </c>
      <c r="L1359" t="s">
        <v>33</v>
      </c>
      <c r="M1359" s="3">
        <v>120000</v>
      </c>
      <c r="N1359" s="3">
        <f>Table1[[#This Row],[Unit Price]]*Table1[[#This Row],[Quantity]]</f>
        <v>1200000</v>
      </c>
      <c r="O1359" s="3">
        <f>Table1[[#This Row],[Cost Price]]*Table1[[#This Row],[Quantity]]</f>
        <v>960000</v>
      </c>
      <c r="P1359" s="3">
        <f>Table1[[#This Row],[Revenue]]-Table1[[#This Row],[COGS]]</f>
        <v>240000</v>
      </c>
      <c r="Q1359" s="1">
        <v>1358</v>
      </c>
    </row>
    <row r="1360" spans="1:17">
      <c r="A1360" t="s">
        <v>82</v>
      </c>
      <c r="B1360" t="str">
        <f>TEXT(Table1[[#This Row],[Date]],"MMMM")</f>
        <v>March</v>
      </c>
      <c r="C1360" t="str">
        <f>TEXT(Table1[[#This Row],[Date]],"DDDD")</f>
        <v>Saturday</v>
      </c>
      <c r="D1360" t="s">
        <v>49</v>
      </c>
      <c r="E1360" t="s">
        <v>36</v>
      </c>
      <c r="F1360" t="s">
        <v>41</v>
      </c>
      <c r="G1360" t="s">
        <v>37</v>
      </c>
      <c r="H1360" t="s">
        <v>73</v>
      </c>
      <c r="I1360" t="s">
        <v>39</v>
      </c>
      <c r="J1360" s="3">
        <v>220000</v>
      </c>
      <c r="K1360">
        <v>8</v>
      </c>
      <c r="L1360" t="s">
        <v>33</v>
      </c>
      <c r="M1360" s="3">
        <v>176000</v>
      </c>
      <c r="N1360" s="3">
        <f>Table1[[#This Row],[Unit Price]]*Table1[[#This Row],[Quantity]]</f>
        <v>1760000</v>
      </c>
      <c r="O1360" s="3">
        <f>Table1[[#This Row],[Cost Price]]*Table1[[#This Row],[Quantity]]</f>
        <v>1408000</v>
      </c>
      <c r="P1360" s="3">
        <f>Table1[[#This Row],[Revenue]]-Table1[[#This Row],[COGS]]</f>
        <v>352000</v>
      </c>
      <c r="Q1360" s="1">
        <v>1359</v>
      </c>
    </row>
    <row r="1361" spans="1:17">
      <c r="A1361" t="s">
        <v>92</v>
      </c>
      <c r="B1361" t="str">
        <f>TEXT(Table1[[#This Row],[Date]],"MMMM")</f>
        <v>January</v>
      </c>
      <c r="C1361" t="str">
        <f>TEXT(Table1[[#This Row],[Date]],"DDDD")</f>
        <v>Tuesday</v>
      </c>
      <c r="D1361" t="s">
        <v>35</v>
      </c>
      <c r="E1361" t="s">
        <v>53</v>
      </c>
      <c r="F1361" t="s">
        <v>29</v>
      </c>
      <c r="G1361" t="s">
        <v>37</v>
      </c>
      <c r="H1361" t="s">
        <v>56</v>
      </c>
      <c r="I1361" t="s">
        <v>32</v>
      </c>
      <c r="J1361" s="3">
        <v>320000</v>
      </c>
      <c r="K1361">
        <v>9</v>
      </c>
      <c r="L1361" t="s">
        <v>58</v>
      </c>
      <c r="M1361" s="3">
        <v>256000</v>
      </c>
      <c r="N1361" s="3">
        <f>Table1[[#This Row],[Unit Price]]*Table1[[#This Row],[Quantity]]</f>
        <v>2880000</v>
      </c>
      <c r="O1361" s="3">
        <f>Table1[[#This Row],[Cost Price]]*Table1[[#This Row],[Quantity]]</f>
        <v>2304000</v>
      </c>
      <c r="P1361" s="3">
        <f>Table1[[#This Row],[Revenue]]-Table1[[#This Row],[COGS]]</f>
        <v>576000</v>
      </c>
      <c r="Q1361" s="1">
        <v>1360</v>
      </c>
    </row>
    <row r="1362" spans="1:17">
      <c r="A1362" t="s">
        <v>131</v>
      </c>
      <c r="B1362" t="str">
        <f>TEXT(Table1[[#This Row],[Date]],"MMMM")</f>
        <v>March</v>
      </c>
      <c r="C1362" t="str">
        <f>TEXT(Table1[[#This Row],[Date]],"DDDD")</f>
        <v>Friday</v>
      </c>
      <c r="D1362" t="s">
        <v>49</v>
      </c>
      <c r="E1362" t="s">
        <v>28</v>
      </c>
      <c r="F1362" t="s">
        <v>29</v>
      </c>
      <c r="G1362" t="s">
        <v>37</v>
      </c>
      <c r="H1362" t="s">
        <v>73</v>
      </c>
      <c r="I1362" t="s">
        <v>39</v>
      </c>
      <c r="J1362" s="3">
        <v>220000</v>
      </c>
      <c r="K1362">
        <v>3</v>
      </c>
      <c r="L1362" t="s">
        <v>69</v>
      </c>
      <c r="M1362" s="3">
        <v>176000</v>
      </c>
      <c r="N1362" s="3">
        <f>Table1[[#This Row],[Unit Price]]*Table1[[#This Row],[Quantity]]</f>
        <v>660000</v>
      </c>
      <c r="O1362" s="3">
        <f>Table1[[#This Row],[Cost Price]]*Table1[[#This Row],[Quantity]]</f>
        <v>528000</v>
      </c>
      <c r="P1362" s="3">
        <f>Table1[[#This Row],[Revenue]]-Table1[[#This Row],[COGS]]</f>
        <v>132000</v>
      </c>
      <c r="Q1362" s="1">
        <v>1361</v>
      </c>
    </row>
    <row r="1363" spans="1:17">
      <c r="A1363" t="s">
        <v>151</v>
      </c>
      <c r="B1363" t="str">
        <f>TEXT(Table1[[#This Row],[Date]],"MMMM")</f>
        <v>February</v>
      </c>
      <c r="C1363" t="str">
        <f>TEXT(Table1[[#This Row],[Date]],"DDDD")</f>
        <v>Tuesday</v>
      </c>
      <c r="D1363" t="s">
        <v>27</v>
      </c>
      <c r="E1363" t="s">
        <v>45</v>
      </c>
      <c r="F1363" t="s">
        <v>41</v>
      </c>
      <c r="G1363" t="s">
        <v>30</v>
      </c>
      <c r="H1363" t="s">
        <v>54</v>
      </c>
      <c r="I1363" t="s">
        <v>39</v>
      </c>
      <c r="J1363" s="3">
        <v>180000</v>
      </c>
      <c r="K1363">
        <v>8</v>
      </c>
      <c r="L1363" t="s">
        <v>58</v>
      </c>
      <c r="M1363" s="3">
        <v>144000</v>
      </c>
      <c r="N1363" s="3">
        <f>Table1[[#This Row],[Unit Price]]*Table1[[#This Row],[Quantity]]</f>
        <v>1440000</v>
      </c>
      <c r="O1363" s="3">
        <f>Table1[[#This Row],[Cost Price]]*Table1[[#This Row],[Quantity]]</f>
        <v>1152000</v>
      </c>
      <c r="P1363" s="3">
        <f>Table1[[#This Row],[Revenue]]-Table1[[#This Row],[COGS]]</f>
        <v>288000</v>
      </c>
      <c r="Q1363" s="1">
        <v>1362</v>
      </c>
    </row>
    <row r="1364" spans="1:17">
      <c r="A1364" t="s">
        <v>144</v>
      </c>
      <c r="B1364" t="str">
        <f>TEXT(Table1[[#This Row],[Date]],"MMMM")</f>
        <v>February</v>
      </c>
      <c r="C1364" t="str">
        <f>TEXT(Table1[[#This Row],[Date]],"DDDD")</f>
        <v>Friday</v>
      </c>
      <c r="D1364" t="s">
        <v>49</v>
      </c>
      <c r="E1364" t="s">
        <v>45</v>
      </c>
      <c r="F1364" t="s">
        <v>29</v>
      </c>
      <c r="G1364" t="s">
        <v>37</v>
      </c>
      <c r="H1364" t="s">
        <v>71</v>
      </c>
      <c r="I1364" t="s">
        <v>51</v>
      </c>
      <c r="J1364" s="3">
        <v>250000</v>
      </c>
      <c r="K1364">
        <v>4</v>
      </c>
      <c r="L1364" t="s">
        <v>47</v>
      </c>
      <c r="M1364" s="3">
        <v>200000</v>
      </c>
      <c r="N1364" s="3">
        <f>Table1[[#This Row],[Unit Price]]*Table1[[#This Row],[Quantity]]</f>
        <v>1000000</v>
      </c>
      <c r="O1364" s="3">
        <f>Table1[[#This Row],[Cost Price]]*Table1[[#This Row],[Quantity]]</f>
        <v>800000</v>
      </c>
      <c r="P1364" s="3">
        <f>Table1[[#This Row],[Revenue]]-Table1[[#This Row],[COGS]]</f>
        <v>200000</v>
      </c>
      <c r="Q1364" s="1">
        <v>1363</v>
      </c>
    </row>
    <row r="1365" spans="1:17">
      <c r="A1365" t="s">
        <v>148</v>
      </c>
      <c r="B1365" t="str">
        <f>TEXT(Table1[[#This Row],[Date]],"MMMM")</f>
        <v>February</v>
      </c>
      <c r="C1365" t="str">
        <f>TEXT(Table1[[#This Row],[Date]],"DDDD")</f>
        <v>Sunday</v>
      </c>
      <c r="D1365" t="s">
        <v>49</v>
      </c>
      <c r="E1365" t="s">
        <v>36</v>
      </c>
      <c r="F1365" t="s">
        <v>41</v>
      </c>
      <c r="G1365" t="s">
        <v>37</v>
      </c>
      <c r="H1365" t="s">
        <v>46</v>
      </c>
      <c r="I1365" t="s">
        <v>39</v>
      </c>
      <c r="J1365" s="3">
        <v>60000</v>
      </c>
      <c r="K1365">
        <v>7</v>
      </c>
      <c r="L1365" t="s">
        <v>58</v>
      </c>
      <c r="M1365" s="3">
        <v>48000</v>
      </c>
      <c r="N1365" s="3">
        <f>Table1[[#This Row],[Unit Price]]*Table1[[#This Row],[Quantity]]</f>
        <v>420000</v>
      </c>
      <c r="O1365" s="3">
        <f>Table1[[#This Row],[Cost Price]]*Table1[[#This Row],[Quantity]]</f>
        <v>336000</v>
      </c>
      <c r="P1365" s="3">
        <f>Table1[[#This Row],[Revenue]]-Table1[[#This Row],[COGS]]</f>
        <v>84000</v>
      </c>
      <c r="Q1365" s="1">
        <v>1364</v>
      </c>
    </row>
    <row r="1366" spans="1:17">
      <c r="A1366" t="s">
        <v>147</v>
      </c>
      <c r="B1366" t="str">
        <f>TEXT(Table1[[#This Row],[Date]],"MMMM")</f>
        <v>January</v>
      </c>
      <c r="C1366" t="str">
        <f>TEXT(Table1[[#This Row],[Date]],"DDDD")</f>
        <v>Saturday</v>
      </c>
      <c r="D1366" t="s">
        <v>49</v>
      </c>
      <c r="E1366" t="s">
        <v>28</v>
      </c>
      <c r="F1366" t="s">
        <v>41</v>
      </c>
      <c r="G1366" t="s">
        <v>37</v>
      </c>
      <c r="H1366" t="s">
        <v>73</v>
      </c>
      <c r="I1366" t="s">
        <v>39</v>
      </c>
      <c r="J1366" s="3">
        <v>220000</v>
      </c>
      <c r="K1366">
        <v>10</v>
      </c>
      <c r="L1366" t="s">
        <v>69</v>
      </c>
      <c r="M1366" s="3">
        <v>176000</v>
      </c>
      <c r="N1366" s="3">
        <f>Table1[[#This Row],[Unit Price]]*Table1[[#This Row],[Quantity]]</f>
        <v>2200000</v>
      </c>
      <c r="O1366" s="3">
        <f>Table1[[#This Row],[Cost Price]]*Table1[[#This Row],[Quantity]]</f>
        <v>1760000</v>
      </c>
      <c r="P1366" s="3">
        <f>Table1[[#This Row],[Revenue]]-Table1[[#This Row],[COGS]]</f>
        <v>440000</v>
      </c>
      <c r="Q1366" s="1">
        <v>1365</v>
      </c>
    </row>
    <row r="1367" spans="1:17">
      <c r="A1367" t="s">
        <v>138</v>
      </c>
      <c r="B1367" t="str">
        <f>TEXT(Table1[[#This Row],[Date]],"MMMM")</f>
        <v>April</v>
      </c>
      <c r="C1367" t="str">
        <f>TEXT(Table1[[#This Row],[Date]],"DDDD")</f>
        <v>Monday</v>
      </c>
      <c r="D1367" t="s">
        <v>44</v>
      </c>
      <c r="E1367" t="s">
        <v>45</v>
      </c>
      <c r="F1367" t="s">
        <v>29</v>
      </c>
      <c r="G1367" t="s">
        <v>30</v>
      </c>
      <c r="H1367" t="s">
        <v>46</v>
      </c>
      <c r="I1367" t="s">
        <v>39</v>
      </c>
      <c r="J1367" s="3">
        <v>60000</v>
      </c>
      <c r="K1367">
        <v>9</v>
      </c>
      <c r="L1367" t="s">
        <v>69</v>
      </c>
      <c r="M1367" s="3">
        <v>48000</v>
      </c>
      <c r="N1367" s="3">
        <f>Table1[[#This Row],[Unit Price]]*Table1[[#This Row],[Quantity]]</f>
        <v>540000</v>
      </c>
      <c r="O1367" s="3">
        <f>Table1[[#This Row],[Cost Price]]*Table1[[#This Row],[Quantity]]</f>
        <v>432000</v>
      </c>
      <c r="P1367" s="3">
        <f>Table1[[#This Row],[Revenue]]-Table1[[#This Row],[COGS]]</f>
        <v>108000</v>
      </c>
      <c r="Q1367" s="1">
        <v>1366</v>
      </c>
    </row>
    <row r="1368" spans="1:17">
      <c r="A1368" t="s">
        <v>119</v>
      </c>
      <c r="B1368" t="str">
        <f>TEXT(Table1[[#This Row],[Date]],"MMMM")</f>
        <v>February</v>
      </c>
      <c r="C1368" t="str">
        <f>TEXT(Table1[[#This Row],[Date]],"DDDD")</f>
        <v>Sunday</v>
      </c>
      <c r="D1368" t="s">
        <v>27</v>
      </c>
      <c r="E1368" t="s">
        <v>45</v>
      </c>
      <c r="F1368" t="s">
        <v>41</v>
      </c>
      <c r="G1368" t="s">
        <v>30</v>
      </c>
      <c r="H1368" t="s">
        <v>46</v>
      </c>
      <c r="I1368" t="s">
        <v>39</v>
      </c>
      <c r="J1368" s="3">
        <v>60000</v>
      </c>
      <c r="K1368">
        <v>2</v>
      </c>
      <c r="L1368" t="s">
        <v>47</v>
      </c>
      <c r="M1368" s="3">
        <v>48000</v>
      </c>
      <c r="N1368" s="3">
        <f>Table1[[#This Row],[Unit Price]]*Table1[[#This Row],[Quantity]]</f>
        <v>120000</v>
      </c>
      <c r="O1368" s="3">
        <f>Table1[[#This Row],[Cost Price]]*Table1[[#This Row],[Quantity]]</f>
        <v>96000</v>
      </c>
      <c r="P1368" s="3">
        <f>Table1[[#This Row],[Revenue]]-Table1[[#This Row],[COGS]]</f>
        <v>24000</v>
      </c>
      <c r="Q1368" s="1">
        <v>1367</v>
      </c>
    </row>
    <row r="1369" spans="1:17">
      <c r="A1369" t="s">
        <v>154</v>
      </c>
      <c r="B1369" t="str">
        <f>TEXT(Table1[[#This Row],[Date]],"MMMM")</f>
        <v>February</v>
      </c>
      <c r="C1369" t="str">
        <f>TEXT(Table1[[#This Row],[Date]],"DDDD")</f>
        <v>Saturday</v>
      </c>
      <c r="D1369" t="s">
        <v>35</v>
      </c>
      <c r="E1369" t="s">
        <v>36</v>
      </c>
      <c r="F1369" t="s">
        <v>41</v>
      </c>
      <c r="G1369" t="s">
        <v>30</v>
      </c>
      <c r="H1369" t="s">
        <v>62</v>
      </c>
      <c r="I1369" t="s">
        <v>51</v>
      </c>
      <c r="J1369" s="3">
        <v>150000</v>
      </c>
      <c r="K1369">
        <v>3</v>
      </c>
      <c r="L1369" t="s">
        <v>33</v>
      </c>
      <c r="M1369" s="3">
        <v>120000</v>
      </c>
      <c r="N1369" s="3">
        <f>Table1[[#This Row],[Unit Price]]*Table1[[#This Row],[Quantity]]</f>
        <v>450000</v>
      </c>
      <c r="O1369" s="3">
        <f>Table1[[#This Row],[Cost Price]]*Table1[[#This Row],[Quantity]]</f>
        <v>360000</v>
      </c>
      <c r="P1369" s="3">
        <f>Table1[[#This Row],[Revenue]]-Table1[[#This Row],[COGS]]</f>
        <v>90000</v>
      </c>
      <c r="Q1369" s="1">
        <v>1368</v>
      </c>
    </row>
    <row r="1370" spans="1:17">
      <c r="A1370" t="s">
        <v>158</v>
      </c>
      <c r="B1370" t="str">
        <f>TEXT(Table1[[#This Row],[Date]],"MMMM")</f>
        <v>January</v>
      </c>
      <c r="C1370" t="str">
        <f>TEXT(Table1[[#This Row],[Date]],"DDDD")</f>
        <v>Saturday</v>
      </c>
      <c r="D1370" t="s">
        <v>27</v>
      </c>
      <c r="E1370" t="s">
        <v>36</v>
      </c>
      <c r="F1370" t="s">
        <v>41</v>
      </c>
      <c r="G1370" t="s">
        <v>30</v>
      </c>
      <c r="H1370" t="s">
        <v>62</v>
      </c>
      <c r="I1370" t="s">
        <v>51</v>
      </c>
      <c r="J1370" s="3">
        <v>150000</v>
      </c>
      <c r="K1370">
        <v>10</v>
      </c>
      <c r="L1370" t="s">
        <v>33</v>
      </c>
      <c r="M1370" s="3">
        <v>120000</v>
      </c>
      <c r="N1370" s="3">
        <f>Table1[[#This Row],[Unit Price]]*Table1[[#This Row],[Quantity]]</f>
        <v>1500000</v>
      </c>
      <c r="O1370" s="3">
        <f>Table1[[#This Row],[Cost Price]]*Table1[[#This Row],[Quantity]]</f>
        <v>1200000</v>
      </c>
      <c r="P1370" s="3">
        <f>Table1[[#This Row],[Revenue]]-Table1[[#This Row],[COGS]]</f>
        <v>300000</v>
      </c>
      <c r="Q1370" s="1">
        <v>1369</v>
      </c>
    </row>
    <row r="1371" spans="1:17">
      <c r="A1371" t="s">
        <v>26</v>
      </c>
      <c r="B1371" t="str">
        <f>TEXT(Table1[[#This Row],[Date]],"MMMM")</f>
        <v>January</v>
      </c>
      <c r="C1371" t="str">
        <f>TEXT(Table1[[#This Row],[Date]],"DDDD")</f>
        <v>Sunday</v>
      </c>
      <c r="D1371" t="s">
        <v>49</v>
      </c>
      <c r="E1371" t="s">
        <v>45</v>
      </c>
      <c r="F1371" t="s">
        <v>41</v>
      </c>
      <c r="G1371" t="s">
        <v>30</v>
      </c>
      <c r="H1371" t="s">
        <v>62</v>
      </c>
      <c r="I1371" t="s">
        <v>51</v>
      </c>
      <c r="J1371" s="3">
        <v>150000</v>
      </c>
      <c r="K1371">
        <v>9</v>
      </c>
      <c r="L1371" t="s">
        <v>58</v>
      </c>
      <c r="M1371" s="3">
        <v>120000</v>
      </c>
      <c r="N1371" s="3">
        <f>Table1[[#This Row],[Unit Price]]*Table1[[#This Row],[Quantity]]</f>
        <v>1350000</v>
      </c>
      <c r="O1371" s="3">
        <f>Table1[[#This Row],[Cost Price]]*Table1[[#This Row],[Quantity]]</f>
        <v>1080000</v>
      </c>
      <c r="P1371" s="3">
        <f>Table1[[#This Row],[Revenue]]-Table1[[#This Row],[COGS]]</f>
        <v>270000</v>
      </c>
      <c r="Q1371" s="1">
        <v>1370</v>
      </c>
    </row>
    <row r="1372" spans="1:17">
      <c r="A1372" t="s">
        <v>130</v>
      </c>
      <c r="B1372" t="str">
        <f>TEXT(Table1[[#This Row],[Date]],"MMMM")</f>
        <v>January</v>
      </c>
      <c r="C1372" t="str">
        <f>TEXT(Table1[[#This Row],[Date]],"DDDD")</f>
        <v>Monday</v>
      </c>
      <c r="D1372" t="s">
        <v>27</v>
      </c>
      <c r="E1372" t="s">
        <v>53</v>
      </c>
      <c r="F1372" t="s">
        <v>29</v>
      </c>
      <c r="G1372" t="s">
        <v>30</v>
      </c>
      <c r="H1372" t="s">
        <v>56</v>
      </c>
      <c r="I1372" t="s">
        <v>32</v>
      </c>
      <c r="J1372" s="3">
        <v>320000</v>
      </c>
      <c r="K1372">
        <v>5</v>
      </c>
      <c r="L1372" t="s">
        <v>69</v>
      </c>
      <c r="M1372" s="3">
        <v>256000</v>
      </c>
      <c r="N1372" s="3">
        <f>Table1[[#This Row],[Unit Price]]*Table1[[#This Row],[Quantity]]</f>
        <v>1600000</v>
      </c>
      <c r="O1372" s="3">
        <f>Table1[[#This Row],[Cost Price]]*Table1[[#This Row],[Quantity]]</f>
        <v>1280000</v>
      </c>
      <c r="P1372" s="3">
        <f>Table1[[#This Row],[Revenue]]-Table1[[#This Row],[COGS]]</f>
        <v>320000</v>
      </c>
      <c r="Q1372" s="1">
        <v>1371</v>
      </c>
    </row>
    <row r="1373" spans="1:17">
      <c r="A1373" t="s">
        <v>117</v>
      </c>
      <c r="B1373" t="str">
        <f>TEXT(Table1[[#This Row],[Date]],"MMMM")</f>
        <v>January</v>
      </c>
      <c r="C1373" t="str">
        <f>TEXT(Table1[[#This Row],[Date]],"DDDD")</f>
        <v>Wednesday</v>
      </c>
      <c r="D1373" t="s">
        <v>35</v>
      </c>
      <c r="E1373" t="s">
        <v>53</v>
      </c>
      <c r="F1373" t="s">
        <v>29</v>
      </c>
      <c r="G1373" t="s">
        <v>30</v>
      </c>
      <c r="H1373" t="s">
        <v>54</v>
      </c>
      <c r="I1373" t="s">
        <v>39</v>
      </c>
      <c r="J1373" s="3">
        <v>180000</v>
      </c>
      <c r="K1373">
        <v>3</v>
      </c>
      <c r="L1373" t="s">
        <v>33</v>
      </c>
      <c r="M1373" s="3">
        <v>144000</v>
      </c>
      <c r="N1373" s="3">
        <f>Table1[[#This Row],[Unit Price]]*Table1[[#This Row],[Quantity]]</f>
        <v>540000</v>
      </c>
      <c r="O1373" s="3">
        <f>Table1[[#This Row],[Cost Price]]*Table1[[#This Row],[Quantity]]</f>
        <v>432000</v>
      </c>
      <c r="P1373" s="3">
        <f>Table1[[#This Row],[Revenue]]-Table1[[#This Row],[COGS]]</f>
        <v>108000</v>
      </c>
      <c r="Q1373" s="1">
        <v>1372</v>
      </c>
    </row>
    <row r="1374" spans="1:17">
      <c r="A1374" t="s">
        <v>147</v>
      </c>
      <c r="B1374" t="str">
        <f>TEXT(Table1[[#This Row],[Date]],"MMMM")</f>
        <v>January</v>
      </c>
      <c r="C1374" t="str">
        <f>TEXT(Table1[[#This Row],[Date]],"DDDD")</f>
        <v>Saturday</v>
      </c>
      <c r="D1374" t="s">
        <v>27</v>
      </c>
      <c r="E1374" t="s">
        <v>45</v>
      </c>
      <c r="F1374" t="s">
        <v>41</v>
      </c>
      <c r="G1374" t="s">
        <v>30</v>
      </c>
      <c r="H1374" t="s">
        <v>31</v>
      </c>
      <c r="I1374" t="s">
        <v>32</v>
      </c>
      <c r="J1374" s="3">
        <v>85000</v>
      </c>
      <c r="K1374">
        <v>4</v>
      </c>
      <c r="L1374" t="s">
        <v>58</v>
      </c>
      <c r="M1374" s="3">
        <v>68000</v>
      </c>
      <c r="N1374" s="3">
        <f>Table1[[#This Row],[Unit Price]]*Table1[[#This Row],[Quantity]]</f>
        <v>340000</v>
      </c>
      <c r="O1374" s="3">
        <f>Table1[[#This Row],[Cost Price]]*Table1[[#This Row],[Quantity]]</f>
        <v>272000</v>
      </c>
      <c r="P1374" s="3">
        <f>Table1[[#This Row],[Revenue]]-Table1[[#This Row],[COGS]]</f>
        <v>68000</v>
      </c>
      <c r="Q1374" s="1">
        <v>1373</v>
      </c>
    </row>
    <row r="1375" spans="1:17">
      <c r="A1375" t="s">
        <v>128</v>
      </c>
      <c r="B1375" t="str">
        <f>TEXT(Table1[[#This Row],[Date]],"MMMM")</f>
        <v>March</v>
      </c>
      <c r="C1375" t="str">
        <f>TEXT(Table1[[#This Row],[Date]],"DDDD")</f>
        <v>Friday</v>
      </c>
      <c r="D1375" t="s">
        <v>27</v>
      </c>
      <c r="E1375" t="s">
        <v>53</v>
      </c>
      <c r="F1375" t="s">
        <v>41</v>
      </c>
      <c r="G1375" t="s">
        <v>37</v>
      </c>
      <c r="H1375" t="s">
        <v>56</v>
      </c>
      <c r="I1375" t="s">
        <v>32</v>
      </c>
      <c r="J1375" s="3">
        <v>320000</v>
      </c>
      <c r="K1375">
        <v>7</v>
      </c>
      <c r="L1375" t="s">
        <v>69</v>
      </c>
      <c r="M1375" s="3">
        <v>256000</v>
      </c>
      <c r="N1375" s="3">
        <f>Table1[[#This Row],[Unit Price]]*Table1[[#This Row],[Quantity]]</f>
        <v>2240000</v>
      </c>
      <c r="O1375" s="3">
        <f>Table1[[#This Row],[Cost Price]]*Table1[[#This Row],[Quantity]]</f>
        <v>1792000</v>
      </c>
      <c r="P1375" s="3">
        <f>Table1[[#This Row],[Revenue]]-Table1[[#This Row],[COGS]]</f>
        <v>448000</v>
      </c>
      <c r="Q1375" s="1">
        <v>1374</v>
      </c>
    </row>
    <row r="1376" spans="1:17">
      <c r="A1376" t="s">
        <v>137</v>
      </c>
      <c r="B1376" t="str">
        <f>TEXT(Table1[[#This Row],[Date]],"MMMM")</f>
        <v>April</v>
      </c>
      <c r="C1376" t="str">
        <f>TEXT(Table1[[#This Row],[Date]],"DDDD")</f>
        <v>Wednesday</v>
      </c>
      <c r="D1376" t="s">
        <v>44</v>
      </c>
      <c r="E1376" t="s">
        <v>36</v>
      </c>
      <c r="F1376" t="s">
        <v>29</v>
      </c>
      <c r="G1376" t="s">
        <v>37</v>
      </c>
      <c r="H1376" t="s">
        <v>73</v>
      </c>
      <c r="I1376" t="s">
        <v>39</v>
      </c>
      <c r="J1376" s="3">
        <v>220000</v>
      </c>
      <c r="K1376">
        <v>5</v>
      </c>
      <c r="L1376" t="s">
        <v>58</v>
      </c>
      <c r="M1376" s="3">
        <v>176000</v>
      </c>
      <c r="N1376" s="3">
        <f>Table1[[#This Row],[Unit Price]]*Table1[[#This Row],[Quantity]]</f>
        <v>1100000</v>
      </c>
      <c r="O1376" s="3">
        <f>Table1[[#This Row],[Cost Price]]*Table1[[#This Row],[Quantity]]</f>
        <v>880000</v>
      </c>
      <c r="P1376" s="3">
        <f>Table1[[#This Row],[Revenue]]-Table1[[#This Row],[COGS]]</f>
        <v>220000</v>
      </c>
      <c r="Q1376" s="1">
        <v>1375</v>
      </c>
    </row>
    <row r="1377" spans="1:17">
      <c r="A1377" t="s">
        <v>122</v>
      </c>
      <c r="B1377" t="str">
        <f>TEXT(Table1[[#This Row],[Date]],"MMMM")</f>
        <v>March</v>
      </c>
      <c r="C1377" t="str">
        <f>TEXT(Table1[[#This Row],[Date]],"DDDD")</f>
        <v>Thursday</v>
      </c>
      <c r="D1377" t="s">
        <v>44</v>
      </c>
      <c r="E1377" t="s">
        <v>36</v>
      </c>
      <c r="F1377" t="s">
        <v>41</v>
      </c>
      <c r="G1377" t="s">
        <v>37</v>
      </c>
      <c r="H1377" t="s">
        <v>62</v>
      </c>
      <c r="I1377" t="s">
        <v>51</v>
      </c>
      <c r="J1377" s="3">
        <v>150000</v>
      </c>
      <c r="K1377">
        <v>3</v>
      </c>
      <c r="L1377" t="s">
        <v>33</v>
      </c>
      <c r="M1377" s="3">
        <v>120000</v>
      </c>
      <c r="N1377" s="3">
        <f>Table1[[#This Row],[Unit Price]]*Table1[[#This Row],[Quantity]]</f>
        <v>450000</v>
      </c>
      <c r="O1377" s="3">
        <f>Table1[[#This Row],[Cost Price]]*Table1[[#This Row],[Quantity]]</f>
        <v>360000</v>
      </c>
      <c r="P1377" s="3">
        <f>Table1[[#This Row],[Revenue]]-Table1[[#This Row],[COGS]]</f>
        <v>90000</v>
      </c>
      <c r="Q1377" s="1">
        <v>1376</v>
      </c>
    </row>
    <row r="1378" spans="1:17">
      <c r="A1378" t="s">
        <v>101</v>
      </c>
      <c r="B1378" t="str">
        <f>TEXT(Table1[[#This Row],[Date]],"MMMM")</f>
        <v>January</v>
      </c>
      <c r="C1378" t="str">
        <f>TEXT(Table1[[#This Row],[Date]],"DDDD")</f>
        <v>Thursday</v>
      </c>
      <c r="D1378" t="s">
        <v>27</v>
      </c>
      <c r="E1378" t="s">
        <v>36</v>
      </c>
      <c r="F1378" t="s">
        <v>41</v>
      </c>
      <c r="G1378" t="s">
        <v>30</v>
      </c>
      <c r="H1378" t="s">
        <v>67</v>
      </c>
      <c r="I1378" t="s">
        <v>51</v>
      </c>
      <c r="J1378" s="3">
        <v>420000</v>
      </c>
      <c r="K1378">
        <v>8</v>
      </c>
      <c r="L1378" t="s">
        <v>42</v>
      </c>
      <c r="M1378" s="3">
        <v>336000</v>
      </c>
      <c r="N1378" s="3">
        <f>Table1[[#This Row],[Unit Price]]*Table1[[#This Row],[Quantity]]</f>
        <v>3360000</v>
      </c>
      <c r="O1378" s="3">
        <f>Table1[[#This Row],[Cost Price]]*Table1[[#This Row],[Quantity]]</f>
        <v>2688000</v>
      </c>
      <c r="P1378" s="3">
        <f>Table1[[#This Row],[Revenue]]-Table1[[#This Row],[COGS]]</f>
        <v>672000</v>
      </c>
      <c r="Q1378" s="1">
        <v>1377</v>
      </c>
    </row>
    <row r="1379" spans="1:17">
      <c r="A1379" t="s">
        <v>146</v>
      </c>
      <c r="B1379" t="str">
        <f>TEXT(Table1[[#This Row],[Date]],"MMMM")</f>
        <v>January</v>
      </c>
      <c r="C1379" t="str">
        <f>TEXT(Table1[[#This Row],[Date]],"DDDD")</f>
        <v>Tuesday</v>
      </c>
      <c r="D1379" t="s">
        <v>35</v>
      </c>
      <c r="E1379" t="s">
        <v>53</v>
      </c>
      <c r="F1379" t="s">
        <v>29</v>
      </c>
      <c r="G1379" t="s">
        <v>30</v>
      </c>
      <c r="H1379" t="s">
        <v>73</v>
      </c>
      <c r="I1379" t="s">
        <v>39</v>
      </c>
      <c r="J1379" s="3">
        <v>220000</v>
      </c>
      <c r="K1379">
        <v>9</v>
      </c>
      <c r="L1379" t="s">
        <v>42</v>
      </c>
      <c r="M1379" s="3">
        <v>176000</v>
      </c>
      <c r="N1379" s="3">
        <f>Table1[[#This Row],[Unit Price]]*Table1[[#This Row],[Quantity]]</f>
        <v>1980000</v>
      </c>
      <c r="O1379" s="3">
        <f>Table1[[#This Row],[Cost Price]]*Table1[[#This Row],[Quantity]]</f>
        <v>1584000</v>
      </c>
      <c r="P1379" s="3">
        <f>Table1[[#This Row],[Revenue]]-Table1[[#This Row],[COGS]]</f>
        <v>396000</v>
      </c>
      <c r="Q1379" s="1">
        <v>1378</v>
      </c>
    </row>
    <row r="1380" spans="1:17">
      <c r="A1380" t="s">
        <v>76</v>
      </c>
      <c r="B1380" t="str">
        <f>TEXT(Table1[[#This Row],[Date]],"MMMM")</f>
        <v>May</v>
      </c>
      <c r="C1380" t="str">
        <f>TEXT(Table1[[#This Row],[Date]],"DDDD")</f>
        <v>Thursday</v>
      </c>
      <c r="D1380" t="s">
        <v>49</v>
      </c>
      <c r="E1380" t="s">
        <v>28</v>
      </c>
      <c r="F1380" t="s">
        <v>29</v>
      </c>
      <c r="G1380" t="s">
        <v>30</v>
      </c>
      <c r="H1380" t="s">
        <v>67</v>
      </c>
      <c r="I1380" t="s">
        <v>51</v>
      </c>
      <c r="J1380" s="3">
        <v>420000</v>
      </c>
      <c r="K1380">
        <v>3</v>
      </c>
      <c r="L1380" t="s">
        <v>69</v>
      </c>
      <c r="M1380" s="3">
        <v>336000</v>
      </c>
      <c r="N1380" s="3">
        <f>Table1[[#This Row],[Unit Price]]*Table1[[#This Row],[Quantity]]</f>
        <v>1260000</v>
      </c>
      <c r="O1380" s="3">
        <f>Table1[[#This Row],[Cost Price]]*Table1[[#This Row],[Quantity]]</f>
        <v>1008000</v>
      </c>
      <c r="P1380" s="3">
        <f>Table1[[#This Row],[Revenue]]-Table1[[#This Row],[COGS]]</f>
        <v>252000</v>
      </c>
      <c r="Q1380" s="1">
        <v>1379</v>
      </c>
    </row>
    <row r="1381" spans="1:17">
      <c r="A1381" t="s">
        <v>83</v>
      </c>
      <c r="B1381" t="str">
        <f>TEXT(Table1[[#This Row],[Date]],"MMMM")</f>
        <v>January</v>
      </c>
      <c r="C1381" t="str">
        <f>TEXT(Table1[[#This Row],[Date]],"DDDD")</f>
        <v>Tuesday</v>
      </c>
      <c r="D1381" t="s">
        <v>49</v>
      </c>
      <c r="E1381" t="s">
        <v>28</v>
      </c>
      <c r="F1381" t="s">
        <v>29</v>
      </c>
      <c r="G1381" t="s">
        <v>37</v>
      </c>
      <c r="H1381" t="s">
        <v>71</v>
      </c>
      <c r="I1381" t="s">
        <v>51</v>
      </c>
      <c r="J1381" s="3">
        <v>250000</v>
      </c>
      <c r="K1381">
        <v>1</v>
      </c>
      <c r="L1381" t="s">
        <v>47</v>
      </c>
      <c r="M1381" s="3">
        <v>200000</v>
      </c>
      <c r="N1381" s="3">
        <f>Table1[[#This Row],[Unit Price]]*Table1[[#This Row],[Quantity]]</f>
        <v>250000</v>
      </c>
      <c r="O1381" s="3">
        <f>Table1[[#This Row],[Cost Price]]*Table1[[#This Row],[Quantity]]</f>
        <v>200000</v>
      </c>
      <c r="P1381" s="3">
        <f>Table1[[#This Row],[Revenue]]-Table1[[#This Row],[COGS]]</f>
        <v>50000</v>
      </c>
      <c r="Q1381" s="1">
        <v>1380</v>
      </c>
    </row>
    <row r="1382" spans="1:17">
      <c r="A1382" t="s">
        <v>134</v>
      </c>
      <c r="B1382" t="str">
        <f>TEXT(Table1[[#This Row],[Date]],"MMMM")</f>
        <v>January</v>
      </c>
      <c r="C1382" t="str">
        <f>TEXT(Table1[[#This Row],[Date]],"DDDD")</f>
        <v>Wednesday</v>
      </c>
      <c r="D1382" t="s">
        <v>35</v>
      </c>
      <c r="E1382" t="s">
        <v>36</v>
      </c>
      <c r="F1382" t="s">
        <v>29</v>
      </c>
      <c r="G1382" t="s">
        <v>37</v>
      </c>
      <c r="H1382" t="s">
        <v>56</v>
      </c>
      <c r="I1382" t="s">
        <v>32</v>
      </c>
      <c r="J1382" s="3">
        <v>320000</v>
      </c>
      <c r="K1382">
        <v>7</v>
      </c>
      <c r="L1382" t="s">
        <v>65</v>
      </c>
      <c r="M1382" s="3">
        <v>256000</v>
      </c>
      <c r="N1382" s="3">
        <f>Table1[[#This Row],[Unit Price]]*Table1[[#This Row],[Quantity]]</f>
        <v>2240000</v>
      </c>
      <c r="O1382" s="3">
        <f>Table1[[#This Row],[Cost Price]]*Table1[[#This Row],[Quantity]]</f>
        <v>1792000</v>
      </c>
      <c r="P1382" s="3">
        <f>Table1[[#This Row],[Revenue]]-Table1[[#This Row],[COGS]]</f>
        <v>448000</v>
      </c>
      <c r="Q1382" s="1">
        <v>1381</v>
      </c>
    </row>
    <row r="1383" spans="1:17">
      <c r="A1383" t="s">
        <v>166</v>
      </c>
      <c r="B1383" t="str">
        <f>TEXT(Table1[[#This Row],[Date]],"MMMM")</f>
        <v>January</v>
      </c>
      <c r="C1383" t="str">
        <f>TEXT(Table1[[#This Row],[Date]],"DDDD")</f>
        <v>Thursday</v>
      </c>
      <c r="D1383" t="s">
        <v>49</v>
      </c>
      <c r="E1383" t="s">
        <v>36</v>
      </c>
      <c r="F1383" t="s">
        <v>29</v>
      </c>
      <c r="G1383" t="s">
        <v>30</v>
      </c>
      <c r="H1383" t="s">
        <v>67</v>
      </c>
      <c r="I1383" t="s">
        <v>51</v>
      </c>
      <c r="J1383" s="3">
        <v>420000</v>
      </c>
      <c r="K1383">
        <v>2</v>
      </c>
      <c r="L1383" t="s">
        <v>69</v>
      </c>
      <c r="M1383" s="3">
        <v>336000</v>
      </c>
      <c r="N1383" s="3">
        <f>Table1[[#This Row],[Unit Price]]*Table1[[#This Row],[Quantity]]</f>
        <v>840000</v>
      </c>
      <c r="O1383" s="3">
        <f>Table1[[#This Row],[Cost Price]]*Table1[[#This Row],[Quantity]]</f>
        <v>672000</v>
      </c>
      <c r="P1383" s="3">
        <f>Table1[[#This Row],[Revenue]]-Table1[[#This Row],[COGS]]</f>
        <v>168000</v>
      </c>
      <c r="Q1383" s="1">
        <v>1382</v>
      </c>
    </row>
    <row r="1384" spans="1:17">
      <c r="A1384" t="s">
        <v>164</v>
      </c>
      <c r="B1384" t="str">
        <f>TEXT(Table1[[#This Row],[Date]],"MMMM")</f>
        <v>March</v>
      </c>
      <c r="C1384" t="str">
        <f>TEXT(Table1[[#This Row],[Date]],"DDDD")</f>
        <v>Tuesday</v>
      </c>
      <c r="D1384" t="s">
        <v>44</v>
      </c>
      <c r="E1384" t="s">
        <v>28</v>
      </c>
      <c r="F1384" t="s">
        <v>29</v>
      </c>
      <c r="G1384" t="s">
        <v>37</v>
      </c>
      <c r="H1384" t="s">
        <v>56</v>
      </c>
      <c r="I1384" t="s">
        <v>32</v>
      </c>
      <c r="J1384" s="3">
        <v>320000</v>
      </c>
      <c r="K1384">
        <v>3</v>
      </c>
      <c r="L1384" t="s">
        <v>47</v>
      </c>
      <c r="M1384" s="3">
        <v>256000</v>
      </c>
      <c r="N1384" s="3">
        <f>Table1[[#This Row],[Unit Price]]*Table1[[#This Row],[Quantity]]</f>
        <v>960000</v>
      </c>
      <c r="O1384" s="3">
        <f>Table1[[#This Row],[Cost Price]]*Table1[[#This Row],[Quantity]]</f>
        <v>768000</v>
      </c>
      <c r="P1384" s="3">
        <f>Table1[[#This Row],[Revenue]]-Table1[[#This Row],[COGS]]</f>
        <v>192000</v>
      </c>
      <c r="Q1384" s="1">
        <v>1383</v>
      </c>
    </row>
    <row r="1385" spans="1:17">
      <c r="A1385" t="s">
        <v>90</v>
      </c>
      <c r="B1385" t="str">
        <f>TEXT(Table1[[#This Row],[Date]],"MMMM")</f>
        <v>February</v>
      </c>
      <c r="C1385" t="str">
        <f>TEXT(Table1[[#This Row],[Date]],"DDDD")</f>
        <v>Tuesday</v>
      </c>
      <c r="D1385" t="s">
        <v>44</v>
      </c>
      <c r="E1385" t="s">
        <v>28</v>
      </c>
      <c r="F1385" t="s">
        <v>41</v>
      </c>
      <c r="G1385" t="s">
        <v>30</v>
      </c>
      <c r="H1385" t="s">
        <v>62</v>
      </c>
      <c r="I1385" t="s">
        <v>51</v>
      </c>
      <c r="J1385" s="3">
        <v>150000</v>
      </c>
      <c r="K1385">
        <v>2</v>
      </c>
      <c r="L1385" t="s">
        <v>65</v>
      </c>
      <c r="M1385" s="3">
        <v>120000</v>
      </c>
      <c r="N1385" s="3">
        <f>Table1[[#This Row],[Unit Price]]*Table1[[#This Row],[Quantity]]</f>
        <v>300000</v>
      </c>
      <c r="O1385" s="3">
        <f>Table1[[#This Row],[Cost Price]]*Table1[[#This Row],[Quantity]]</f>
        <v>240000</v>
      </c>
      <c r="P1385" s="3">
        <f>Table1[[#This Row],[Revenue]]-Table1[[#This Row],[COGS]]</f>
        <v>60000</v>
      </c>
      <c r="Q1385" s="1">
        <v>1384</v>
      </c>
    </row>
    <row r="1386" spans="1:17">
      <c r="A1386" t="s">
        <v>125</v>
      </c>
      <c r="B1386" t="str">
        <f>TEXT(Table1[[#This Row],[Date]],"MMMM")</f>
        <v>February</v>
      </c>
      <c r="C1386" t="str">
        <f>TEXT(Table1[[#This Row],[Date]],"DDDD")</f>
        <v>Tuesday</v>
      </c>
      <c r="D1386" t="s">
        <v>27</v>
      </c>
      <c r="E1386" t="s">
        <v>36</v>
      </c>
      <c r="F1386" t="s">
        <v>41</v>
      </c>
      <c r="G1386" t="s">
        <v>37</v>
      </c>
      <c r="H1386" t="s">
        <v>67</v>
      </c>
      <c r="I1386" t="s">
        <v>51</v>
      </c>
      <c r="J1386" s="3">
        <v>420000</v>
      </c>
      <c r="K1386">
        <v>8</v>
      </c>
      <c r="L1386" t="s">
        <v>47</v>
      </c>
      <c r="M1386" s="3">
        <v>336000</v>
      </c>
      <c r="N1386" s="3">
        <f>Table1[[#This Row],[Unit Price]]*Table1[[#This Row],[Quantity]]</f>
        <v>3360000</v>
      </c>
      <c r="O1386" s="3">
        <f>Table1[[#This Row],[Cost Price]]*Table1[[#This Row],[Quantity]]</f>
        <v>2688000</v>
      </c>
      <c r="P1386" s="3">
        <f>Table1[[#This Row],[Revenue]]-Table1[[#This Row],[COGS]]</f>
        <v>672000</v>
      </c>
      <c r="Q1386" s="1">
        <v>1385</v>
      </c>
    </row>
    <row r="1387" spans="1:17">
      <c r="A1387" t="s">
        <v>34</v>
      </c>
      <c r="B1387" t="str">
        <f>TEXT(Table1[[#This Row],[Date]],"MMMM")</f>
        <v>April</v>
      </c>
      <c r="C1387" t="str">
        <f>TEXT(Table1[[#This Row],[Date]],"DDDD")</f>
        <v>Tuesday</v>
      </c>
      <c r="D1387" t="s">
        <v>35</v>
      </c>
      <c r="E1387" t="s">
        <v>28</v>
      </c>
      <c r="F1387" t="s">
        <v>41</v>
      </c>
      <c r="G1387" t="s">
        <v>37</v>
      </c>
      <c r="H1387" t="s">
        <v>67</v>
      </c>
      <c r="I1387" t="s">
        <v>51</v>
      </c>
      <c r="J1387" s="3">
        <v>420000</v>
      </c>
      <c r="K1387">
        <v>1</v>
      </c>
      <c r="L1387" t="s">
        <v>69</v>
      </c>
      <c r="M1387" s="3">
        <v>336000</v>
      </c>
      <c r="N1387" s="3">
        <f>Table1[[#This Row],[Unit Price]]*Table1[[#This Row],[Quantity]]</f>
        <v>420000</v>
      </c>
      <c r="O1387" s="3">
        <f>Table1[[#This Row],[Cost Price]]*Table1[[#This Row],[Quantity]]</f>
        <v>336000</v>
      </c>
      <c r="P1387" s="3">
        <f>Table1[[#This Row],[Revenue]]-Table1[[#This Row],[COGS]]</f>
        <v>84000</v>
      </c>
      <c r="Q1387" s="1">
        <v>1386</v>
      </c>
    </row>
    <row r="1388" spans="1:17">
      <c r="A1388" t="s">
        <v>171</v>
      </c>
      <c r="B1388" t="str">
        <f>TEXT(Table1[[#This Row],[Date]],"MMMM")</f>
        <v>March</v>
      </c>
      <c r="C1388" t="str">
        <f>TEXT(Table1[[#This Row],[Date]],"DDDD")</f>
        <v>Monday</v>
      </c>
      <c r="D1388" t="s">
        <v>27</v>
      </c>
      <c r="E1388" t="s">
        <v>53</v>
      </c>
      <c r="F1388" t="s">
        <v>29</v>
      </c>
      <c r="G1388" t="s">
        <v>30</v>
      </c>
      <c r="H1388" t="s">
        <v>50</v>
      </c>
      <c r="I1388" t="s">
        <v>51</v>
      </c>
      <c r="J1388" s="3">
        <v>300000</v>
      </c>
      <c r="K1388">
        <v>5</v>
      </c>
      <c r="L1388" t="s">
        <v>58</v>
      </c>
      <c r="M1388" s="3">
        <v>240000</v>
      </c>
      <c r="N1388" s="3">
        <f>Table1[[#This Row],[Unit Price]]*Table1[[#This Row],[Quantity]]</f>
        <v>1500000</v>
      </c>
      <c r="O1388" s="3">
        <f>Table1[[#This Row],[Cost Price]]*Table1[[#This Row],[Quantity]]</f>
        <v>1200000</v>
      </c>
      <c r="P1388" s="3">
        <f>Table1[[#This Row],[Revenue]]-Table1[[#This Row],[COGS]]</f>
        <v>300000</v>
      </c>
      <c r="Q1388" s="1">
        <v>1387</v>
      </c>
    </row>
    <row r="1389" spans="1:17">
      <c r="A1389" t="s">
        <v>124</v>
      </c>
      <c r="B1389" t="str">
        <f>TEXT(Table1[[#This Row],[Date]],"MMMM")</f>
        <v>February</v>
      </c>
      <c r="C1389" t="str">
        <f>TEXT(Table1[[#This Row],[Date]],"DDDD")</f>
        <v>Monday</v>
      </c>
      <c r="D1389" t="s">
        <v>35</v>
      </c>
      <c r="E1389" t="s">
        <v>28</v>
      </c>
      <c r="F1389" t="s">
        <v>29</v>
      </c>
      <c r="G1389" t="s">
        <v>37</v>
      </c>
      <c r="H1389" t="s">
        <v>54</v>
      </c>
      <c r="I1389" t="s">
        <v>39</v>
      </c>
      <c r="J1389" s="3">
        <v>180000</v>
      </c>
      <c r="K1389">
        <v>7</v>
      </c>
      <c r="L1389" t="s">
        <v>65</v>
      </c>
      <c r="M1389" s="3">
        <v>144000</v>
      </c>
      <c r="N1389" s="3">
        <f>Table1[[#This Row],[Unit Price]]*Table1[[#This Row],[Quantity]]</f>
        <v>1260000</v>
      </c>
      <c r="O1389" s="3">
        <f>Table1[[#This Row],[Cost Price]]*Table1[[#This Row],[Quantity]]</f>
        <v>1008000</v>
      </c>
      <c r="P1389" s="3">
        <f>Table1[[#This Row],[Revenue]]-Table1[[#This Row],[COGS]]</f>
        <v>252000</v>
      </c>
      <c r="Q1389" s="1">
        <v>1388</v>
      </c>
    </row>
    <row r="1390" spans="1:17">
      <c r="A1390" t="s">
        <v>98</v>
      </c>
      <c r="B1390" t="str">
        <f>TEXT(Table1[[#This Row],[Date]],"MMMM")</f>
        <v>January</v>
      </c>
      <c r="C1390" t="str">
        <f>TEXT(Table1[[#This Row],[Date]],"DDDD")</f>
        <v>Friday</v>
      </c>
      <c r="D1390" t="s">
        <v>27</v>
      </c>
      <c r="E1390" t="s">
        <v>53</v>
      </c>
      <c r="F1390" t="s">
        <v>29</v>
      </c>
      <c r="G1390" t="s">
        <v>37</v>
      </c>
      <c r="H1390" t="s">
        <v>62</v>
      </c>
      <c r="I1390" t="s">
        <v>51</v>
      </c>
      <c r="J1390" s="3">
        <v>150000</v>
      </c>
      <c r="K1390">
        <v>10</v>
      </c>
      <c r="L1390" t="s">
        <v>42</v>
      </c>
      <c r="M1390" s="3">
        <v>120000</v>
      </c>
      <c r="N1390" s="3">
        <f>Table1[[#This Row],[Unit Price]]*Table1[[#This Row],[Quantity]]</f>
        <v>1500000</v>
      </c>
      <c r="O1390" s="3">
        <f>Table1[[#This Row],[Cost Price]]*Table1[[#This Row],[Quantity]]</f>
        <v>1200000</v>
      </c>
      <c r="P1390" s="3">
        <f>Table1[[#This Row],[Revenue]]-Table1[[#This Row],[COGS]]</f>
        <v>300000</v>
      </c>
      <c r="Q1390" s="1">
        <v>1389</v>
      </c>
    </row>
    <row r="1391" spans="1:17">
      <c r="A1391" t="s">
        <v>57</v>
      </c>
      <c r="B1391" t="str">
        <f>TEXT(Table1[[#This Row],[Date]],"MMMM")</f>
        <v>February</v>
      </c>
      <c r="C1391" t="str">
        <f>TEXT(Table1[[#This Row],[Date]],"DDDD")</f>
        <v>Thursday</v>
      </c>
      <c r="D1391" t="s">
        <v>27</v>
      </c>
      <c r="E1391" t="s">
        <v>53</v>
      </c>
      <c r="F1391" t="s">
        <v>41</v>
      </c>
      <c r="G1391" t="s">
        <v>30</v>
      </c>
      <c r="H1391" t="s">
        <v>50</v>
      </c>
      <c r="I1391" t="s">
        <v>51</v>
      </c>
      <c r="J1391" s="3">
        <v>300000</v>
      </c>
      <c r="K1391">
        <v>7</v>
      </c>
      <c r="L1391" t="s">
        <v>58</v>
      </c>
      <c r="M1391" s="3">
        <v>240000</v>
      </c>
      <c r="N1391" s="3">
        <f>Table1[[#This Row],[Unit Price]]*Table1[[#This Row],[Quantity]]</f>
        <v>2100000</v>
      </c>
      <c r="O1391" s="3">
        <f>Table1[[#This Row],[Cost Price]]*Table1[[#This Row],[Quantity]]</f>
        <v>1680000</v>
      </c>
      <c r="P1391" s="3">
        <f>Table1[[#This Row],[Revenue]]-Table1[[#This Row],[COGS]]</f>
        <v>420000</v>
      </c>
      <c r="Q1391" s="1">
        <v>1390</v>
      </c>
    </row>
    <row r="1392" spans="1:17">
      <c r="A1392" t="s">
        <v>80</v>
      </c>
      <c r="B1392" t="str">
        <f>TEXT(Table1[[#This Row],[Date]],"MMMM")</f>
        <v>February</v>
      </c>
      <c r="C1392" t="str">
        <f>TEXT(Table1[[#This Row],[Date]],"DDDD")</f>
        <v>Sunday</v>
      </c>
      <c r="D1392" t="s">
        <v>49</v>
      </c>
      <c r="E1392" t="s">
        <v>36</v>
      </c>
      <c r="F1392" t="s">
        <v>29</v>
      </c>
      <c r="G1392" t="s">
        <v>37</v>
      </c>
      <c r="H1392" t="s">
        <v>73</v>
      </c>
      <c r="I1392" t="s">
        <v>39</v>
      </c>
      <c r="J1392" s="3">
        <v>220000</v>
      </c>
      <c r="K1392">
        <v>2</v>
      </c>
      <c r="L1392" t="s">
        <v>33</v>
      </c>
      <c r="M1392" s="3">
        <v>176000</v>
      </c>
      <c r="N1392" s="3">
        <f>Table1[[#This Row],[Unit Price]]*Table1[[#This Row],[Quantity]]</f>
        <v>440000</v>
      </c>
      <c r="O1392" s="3">
        <f>Table1[[#This Row],[Cost Price]]*Table1[[#This Row],[Quantity]]</f>
        <v>352000</v>
      </c>
      <c r="P1392" s="3">
        <f>Table1[[#This Row],[Revenue]]-Table1[[#This Row],[COGS]]</f>
        <v>88000</v>
      </c>
      <c r="Q1392" s="1">
        <v>1391</v>
      </c>
    </row>
    <row r="1393" spans="1:17">
      <c r="A1393" t="s">
        <v>43</v>
      </c>
      <c r="B1393" t="str">
        <f>TEXT(Table1[[#This Row],[Date]],"MMMM")</f>
        <v>April</v>
      </c>
      <c r="C1393" t="str">
        <f>TEXT(Table1[[#This Row],[Date]],"DDDD")</f>
        <v>Friday</v>
      </c>
      <c r="D1393" t="s">
        <v>35</v>
      </c>
      <c r="E1393" t="s">
        <v>28</v>
      </c>
      <c r="F1393" t="s">
        <v>29</v>
      </c>
      <c r="G1393" t="s">
        <v>37</v>
      </c>
      <c r="H1393" t="s">
        <v>31</v>
      </c>
      <c r="I1393" t="s">
        <v>32</v>
      </c>
      <c r="J1393" s="3">
        <v>85000</v>
      </c>
      <c r="K1393">
        <v>8</v>
      </c>
      <c r="L1393" t="s">
        <v>47</v>
      </c>
      <c r="M1393" s="3">
        <v>68000</v>
      </c>
      <c r="N1393" s="3">
        <f>Table1[[#This Row],[Unit Price]]*Table1[[#This Row],[Quantity]]</f>
        <v>680000</v>
      </c>
      <c r="O1393" s="3">
        <f>Table1[[#This Row],[Cost Price]]*Table1[[#This Row],[Quantity]]</f>
        <v>544000</v>
      </c>
      <c r="P1393" s="3">
        <f>Table1[[#This Row],[Revenue]]-Table1[[#This Row],[COGS]]</f>
        <v>136000</v>
      </c>
      <c r="Q1393" s="1">
        <v>1392</v>
      </c>
    </row>
    <row r="1394" spans="1:17">
      <c r="A1394" t="s">
        <v>162</v>
      </c>
      <c r="B1394" t="str">
        <f>TEXT(Table1[[#This Row],[Date]],"MMMM")</f>
        <v>April</v>
      </c>
      <c r="C1394" t="str">
        <f>TEXT(Table1[[#This Row],[Date]],"DDDD")</f>
        <v>Tuesday</v>
      </c>
      <c r="D1394" t="s">
        <v>27</v>
      </c>
      <c r="E1394" t="s">
        <v>36</v>
      </c>
      <c r="F1394" t="s">
        <v>29</v>
      </c>
      <c r="G1394" t="s">
        <v>30</v>
      </c>
      <c r="H1394" t="s">
        <v>73</v>
      </c>
      <c r="I1394" t="s">
        <v>39</v>
      </c>
      <c r="J1394" s="3">
        <v>220000</v>
      </c>
      <c r="K1394">
        <v>7</v>
      </c>
      <c r="L1394" t="s">
        <v>69</v>
      </c>
      <c r="M1394" s="3">
        <v>176000</v>
      </c>
      <c r="N1394" s="3">
        <f>Table1[[#This Row],[Unit Price]]*Table1[[#This Row],[Quantity]]</f>
        <v>1540000</v>
      </c>
      <c r="O1394" s="3">
        <f>Table1[[#This Row],[Cost Price]]*Table1[[#This Row],[Quantity]]</f>
        <v>1232000</v>
      </c>
      <c r="P1394" s="3">
        <f>Table1[[#This Row],[Revenue]]-Table1[[#This Row],[COGS]]</f>
        <v>308000</v>
      </c>
      <c r="Q1394" s="1">
        <v>1393</v>
      </c>
    </row>
    <row r="1395" spans="1:17">
      <c r="A1395" t="s">
        <v>163</v>
      </c>
      <c r="B1395" t="str">
        <f>TEXT(Table1[[#This Row],[Date]],"MMMM")</f>
        <v>April</v>
      </c>
      <c r="C1395" t="str">
        <f>TEXT(Table1[[#This Row],[Date]],"DDDD")</f>
        <v>Tuesday</v>
      </c>
      <c r="D1395" t="s">
        <v>49</v>
      </c>
      <c r="E1395" t="s">
        <v>53</v>
      </c>
      <c r="F1395" t="s">
        <v>29</v>
      </c>
      <c r="G1395" t="s">
        <v>37</v>
      </c>
      <c r="H1395" t="s">
        <v>73</v>
      </c>
      <c r="I1395" t="s">
        <v>39</v>
      </c>
      <c r="J1395" s="3">
        <v>220000</v>
      </c>
      <c r="K1395">
        <v>6</v>
      </c>
      <c r="L1395" t="s">
        <v>58</v>
      </c>
      <c r="M1395" s="3">
        <v>176000</v>
      </c>
      <c r="N1395" s="3">
        <f>Table1[[#This Row],[Unit Price]]*Table1[[#This Row],[Quantity]]</f>
        <v>1320000</v>
      </c>
      <c r="O1395" s="3">
        <f>Table1[[#This Row],[Cost Price]]*Table1[[#This Row],[Quantity]]</f>
        <v>1056000</v>
      </c>
      <c r="P1395" s="3">
        <f>Table1[[#This Row],[Revenue]]-Table1[[#This Row],[COGS]]</f>
        <v>264000</v>
      </c>
      <c r="Q1395" s="1">
        <v>1394</v>
      </c>
    </row>
    <row r="1396" spans="1:17">
      <c r="A1396" t="s">
        <v>131</v>
      </c>
      <c r="B1396" t="str">
        <f>TEXT(Table1[[#This Row],[Date]],"MMMM")</f>
        <v>March</v>
      </c>
      <c r="C1396" t="str">
        <f>TEXT(Table1[[#This Row],[Date]],"DDDD")</f>
        <v>Friday</v>
      </c>
      <c r="D1396" t="s">
        <v>49</v>
      </c>
      <c r="E1396" t="s">
        <v>28</v>
      </c>
      <c r="F1396" t="s">
        <v>29</v>
      </c>
      <c r="G1396" t="s">
        <v>37</v>
      </c>
      <c r="H1396" t="s">
        <v>54</v>
      </c>
      <c r="I1396" t="s">
        <v>39</v>
      </c>
      <c r="J1396" s="3">
        <v>180000</v>
      </c>
      <c r="K1396">
        <v>3</v>
      </c>
      <c r="L1396" t="s">
        <v>47</v>
      </c>
      <c r="M1396" s="3">
        <v>144000</v>
      </c>
      <c r="N1396" s="3">
        <f>Table1[[#This Row],[Unit Price]]*Table1[[#This Row],[Quantity]]</f>
        <v>540000</v>
      </c>
      <c r="O1396" s="3">
        <f>Table1[[#This Row],[Cost Price]]*Table1[[#This Row],[Quantity]]</f>
        <v>432000</v>
      </c>
      <c r="P1396" s="3">
        <f>Table1[[#This Row],[Revenue]]-Table1[[#This Row],[COGS]]</f>
        <v>108000</v>
      </c>
      <c r="Q1396" s="1">
        <v>1395</v>
      </c>
    </row>
    <row r="1397" spans="1:17">
      <c r="A1397" t="s">
        <v>97</v>
      </c>
      <c r="B1397" t="str">
        <f>TEXT(Table1[[#This Row],[Date]],"MMMM")</f>
        <v>January</v>
      </c>
      <c r="C1397" t="str">
        <f>TEXT(Table1[[#This Row],[Date]],"DDDD")</f>
        <v>Sunday</v>
      </c>
      <c r="D1397" t="s">
        <v>44</v>
      </c>
      <c r="E1397" t="s">
        <v>36</v>
      </c>
      <c r="F1397" t="s">
        <v>29</v>
      </c>
      <c r="G1397" t="s">
        <v>30</v>
      </c>
      <c r="H1397" t="s">
        <v>71</v>
      </c>
      <c r="I1397" t="s">
        <v>51</v>
      </c>
      <c r="J1397" s="3">
        <v>250000</v>
      </c>
      <c r="K1397">
        <v>6</v>
      </c>
      <c r="L1397" t="s">
        <v>58</v>
      </c>
      <c r="M1397" s="3">
        <v>200000</v>
      </c>
      <c r="N1397" s="3">
        <f>Table1[[#This Row],[Unit Price]]*Table1[[#This Row],[Quantity]]</f>
        <v>1500000</v>
      </c>
      <c r="O1397" s="3">
        <f>Table1[[#This Row],[Cost Price]]*Table1[[#This Row],[Quantity]]</f>
        <v>1200000</v>
      </c>
      <c r="P1397" s="3">
        <f>Table1[[#This Row],[Revenue]]-Table1[[#This Row],[COGS]]</f>
        <v>300000</v>
      </c>
      <c r="Q1397" s="1">
        <v>1396</v>
      </c>
    </row>
    <row r="1398" spans="1:17">
      <c r="A1398" t="s">
        <v>105</v>
      </c>
      <c r="B1398" t="str">
        <f>TEXT(Table1[[#This Row],[Date]],"MMMM")</f>
        <v>March</v>
      </c>
      <c r="C1398" t="str">
        <f>TEXT(Table1[[#This Row],[Date]],"DDDD")</f>
        <v>Friday</v>
      </c>
      <c r="D1398" t="s">
        <v>27</v>
      </c>
      <c r="E1398" t="s">
        <v>45</v>
      </c>
      <c r="F1398" t="s">
        <v>41</v>
      </c>
      <c r="G1398" t="s">
        <v>37</v>
      </c>
      <c r="H1398" t="s">
        <v>62</v>
      </c>
      <c r="I1398" t="s">
        <v>51</v>
      </c>
      <c r="J1398" s="3">
        <v>150000</v>
      </c>
      <c r="K1398">
        <v>7</v>
      </c>
      <c r="L1398" t="s">
        <v>65</v>
      </c>
      <c r="M1398" s="3">
        <v>120000</v>
      </c>
      <c r="N1398" s="3">
        <f>Table1[[#This Row],[Unit Price]]*Table1[[#This Row],[Quantity]]</f>
        <v>1050000</v>
      </c>
      <c r="O1398" s="3">
        <f>Table1[[#This Row],[Cost Price]]*Table1[[#This Row],[Quantity]]</f>
        <v>840000</v>
      </c>
      <c r="P1398" s="3">
        <f>Table1[[#This Row],[Revenue]]-Table1[[#This Row],[COGS]]</f>
        <v>210000</v>
      </c>
      <c r="Q1398" s="1">
        <v>1397</v>
      </c>
    </row>
    <row r="1399" spans="1:17">
      <c r="A1399" t="s">
        <v>123</v>
      </c>
      <c r="B1399" t="str">
        <f>TEXT(Table1[[#This Row],[Date]],"MMMM")</f>
        <v>April</v>
      </c>
      <c r="C1399" t="str">
        <f>TEXT(Table1[[#This Row],[Date]],"DDDD")</f>
        <v>Monday</v>
      </c>
      <c r="D1399" t="s">
        <v>44</v>
      </c>
      <c r="E1399" t="s">
        <v>28</v>
      </c>
      <c r="F1399" t="s">
        <v>29</v>
      </c>
      <c r="G1399" t="s">
        <v>30</v>
      </c>
      <c r="H1399" t="s">
        <v>50</v>
      </c>
      <c r="I1399" t="s">
        <v>51</v>
      </c>
      <c r="J1399" s="3">
        <v>300000</v>
      </c>
      <c r="K1399">
        <v>9</v>
      </c>
      <c r="L1399" t="s">
        <v>33</v>
      </c>
      <c r="M1399" s="3">
        <v>240000</v>
      </c>
      <c r="N1399" s="3">
        <f>Table1[[#This Row],[Unit Price]]*Table1[[#This Row],[Quantity]]</f>
        <v>2700000</v>
      </c>
      <c r="O1399" s="3">
        <f>Table1[[#This Row],[Cost Price]]*Table1[[#This Row],[Quantity]]</f>
        <v>2160000</v>
      </c>
      <c r="P1399" s="3">
        <f>Table1[[#This Row],[Revenue]]-Table1[[#This Row],[COGS]]</f>
        <v>540000</v>
      </c>
      <c r="Q1399" s="1">
        <v>1398</v>
      </c>
    </row>
    <row r="1400" spans="1:17">
      <c r="A1400" t="s">
        <v>155</v>
      </c>
      <c r="B1400" t="str">
        <f>TEXT(Table1[[#This Row],[Date]],"MMMM")</f>
        <v>April</v>
      </c>
      <c r="C1400" t="str">
        <f>TEXT(Table1[[#This Row],[Date]],"DDDD")</f>
        <v>Thursday</v>
      </c>
      <c r="D1400" t="s">
        <v>27</v>
      </c>
      <c r="E1400" t="s">
        <v>45</v>
      </c>
      <c r="F1400" t="s">
        <v>29</v>
      </c>
      <c r="G1400" t="s">
        <v>30</v>
      </c>
      <c r="H1400" t="s">
        <v>67</v>
      </c>
      <c r="I1400" t="s">
        <v>51</v>
      </c>
      <c r="J1400" s="3">
        <v>420000</v>
      </c>
      <c r="K1400">
        <v>5</v>
      </c>
      <c r="L1400" t="s">
        <v>47</v>
      </c>
      <c r="M1400" s="3">
        <v>336000</v>
      </c>
      <c r="N1400" s="3">
        <f>Table1[[#This Row],[Unit Price]]*Table1[[#This Row],[Quantity]]</f>
        <v>2100000</v>
      </c>
      <c r="O1400" s="3">
        <f>Table1[[#This Row],[Cost Price]]*Table1[[#This Row],[Quantity]]</f>
        <v>1680000</v>
      </c>
      <c r="P1400" s="3">
        <f>Table1[[#This Row],[Revenue]]-Table1[[#This Row],[COGS]]</f>
        <v>420000</v>
      </c>
      <c r="Q1400" s="1">
        <v>1399</v>
      </c>
    </row>
    <row r="1401" spans="1:17">
      <c r="A1401" t="s">
        <v>161</v>
      </c>
      <c r="B1401" t="str">
        <f>TEXT(Table1[[#This Row],[Date]],"MMMM")</f>
        <v>March</v>
      </c>
      <c r="C1401" t="str">
        <f>TEXT(Table1[[#This Row],[Date]],"DDDD")</f>
        <v>Thursday</v>
      </c>
      <c r="D1401" t="s">
        <v>44</v>
      </c>
      <c r="E1401" t="s">
        <v>28</v>
      </c>
      <c r="F1401" t="s">
        <v>29</v>
      </c>
      <c r="G1401" t="s">
        <v>37</v>
      </c>
      <c r="H1401" t="s">
        <v>50</v>
      </c>
      <c r="I1401" t="s">
        <v>51</v>
      </c>
      <c r="J1401" s="3">
        <v>300000</v>
      </c>
      <c r="K1401">
        <v>3</v>
      </c>
      <c r="L1401" t="s">
        <v>47</v>
      </c>
      <c r="M1401" s="3">
        <v>240000</v>
      </c>
      <c r="N1401" s="3">
        <f>Table1[[#This Row],[Unit Price]]*Table1[[#This Row],[Quantity]]</f>
        <v>900000</v>
      </c>
      <c r="O1401" s="3">
        <f>Table1[[#This Row],[Cost Price]]*Table1[[#This Row],[Quantity]]</f>
        <v>720000</v>
      </c>
      <c r="P1401" s="3">
        <f>Table1[[#This Row],[Revenue]]-Table1[[#This Row],[COGS]]</f>
        <v>180000</v>
      </c>
      <c r="Q1401" s="1">
        <v>1400</v>
      </c>
    </row>
    <row r="1402" spans="1:17">
      <c r="A1402" t="s">
        <v>57</v>
      </c>
      <c r="B1402" t="str">
        <f>TEXT(Table1[[#This Row],[Date]],"MMMM")</f>
        <v>February</v>
      </c>
      <c r="C1402" t="str">
        <f>TEXT(Table1[[#This Row],[Date]],"DDDD")</f>
        <v>Thursday</v>
      </c>
      <c r="D1402" t="s">
        <v>35</v>
      </c>
      <c r="E1402" t="s">
        <v>28</v>
      </c>
      <c r="F1402" t="s">
        <v>41</v>
      </c>
      <c r="G1402" t="s">
        <v>37</v>
      </c>
      <c r="H1402" t="s">
        <v>71</v>
      </c>
      <c r="I1402" t="s">
        <v>51</v>
      </c>
      <c r="J1402" s="3">
        <v>250000</v>
      </c>
      <c r="K1402">
        <v>5</v>
      </c>
      <c r="L1402" t="s">
        <v>33</v>
      </c>
      <c r="M1402" s="3">
        <v>200000</v>
      </c>
      <c r="N1402" s="3">
        <f>Table1[[#This Row],[Unit Price]]*Table1[[#This Row],[Quantity]]</f>
        <v>1250000</v>
      </c>
      <c r="O1402" s="3">
        <f>Table1[[#This Row],[Cost Price]]*Table1[[#This Row],[Quantity]]</f>
        <v>1000000</v>
      </c>
      <c r="P1402" s="3">
        <f>Table1[[#This Row],[Revenue]]-Table1[[#This Row],[COGS]]</f>
        <v>250000</v>
      </c>
      <c r="Q1402" s="1">
        <v>1401</v>
      </c>
    </row>
    <row r="1403" spans="1:17">
      <c r="A1403" t="s">
        <v>48</v>
      </c>
      <c r="B1403" t="str">
        <f>TEXT(Table1[[#This Row],[Date]],"MMMM")</f>
        <v>April</v>
      </c>
      <c r="C1403" t="str">
        <f>TEXT(Table1[[#This Row],[Date]],"DDDD")</f>
        <v>Sunday</v>
      </c>
      <c r="D1403" t="s">
        <v>27</v>
      </c>
      <c r="E1403" t="s">
        <v>53</v>
      </c>
      <c r="F1403" t="s">
        <v>41</v>
      </c>
      <c r="G1403" t="s">
        <v>37</v>
      </c>
      <c r="H1403" t="s">
        <v>62</v>
      </c>
      <c r="I1403" t="s">
        <v>51</v>
      </c>
      <c r="J1403" s="3">
        <v>150000</v>
      </c>
      <c r="K1403">
        <v>2</v>
      </c>
      <c r="L1403" t="s">
        <v>58</v>
      </c>
      <c r="M1403" s="3">
        <v>120000</v>
      </c>
      <c r="N1403" s="3">
        <f>Table1[[#This Row],[Unit Price]]*Table1[[#This Row],[Quantity]]</f>
        <v>300000</v>
      </c>
      <c r="O1403" s="3">
        <f>Table1[[#This Row],[Cost Price]]*Table1[[#This Row],[Quantity]]</f>
        <v>240000</v>
      </c>
      <c r="P1403" s="3">
        <f>Table1[[#This Row],[Revenue]]-Table1[[#This Row],[COGS]]</f>
        <v>60000</v>
      </c>
      <c r="Q1403" s="1">
        <v>1402</v>
      </c>
    </row>
    <row r="1404" spans="1:17">
      <c r="A1404" t="s">
        <v>163</v>
      </c>
      <c r="B1404" t="str">
        <f>TEXT(Table1[[#This Row],[Date]],"MMMM")</f>
        <v>April</v>
      </c>
      <c r="C1404" t="str">
        <f>TEXT(Table1[[#This Row],[Date]],"DDDD")</f>
        <v>Tuesday</v>
      </c>
      <c r="D1404" t="s">
        <v>35</v>
      </c>
      <c r="E1404" t="s">
        <v>36</v>
      </c>
      <c r="F1404" t="s">
        <v>41</v>
      </c>
      <c r="G1404" t="s">
        <v>30</v>
      </c>
      <c r="H1404" t="s">
        <v>73</v>
      </c>
      <c r="I1404" t="s">
        <v>39</v>
      </c>
      <c r="J1404" s="3">
        <v>220000</v>
      </c>
      <c r="K1404">
        <v>3</v>
      </c>
      <c r="L1404" t="s">
        <v>69</v>
      </c>
      <c r="M1404" s="3">
        <v>176000</v>
      </c>
      <c r="N1404" s="3">
        <f>Table1[[#This Row],[Unit Price]]*Table1[[#This Row],[Quantity]]</f>
        <v>660000</v>
      </c>
      <c r="O1404" s="3">
        <f>Table1[[#This Row],[Cost Price]]*Table1[[#This Row],[Quantity]]</f>
        <v>528000</v>
      </c>
      <c r="P1404" s="3">
        <f>Table1[[#This Row],[Revenue]]-Table1[[#This Row],[COGS]]</f>
        <v>132000</v>
      </c>
      <c r="Q1404" s="1">
        <v>1403</v>
      </c>
    </row>
    <row r="1405" spans="1:17">
      <c r="A1405" t="s">
        <v>103</v>
      </c>
      <c r="B1405" t="str">
        <f>TEXT(Table1[[#This Row],[Date]],"MMMM")</f>
        <v>March</v>
      </c>
      <c r="C1405" t="str">
        <f>TEXT(Table1[[#This Row],[Date]],"DDDD")</f>
        <v>Wednesday</v>
      </c>
      <c r="D1405" t="s">
        <v>35</v>
      </c>
      <c r="E1405" t="s">
        <v>36</v>
      </c>
      <c r="F1405" t="s">
        <v>41</v>
      </c>
      <c r="G1405" t="s">
        <v>37</v>
      </c>
      <c r="H1405" t="s">
        <v>50</v>
      </c>
      <c r="I1405" t="s">
        <v>51</v>
      </c>
      <c r="J1405" s="3">
        <v>300000</v>
      </c>
      <c r="K1405">
        <v>6</v>
      </c>
      <c r="L1405" t="s">
        <v>42</v>
      </c>
      <c r="M1405" s="3">
        <v>240000</v>
      </c>
      <c r="N1405" s="3">
        <f>Table1[[#This Row],[Unit Price]]*Table1[[#This Row],[Quantity]]</f>
        <v>1800000</v>
      </c>
      <c r="O1405" s="3">
        <f>Table1[[#This Row],[Cost Price]]*Table1[[#This Row],[Quantity]]</f>
        <v>1440000</v>
      </c>
      <c r="P1405" s="3">
        <f>Table1[[#This Row],[Revenue]]-Table1[[#This Row],[COGS]]</f>
        <v>360000</v>
      </c>
      <c r="Q1405" s="1">
        <v>1404</v>
      </c>
    </row>
    <row r="1406" spans="1:17">
      <c r="A1406" t="s">
        <v>162</v>
      </c>
      <c r="B1406" t="str">
        <f>TEXT(Table1[[#This Row],[Date]],"MMMM")</f>
        <v>April</v>
      </c>
      <c r="C1406" t="str">
        <f>TEXT(Table1[[#This Row],[Date]],"DDDD")</f>
        <v>Tuesday</v>
      </c>
      <c r="D1406" t="s">
        <v>44</v>
      </c>
      <c r="E1406" t="s">
        <v>36</v>
      </c>
      <c r="F1406" t="s">
        <v>29</v>
      </c>
      <c r="G1406" t="s">
        <v>37</v>
      </c>
      <c r="H1406" t="s">
        <v>54</v>
      </c>
      <c r="I1406" t="s">
        <v>39</v>
      </c>
      <c r="J1406" s="3">
        <v>180000</v>
      </c>
      <c r="K1406">
        <v>2</v>
      </c>
      <c r="L1406" t="s">
        <v>69</v>
      </c>
      <c r="M1406" s="3">
        <v>144000</v>
      </c>
      <c r="N1406" s="3">
        <f>Table1[[#This Row],[Unit Price]]*Table1[[#This Row],[Quantity]]</f>
        <v>360000</v>
      </c>
      <c r="O1406" s="3">
        <f>Table1[[#This Row],[Cost Price]]*Table1[[#This Row],[Quantity]]</f>
        <v>288000</v>
      </c>
      <c r="P1406" s="3">
        <f>Table1[[#This Row],[Revenue]]-Table1[[#This Row],[COGS]]</f>
        <v>72000</v>
      </c>
      <c r="Q1406" s="1">
        <v>1405</v>
      </c>
    </row>
    <row r="1407" spans="1:17">
      <c r="A1407" t="s">
        <v>174</v>
      </c>
      <c r="B1407" t="str">
        <f>TEXT(Table1[[#This Row],[Date]],"MMMM")</f>
        <v>February</v>
      </c>
      <c r="C1407" t="str">
        <f>TEXT(Table1[[#This Row],[Date]],"DDDD")</f>
        <v>Friday</v>
      </c>
      <c r="D1407" t="s">
        <v>35</v>
      </c>
      <c r="E1407" t="s">
        <v>53</v>
      </c>
      <c r="F1407" t="s">
        <v>29</v>
      </c>
      <c r="G1407" t="s">
        <v>30</v>
      </c>
      <c r="H1407" t="s">
        <v>62</v>
      </c>
      <c r="I1407" t="s">
        <v>51</v>
      </c>
      <c r="J1407" s="3">
        <v>150000</v>
      </c>
      <c r="K1407">
        <v>5</v>
      </c>
      <c r="L1407" t="s">
        <v>65</v>
      </c>
      <c r="M1407" s="3">
        <v>120000</v>
      </c>
      <c r="N1407" s="3">
        <f>Table1[[#This Row],[Unit Price]]*Table1[[#This Row],[Quantity]]</f>
        <v>750000</v>
      </c>
      <c r="O1407" s="3">
        <f>Table1[[#This Row],[Cost Price]]*Table1[[#This Row],[Quantity]]</f>
        <v>600000</v>
      </c>
      <c r="P1407" s="3">
        <f>Table1[[#This Row],[Revenue]]-Table1[[#This Row],[COGS]]</f>
        <v>150000</v>
      </c>
      <c r="Q1407" s="1">
        <v>1406</v>
      </c>
    </row>
    <row r="1408" spans="1:17">
      <c r="A1408" t="s">
        <v>93</v>
      </c>
      <c r="B1408" t="str">
        <f>TEXT(Table1[[#This Row],[Date]],"MMMM")</f>
        <v>April</v>
      </c>
      <c r="C1408" t="str">
        <f>TEXT(Table1[[#This Row],[Date]],"DDDD")</f>
        <v>Friday</v>
      </c>
      <c r="D1408" t="s">
        <v>35</v>
      </c>
      <c r="E1408" t="s">
        <v>45</v>
      </c>
      <c r="F1408" t="s">
        <v>41</v>
      </c>
      <c r="G1408" t="s">
        <v>37</v>
      </c>
      <c r="H1408" t="s">
        <v>31</v>
      </c>
      <c r="I1408" t="s">
        <v>32</v>
      </c>
      <c r="J1408" s="3">
        <v>85000</v>
      </c>
      <c r="K1408">
        <v>1</v>
      </c>
      <c r="L1408" t="s">
        <v>65</v>
      </c>
      <c r="M1408" s="3">
        <v>68000</v>
      </c>
      <c r="N1408" s="3">
        <f>Table1[[#This Row],[Unit Price]]*Table1[[#This Row],[Quantity]]</f>
        <v>85000</v>
      </c>
      <c r="O1408" s="3">
        <f>Table1[[#This Row],[Cost Price]]*Table1[[#This Row],[Quantity]]</f>
        <v>68000</v>
      </c>
      <c r="P1408" s="3">
        <f>Table1[[#This Row],[Revenue]]-Table1[[#This Row],[COGS]]</f>
        <v>17000</v>
      </c>
      <c r="Q1408" s="1">
        <v>1407</v>
      </c>
    </row>
    <row r="1409" spans="1:17">
      <c r="A1409" t="s">
        <v>158</v>
      </c>
      <c r="B1409" t="str">
        <f>TEXT(Table1[[#This Row],[Date]],"MMMM")</f>
        <v>January</v>
      </c>
      <c r="C1409" t="str">
        <f>TEXT(Table1[[#This Row],[Date]],"DDDD")</f>
        <v>Saturday</v>
      </c>
      <c r="D1409" t="s">
        <v>27</v>
      </c>
      <c r="E1409" t="s">
        <v>28</v>
      </c>
      <c r="F1409" t="s">
        <v>29</v>
      </c>
      <c r="G1409" t="s">
        <v>30</v>
      </c>
      <c r="H1409" t="s">
        <v>38</v>
      </c>
      <c r="I1409" t="s">
        <v>39</v>
      </c>
      <c r="J1409" s="3">
        <v>30000</v>
      </c>
      <c r="K1409">
        <v>1</v>
      </c>
      <c r="L1409" t="s">
        <v>58</v>
      </c>
      <c r="M1409" s="3">
        <v>24000</v>
      </c>
      <c r="N1409" s="3">
        <f>Table1[[#This Row],[Unit Price]]*Table1[[#This Row],[Quantity]]</f>
        <v>30000</v>
      </c>
      <c r="O1409" s="3">
        <f>Table1[[#This Row],[Cost Price]]*Table1[[#This Row],[Quantity]]</f>
        <v>24000</v>
      </c>
      <c r="P1409" s="3">
        <f>Table1[[#This Row],[Revenue]]-Table1[[#This Row],[COGS]]</f>
        <v>6000</v>
      </c>
      <c r="Q1409" s="1">
        <v>1408</v>
      </c>
    </row>
    <row r="1410" spans="1:17">
      <c r="A1410" t="s">
        <v>169</v>
      </c>
      <c r="B1410" t="str">
        <f>TEXT(Table1[[#This Row],[Date]],"MMMM")</f>
        <v>February</v>
      </c>
      <c r="C1410" t="str">
        <f>TEXT(Table1[[#This Row],[Date]],"DDDD")</f>
        <v>Saturday</v>
      </c>
      <c r="D1410" t="s">
        <v>35</v>
      </c>
      <c r="E1410" t="s">
        <v>36</v>
      </c>
      <c r="F1410" t="s">
        <v>29</v>
      </c>
      <c r="G1410" t="s">
        <v>37</v>
      </c>
      <c r="H1410" t="s">
        <v>31</v>
      </c>
      <c r="I1410" t="s">
        <v>32</v>
      </c>
      <c r="J1410" s="3">
        <v>85000</v>
      </c>
      <c r="K1410">
        <v>1</v>
      </c>
      <c r="L1410" t="s">
        <v>65</v>
      </c>
      <c r="M1410" s="3">
        <v>68000</v>
      </c>
      <c r="N1410" s="3">
        <f>Table1[[#This Row],[Unit Price]]*Table1[[#This Row],[Quantity]]</f>
        <v>85000</v>
      </c>
      <c r="O1410" s="3">
        <f>Table1[[#This Row],[Cost Price]]*Table1[[#This Row],[Quantity]]</f>
        <v>68000</v>
      </c>
      <c r="P1410" s="3">
        <f>Table1[[#This Row],[Revenue]]-Table1[[#This Row],[COGS]]</f>
        <v>17000</v>
      </c>
      <c r="Q1410" s="1">
        <v>1409</v>
      </c>
    </row>
    <row r="1411" spans="1:17">
      <c r="A1411" t="s">
        <v>102</v>
      </c>
      <c r="B1411" t="str">
        <f>TEXT(Table1[[#This Row],[Date]],"MMMM")</f>
        <v>March</v>
      </c>
      <c r="C1411" t="str">
        <f>TEXT(Table1[[#This Row],[Date]],"DDDD")</f>
        <v>Wednesday</v>
      </c>
      <c r="D1411" t="s">
        <v>44</v>
      </c>
      <c r="E1411" t="s">
        <v>36</v>
      </c>
      <c r="F1411" t="s">
        <v>29</v>
      </c>
      <c r="G1411" t="s">
        <v>37</v>
      </c>
      <c r="H1411" t="s">
        <v>38</v>
      </c>
      <c r="I1411" t="s">
        <v>39</v>
      </c>
      <c r="J1411" s="3">
        <v>30000</v>
      </c>
      <c r="K1411">
        <v>2</v>
      </c>
      <c r="L1411" t="s">
        <v>65</v>
      </c>
      <c r="M1411" s="3">
        <v>24000</v>
      </c>
      <c r="N1411" s="3">
        <f>Table1[[#This Row],[Unit Price]]*Table1[[#This Row],[Quantity]]</f>
        <v>60000</v>
      </c>
      <c r="O1411" s="3">
        <f>Table1[[#This Row],[Cost Price]]*Table1[[#This Row],[Quantity]]</f>
        <v>48000</v>
      </c>
      <c r="P1411" s="3">
        <f>Table1[[#This Row],[Revenue]]-Table1[[#This Row],[COGS]]</f>
        <v>12000</v>
      </c>
      <c r="Q1411" s="1">
        <v>1410</v>
      </c>
    </row>
    <row r="1412" spans="1:17">
      <c r="A1412" t="s">
        <v>153</v>
      </c>
      <c r="B1412" t="str">
        <f>TEXT(Table1[[#This Row],[Date]],"MMMM")</f>
        <v>March</v>
      </c>
      <c r="C1412" t="str">
        <f>TEXT(Table1[[#This Row],[Date]],"DDDD")</f>
        <v>Tuesday</v>
      </c>
      <c r="D1412" t="s">
        <v>35</v>
      </c>
      <c r="E1412" t="s">
        <v>28</v>
      </c>
      <c r="F1412" t="s">
        <v>29</v>
      </c>
      <c r="G1412" t="s">
        <v>37</v>
      </c>
      <c r="H1412" t="s">
        <v>67</v>
      </c>
      <c r="I1412" t="s">
        <v>51</v>
      </c>
      <c r="J1412" s="3">
        <v>420000</v>
      </c>
      <c r="K1412">
        <v>3</v>
      </c>
      <c r="L1412" t="s">
        <v>33</v>
      </c>
      <c r="M1412" s="3">
        <v>336000</v>
      </c>
      <c r="N1412" s="3">
        <f>Table1[[#This Row],[Unit Price]]*Table1[[#This Row],[Quantity]]</f>
        <v>1260000</v>
      </c>
      <c r="O1412" s="3">
        <f>Table1[[#This Row],[Cost Price]]*Table1[[#This Row],[Quantity]]</f>
        <v>1008000</v>
      </c>
      <c r="P1412" s="3">
        <f>Table1[[#This Row],[Revenue]]-Table1[[#This Row],[COGS]]</f>
        <v>252000</v>
      </c>
      <c r="Q1412" s="1">
        <v>1411</v>
      </c>
    </row>
    <row r="1413" spans="1:17">
      <c r="A1413" t="s">
        <v>26</v>
      </c>
      <c r="B1413" t="str">
        <f>TEXT(Table1[[#This Row],[Date]],"MMMM")</f>
        <v>January</v>
      </c>
      <c r="C1413" t="str">
        <f>TEXT(Table1[[#This Row],[Date]],"DDDD")</f>
        <v>Sunday</v>
      </c>
      <c r="D1413" t="s">
        <v>27</v>
      </c>
      <c r="E1413" t="s">
        <v>36</v>
      </c>
      <c r="F1413" t="s">
        <v>29</v>
      </c>
      <c r="G1413" t="s">
        <v>37</v>
      </c>
      <c r="H1413" t="s">
        <v>38</v>
      </c>
      <c r="I1413" t="s">
        <v>39</v>
      </c>
      <c r="J1413" s="3">
        <v>30000</v>
      </c>
      <c r="K1413">
        <v>2</v>
      </c>
      <c r="L1413" t="s">
        <v>58</v>
      </c>
      <c r="M1413" s="3">
        <v>24000</v>
      </c>
      <c r="N1413" s="3">
        <f>Table1[[#This Row],[Unit Price]]*Table1[[#This Row],[Quantity]]</f>
        <v>60000</v>
      </c>
      <c r="O1413" s="3">
        <f>Table1[[#This Row],[Cost Price]]*Table1[[#This Row],[Quantity]]</f>
        <v>48000</v>
      </c>
      <c r="P1413" s="3">
        <f>Table1[[#This Row],[Revenue]]-Table1[[#This Row],[COGS]]</f>
        <v>12000</v>
      </c>
      <c r="Q1413" s="1">
        <v>1412</v>
      </c>
    </row>
    <row r="1414" spans="1:17">
      <c r="A1414" t="s">
        <v>126</v>
      </c>
      <c r="B1414" t="str">
        <f>TEXT(Table1[[#This Row],[Date]],"MMMM")</f>
        <v>January</v>
      </c>
      <c r="C1414" t="str">
        <f>TEXT(Table1[[#This Row],[Date]],"DDDD")</f>
        <v>Thursday</v>
      </c>
      <c r="D1414" t="s">
        <v>44</v>
      </c>
      <c r="E1414" t="s">
        <v>53</v>
      </c>
      <c r="F1414" t="s">
        <v>29</v>
      </c>
      <c r="G1414" t="s">
        <v>37</v>
      </c>
      <c r="H1414" t="s">
        <v>50</v>
      </c>
      <c r="I1414" t="s">
        <v>51</v>
      </c>
      <c r="J1414" s="3">
        <v>300000</v>
      </c>
      <c r="K1414">
        <v>9</v>
      </c>
      <c r="L1414" t="s">
        <v>47</v>
      </c>
      <c r="M1414" s="3">
        <v>240000</v>
      </c>
      <c r="N1414" s="3">
        <f>Table1[[#This Row],[Unit Price]]*Table1[[#This Row],[Quantity]]</f>
        <v>2700000</v>
      </c>
      <c r="O1414" s="3">
        <f>Table1[[#This Row],[Cost Price]]*Table1[[#This Row],[Quantity]]</f>
        <v>2160000</v>
      </c>
      <c r="P1414" s="3">
        <f>Table1[[#This Row],[Revenue]]-Table1[[#This Row],[COGS]]</f>
        <v>540000</v>
      </c>
      <c r="Q1414" s="1">
        <v>1413</v>
      </c>
    </row>
    <row r="1415" spans="1:17">
      <c r="A1415" t="s">
        <v>92</v>
      </c>
      <c r="B1415" t="str">
        <f>TEXT(Table1[[#This Row],[Date]],"MMMM")</f>
        <v>January</v>
      </c>
      <c r="C1415" t="str">
        <f>TEXT(Table1[[#This Row],[Date]],"DDDD")</f>
        <v>Tuesday</v>
      </c>
      <c r="D1415" t="s">
        <v>35</v>
      </c>
      <c r="E1415" t="s">
        <v>45</v>
      </c>
      <c r="F1415" t="s">
        <v>41</v>
      </c>
      <c r="G1415" t="s">
        <v>37</v>
      </c>
      <c r="H1415" t="s">
        <v>62</v>
      </c>
      <c r="I1415" t="s">
        <v>51</v>
      </c>
      <c r="J1415" s="3">
        <v>150000</v>
      </c>
      <c r="K1415">
        <v>4</v>
      </c>
      <c r="L1415" t="s">
        <v>58</v>
      </c>
      <c r="M1415" s="3">
        <v>120000</v>
      </c>
      <c r="N1415" s="3">
        <f>Table1[[#This Row],[Unit Price]]*Table1[[#This Row],[Quantity]]</f>
        <v>600000</v>
      </c>
      <c r="O1415" s="3">
        <f>Table1[[#This Row],[Cost Price]]*Table1[[#This Row],[Quantity]]</f>
        <v>480000</v>
      </c>
      <c r="P1415" s="3">
        <f>Table1[[#This Row],[Revenue]]-Table1[[#This Row],[COGS]]</f>
        <v>120000</v>
      </c>
      <c r="Q1415" s="1">
        <v>1414</v>
      </c>
    </row>
    <row r="1416" spans="1:17">
      <c r="A1416" t="s">
        <v>113</v>
      </c>
      <c r="B1416" t="str">
        <f>TEXT(Table1[[#This Row],[Date]],"MMMM")</f>
        <v>April</v>
      </c>
      <c r="C1416" t="str">
        <f>TEXT(Table1[[#This Row],[Date]],"DDDD")</f>
        <v>Monday</v>
      </c>
      <c r="D1416" t="s">
        <v>35</v>
      </c>
      <c r="E1416" t="s">
        <v>28</v>
      </c>
      <c r="F1416" t="s">
        <v>29</v>
      </c>
      <c r="G1416" t="s">
        <v>37</v>
      </c>
      <c r="H1416" t="s">
        <v>73</v>
      </c>
      <c r="I1416" t="s">
        <v>39</v>
      </c>
      <c r="J1416" s="3">
        <v>220000</v>
      </c>
      <c r="K1416">
        <v>2</v>
      </c>
      <c r="L1416" t="s">
        <v>69</v>
      </c>
      <c r="M1416" s="3">
        <v>176000</v>
      </c>
      <c r="N1416" s="3">
        <f>Table1[[#This Row],[Unit Price]]*Table1[[#This Row],[Quantity]]</f>
        <v>440000</v>
      </c>
      <c r="O1416" s="3">
        <f>Table1[[#This Row],[Cost Price]]*Table1[[#This Row],[Quantity]]</f>
        <v>352000</v>
      </c>
      <c r="P1416" s="3">
        <f>Table1[[#This Row],[Revenue]]-Table1[[#This Row],[COGS]]</f>
        <v>88000</v>
      </c>
      <c r="Q1416" s="1">
        <v>1415</v>
      </c>
    </row>
    <row r="1417" spans="1:17">
      <c r="A1417" t="s">
        <v>149</v>
      </c>
      <c r="B1417" t="str">
        <f>TEXT(Table1[[#This Row],[Date]],"MMMM")</f>
        <v>April</v>
      </c>
      <c r="C1417" t="str">
        <f>TEXT(Table1[[#This Row],[Date]],"DDDD")</f>
        <v>Saturday</v>
      </c>
      <c r="D1417" t="s">
        <v>44</v>
      </c>
      <c r="E1417" t="s">
        <v>36</v>
      </c>
      <c r="F1417" t="s">
        <v>29</v>
      </c>
      <c r="G1417" t="s">
        <v>37</v>
      </c>
      <c r="H1417" t="s">
        <v>31</v>
      </c>
      <c r="I1417" t="s">
        <v>32</v>
      </c>
      <c r="J1417" s="3">
        <v>85000</v>
      </c>
      <c r="K1417">
        <v>6</v>
      </c>
      <c r="L1417" t="s">
        <v>33</v>
      </c>
      <c r="M1417" s="3">
        <v>68000</v>
      </c>
      <c r="N1417" s="3">
        <f>Table1[[#This Row],[Unit Price]]*Table1[[#This Row],[Quantity]]</f>
        <v>510000</v>
      </c>
      <c r="O1417" s="3">
        <f>Table1[[#This Row],[Cost Price]]*Table1[[#This Row],[Quantity]]</f>
        <v>408000</v>
      </c>
      <c r="P1417" s="3">
        <f>Table1[[#This Row],[Revenue]]-Table1[[#This Row],[COGS]]</f>
        <v>102000</v>
      </c>
      <c r="Q1417" s="1">
        <v>1416</v>
      </c>
    </row>
    <row r="1418" spans="1:17">
      <c r="A1418" t="s">
        <v>151</v>
      </c>
      <c r="B1418" t="str">
        <f>TEXT(Table1[[#This Row],[Date]],"MMMM")</f>
        <v>February</v>
      </c>
      <c r="C1418" t="str">
        <f>TEXT(Table1[[#This Row],[Date]],"DDDD")</f>
        <v>Tuesday</v>
      </c>
      <c r="D1418" t="s">
        <v>27</v>
      </c>
      <c r="E1418" t="s">
        <v>36</v>
      </c>
      <c r="F1418" t="s">
        <v>29</v>
      </c>
      <c r="G1418" t="s">
        <v>37</v>
      </c>
      <c r="H1418" t="s">
        <v>50</v>
      </c>
      <c r="I1418" t="s">
        <v>51</v>
      </c>
      <c r="J1418" s="3">
        <v>300000</v>
      </c>
      <c r="K1418">
        <v>8</v>
      </c>
      <c r="L1418" t="s">
        <v>33</v>
      </c>
      <c r="M1418" s="3">
        <v>240000</v>
      </c>
      <c r="N1418" s="3">
        <f>Table1[[#This Row],[Unit Price]]*Table1[[#This Row],[Quantity]]</f>
        <v>2400000</v>
      </c>
      <c r="O1418" s="3">
        <f>Table1[[#This Row],[Cost Price]]*Table1[[#This Row],[Quantity]]</f>
        <v>1920000</v>
      </c>
      <c r="P1418" s="3">
        <f>Table1[[#This Row],[Revenue]]-Table1[[#This Row],[COGS]]</f>
        <v>480000</v>
      </c>
      <c r="Q1418" s="1">
        <v>1417</v>
      </c>
    </row>
    <row r="1419" spans="1:17">
      <c r="A1419" t="s">
        <v>64</v>
      </c>
      <c r="B1419" t="str">
        <f>TEXT(Table1[[#This Row],[Date]],"MMMM")</f>
        <v>April</v>
      </c>
      <c r="C1419" t="str">
        <f>TEXT(Table1[[#This Row],[Date]],"DDDD")</f>
        <v>Saturday</v>
      </c>
      <c r="D1419" t="s">
        <v>44</v>
      </c>
      <c r="E1419" t="s">
        <v>45</v>
      </c>
      <c r="F1419" t="s">
        <v>41</v>
      </c>
      <c r="G1419" t="s">
        <v>37</v>
      </c>
      <c r="H1419" t="s">
        <v>67</v>
      </c>
      <c r="I1419" t="s">
        <v>51</v>
      </c>
      <c r="J1419" s="3">
        <v>420000</v>
      </c>
      <c r="K1419">
        <v>2</v>
      </c>
      <c r="L1419" t="s">
        <v>58</v>
      </c>
      <c r="M1419" s="3">
        <v>336000</v>
      </c>
      <c r="N1419" s="3">
        <f>Table1[[#This Row],[Unit Price]]*Table1[[#This Row],[Quantity]]</f>
        <v>840000</v>
      </c>
      <c r="O1419" s="3">
        <f>Table1[[#This Row],[Cost Price]]*Table1[[#This Row],[Quantity]]</f>
        <v>672000</v>
      </c>
      <c r="P1419" s="3">
        <f>Table1[[#This Row],[Revenue]]-Table1[[#This Row],[COGS]]</f>
        <v>168000</v>
      </c>
      <c r="Q1419" s="1">
        <v>1418</v>
      </c>
    </row>
    <row r="1420" spans="1:17">
      <c r="A1420" t="s">
        <v>176</v>
      </c>
      <c r="B1420" t="str">
        <f>TEXT(Table1[[#This Row],[Date]],"MMMM")</f>
        <v>January</v>
      </c>
      <c r="C1420" t="str">
        <f>TEXT(Table1[[#This Row],[Date]],"DDDD")</f>
        <v>Saturday</v>
      </c>
      <c r="D1420" t="s">
        <v>35</v>
      </c>
      <c r="E1420" t="s">
        <v>45</v>
      </c>
      <c r="F1420" t="s">
        <v>29</v>
      </c>
      <c r="G1420" t="s">
        <v>37</v>
      </c>
      <c r="H1420" t="s">
        <v>73</v>
      </c>
      <c r="I1420" t="s">
        <v>39</v>
      </c>
      <c r="J1420" s="3">
        <v>220000</v>
      </c>
      <c r="K1420">
        <v>3</v>
      </c>
      <c r="L1420" t="s">
        <v>42</v>
      </c>
      <c r="M1420" s="3">
        <v>176000</v>
      </c>
      <c r="N1420" s="3">
        <f>Table1[[#This Row],[Unit Price]]*Table1[[#This Row],[Quantity]]</f>
        <v>660000</v>
      </c>
      <c r="O1420" s="3">
        <f>Table1[[#This Row],[Cost Price]]*Table1[[#This Row],[Quantity]]</f>
        <v>528000</v>
      </c>
      <c r="P1420" s="3">
        <f>Table1[[#This Row],[Revenue]]-Table1[[#This Row],[COGS]]</f>
        <v>132000</v>
      </c>
      <c r="Q1420" s="1">
        <v>1419</v>
      </c>
    </row>
    <row r="1421" spans="1:17">
      <c r="A1421" t="s">
        <v>163</v>
      </c>
      <c r="B1421" t="str">
        <f>TEXT(Table1[[#This Row],[Date]],"MMMM")</f>
        <v>April</v>
      </c>
      <c r="C1421" t="str">
        <f>TEXT(Table1[[#This Row],[Date]],"DDDD")</f>
        <v>Tuesday</v>
      </c>
      <c r="D1421" t="s">
        <v>35</v>
      </c>
      <c r="E1421" t="s">
        <v>36</v>
      </c>
      <c r="F1421" t="s">
        <v>29</v>
      </c>
      <c r="G1421" t="s">
        <v>37</v>
      </c>
      <c r="H1421" t="s">
        <v>67</v>
      </c>
      <c r="I1421" t="s">
        <v>51</v>
      </c>
      <c r="J1421" s="3">
        <v>420000</v>
      </c>
      <c r="K1421">
        <v>10</v>
      </c>
      <c r="L1421" t="s">
        <v>33</v>
      </c>
      <c r="M1421" s="3">
        <v>336000</v>
      </c>
      <c r="N1421" s="3">
        <f>Table1[[#This Row],[Unit Price]]*Table1[[#This Row],[Quantity]]</f>
        <v>4200000</v>
      </c>
      <c r="O1421" s="3">
        <f>Table1[[#This Row],[Cost Price]]*Table1[[#This Row],[Quantity]]</f>
        <v>3360000</v>
      </c>
      <c r="P1421" s="3">
        <f>Table1[[#This Row],[Revenue]]-Table1[[#This Row],[COGS]]</f>
        <v>840000</v>
      </c>
      <c r="Q1421" s="1">
        <v>1420</v>
      </c>
    </row>
    <row r="1422" spans="1:17">
      <c r="A1422" t="s">
        <v>157</v>
      </c>
      <c r="B1422" t="str">
        <f>TEXT(Table1[[#This Row],[Date]],"MMMM")</f>
        <v>April</v>
      </c>
      <c r="C1422" t="str">
        <f>TEXT(Table1[[#This Row],[Date]],"DDDD")</f>
        <v>Tuesday</v>
      </c>
      <c r="D1422" t="s">
        <v>49</v>
      </c>
      <c r="E1422" t="s">
        <v>36</v>
      </c>
      <c r="F1422" t="s">
        <v>29</v>
      </c>
      <c r="G1422" t="s">
        <v>37</v>
      </c>
      <c r="H1422" t="s">
        <v>50</v>
      </c>
      <c r="I1422" t="s">
        <v>51</v>
      </c>
      <c r="J1422" s="3">
        <v>300000</v>
      </c>
      <c r="K1422">
        <v>7</v>
      </c>
      <c r="L1422" t="s">
        <v>42</v>
      </c>
      <c r="M1422" s="3">
        <v>240000</v>
      </c>
      <c r="N1422" s="3">
        <f>Table1[[#This Row],[Unit Price]]*Table1[[#This Row],[Quantity]]</f>
        <v>2100000</v>
      </c>
      <c r="O1422" s="3">
        <f>Table1[[#This Row],[Cost Price]]*Table1[[#This Row],[Quantity]]</f>
        <v>1680000</v>
      </c>
      <c r="P1422" s="3">
        <f>Table1[[#This Row],[Revenue]]-Table1[[#This Row],[COGS]]</f>
        <v>420000</v>
      </c>
      <c r="Q1422" s="1">
        <v>1421</v>
      </c>
    </row>
    <row r="1423" spans="1:17">
      <c r="A1423" t="s">
        <v>157</v>
      </c>
      <c r="B1423" t="str">
        <f>TEXT(Table1[[#This Row],[Date]],"MMMM")</f>
        <v>April</v>
      </c>
      <c r="C1423" t="str">
        <f>TEXT(Table1[[#This Row],[Date]],"DDDD")</f>
        <v>Tuesday</v>
      </c>
      <c r="D1423" t="s">
        <v>35</v>
      </c>
      <c r="E1423" t="s">
        <v>45</v>
      </c>
      <c r="F1423" t="s">
        <v>29</v>
      </c>
      <c r="G1423" t="s">
        <v>37</v>
      </c>
      <c r="H1423" t="s">
        <v>38</v>
      </c>
      <c r="I1423" t="s">
        <v>39</v>
      </c>
      <c r="J1423" s="3">
        <v>30000</v>
      </c>
      <c r="K1423">
        <v>1</v>
      </c>
      <c r="L1423" t="s">
        <v>47</v>
      </c>
      <c r="M1423" s="3">
        <v>24000</v>
      </c>
      <c r="N1423" s="3">
        <f>Table1[[#This Row],[Unit Price]]*Table1[[#This Row],[Quantity]]</f>
        <v>30000</v>
      </c>
      <c r="O1423" s="3">
        <f>Table1[[#This Row],[Cost Price]]*Table1[[#This Row],[Quantity]]</f>
        <v>24000</v>
      </c>
      <c r="P1423" s="3">
        <f>Table1[[#This Row],[Revenue]]-Table1[[#This Row],[COGS]]</f>
        <v>6000</v>
      </c>
      <c r="Q1423" s="1">
        <v>1422</v>
      </c>
    </row>
    <row r="1424" spans="1:17">
      <c r="A1424" t="s">
        <v>111</v>
      </c>
      <c r="B1424" t="str">
        <f>TEXT(Table1[[#This Row],[Date]],"MMMM")</f>
        <v>February</v>
      </c>
      <c r="C1424" t="str">
        <f>TEXT(Table1[[#This Row],[Date]],"DDDD")</f>
        <v>Wednesday</v>
      </c>
      <c r="D1424" t="s">
        <v>35</v>
      </c>
      <c r="E1424" t="s">
        <v>36</v>
      </c>
      <c r="F1424" t="s">
        <v>41</v>
      </c>
      <c r="G1424" t="s">
        <v>37</v>
      </c>
      <c r="H1424" t="s">
        <v>38</v>
      </c>
      <c r="I1424" t="s">
        <v>39</v>
      </c>
      <c r="J1424" s="3">
        <v>30000</v>
      </c>
      <c r="K1424">
        <v>7</v>
      </c>
      <c r="L1424" t="s">
        <v>33</v>
      </c>
      <c r="M1424" s="3">
        <v>24000</v>
      </c>
      <c r="N1424" s="3">
        <f>Table1[[#This Row],[Unit Price]]*Table1[[#This Row],[Quantity]]</f>
        <v>210000</v>
      </c>
      <c r="O1424" s="3">
        <f>Table1[[#This Row],[Cost Price]]*Table1[[#This Row],[Quantity]]</f>
        <v>168000</v>
      </c>
      <c r="P1424" s="3">
        <f>Table1[[#This Row],[Revenue]]-Table1[[#This Row],[COGS]]</f>
        <v>42000</v>
      </c>
      <c r="Q1424" s="1">
        <v>1423</v>
      </c>
    </row>
    <row r="1425" spans="1:17">
      <c r="A1425" t="s">
        <v>130</v>
      </c>
      <c r="B1425" t="str">
        <f>TEXT(Table1[[#This Row],[Date]],"MMMM")</f>
        <v>January</v>
      </c>
      <c r="C1425" t="str">
        <f>TEXT(Table1[[#This Row],[Date]],"DDDD")</f>
        <v>Monday</v>
      </c>
      <c r="D1425" t="s">
        <v>49</v>
      </c>
      <c r="E1425" t="s">
        <v>53</v>
      </c>
      <c r="F1425" t="s">
        <v>41</v>
      </c>
      <c r="G1425" t="s">
        <v>37</v>
      </c>
      <c r="H1425" t="s">
        <v>31</v>
      </c>
      <c r="I1425" t="s">
        <v>32</v>
      </c>
      <c r="J1425" s="3">
        <v>85000</v>
      </c>
      <c r="K1425">
        <v>8</v>
      </c>
      <c r="L1425" t="s">
        <v>58</v>
      </c>
      <c r="M1425" s="3">
        <v>68000</v>
      </c>
      <c r="N1425" s="3">
        <f>Table1[[#This Row],[Unit Price]]*Table1[[#This Row],[Quantity]]</f>
        <v>680000</v>
      </c>
      <c r="O1425" s="3">
        <f>Table1[[#This Row],[Cost Price]]*Table1[[#This Row],[Quantity]]</f>
        <v>544000</v>
      </c>
      <c r="P1425" s="3">
        <f>Table1[[#This Row],[Revenue]]-Table1[[#This Row],[COGS]]</f>
        <v>136000</v>
      </c>
      <c r="Q1425" s="1">
        <v>1424</v>
      </c>
    </row>
    <row r="1426" spans="1:17">
      <c r="A1426" t="s">
        <v>60</v>
      </c>
      <c r="B1426" t="str">
        <f>TEXT(Table1[[#This Row],[Date]],"MMMM")</f>
        <v>March</v>
      </c>
      <c r="C1426" t="str">
        <f>TEXT(Table1[[#This Row],[Date]],"DDDD")</f>
        <v>Wednesday</v>
      </c>
      <c r="D1426" t="s">
        <v>35</v>
      </c>
      <c r="E1426" t="s">
        <v>36</v>
      </c>
      <c r="F1426" t="s">
        <v>29</v>
      </c>
      <c r="G1426" t="s">
        <v>37</v>
      </c>
      <c r="H1426" t="s">
        <v>71</v>
      </c>
      <c r="I1426" t="s">
        <v>51</v>
      </c>
      <c r="J1426" s="3">
        <v>250000</v>
      </c>
      <c r="K1426">
        <v>10</v>
      </c>
      <c r="L1426" t="s">
        <v>42</v>
      </c>
      <c r="M1426" s="3">
        <v>200000</v>
      </c>
      <c r="N1426" s="3">
        <f>Table1[[#This Row],[Unit Price]]*Table1[[#This Row],[Quantity]]</f>
        <v>2500000</v>
      </c>
      <c r="O1426" s="3">
        <f>Table1[[#This Row],[Cost Price]]*Table1[[#This Row],[Quantity]]</f>
        <v>2000000</v>
      </c>
      <c r="P1426" s="3">
        <f>Table1[[#This Row],[Revenue]]-Table1[[#This Row],[COGS]]</f>
        <v>500000</v>
      </c>
      <c r="Q1426" s="1">
        <v>1425</v>
      </c>
    </row>
    <row r="1427" spans="1:17">
      <c r="A1427" t="s">
        <v>76</v>
      </c>
      <c r="B1427" t="str">
        <f>TEXT(Table1[[#This Row],[Date]],"MMMM")</f>
        <v>May</v>
      </c>
      <c r="C1427" t="str">
        <f>TEXT(Table1[[#This Row],[Date]],"DDDD")</f>
        <v>Thursday</v>
      </c>
      <c r="D1427" t="s">
        <v>27</v>
      </c>
      <c r="E1427" t="s">
        <v>36</v>
      </c>
      <c r="F1427" t="s">
        <v>29</v>
      </c>
      <c r="G1427" t="s">
        <v>37</v>
      </c>
      <c r="H1427" t="s">
        <v>31</v>
      </c>
      <c r="I1427" t="s">
        <v>32</v>
      </c>
      <c r="J1427" s="3">
        <v>85000</v>
      </c>
      <c r="K1427">
        <v>4</v>
      </c>
      <c r="L1427" t="s">
        <v>69</v>
      </c>
      <c r="M1427" s="3">
        <v>68000</v>
      </c>
      <c r="N1427" s="3">
        <f>Table1[[#This Row],[Unit Price]]*Table1[[#This Row],[Quantity]]</f>
        <v>340000</v>
      </c>
      <c r="O1427" s="3">
        <f>Table1[[#This Row],[Cost Price]]*Table1[[#This Row],[Quantity]]</f>
        <v>272000</v>
      </c>
      <c r="P1427" s="3">
        <f>Table1[[#This Row],[Revenue]]-Table1[[#This Row],[COGS]]</f>
        <v>68000</v>
      </c>
      <c r="Q1427" s="1">
        <v>1426</v>
      </c>
    </row>
    <row r="1428" spans="1:17">
      <c r="A1428" t="s">
        <v>121</v>
      </c>
      <c r="B1428" t="str">
        <f>TEXT(Table1[[#This Row],[Date]],"MMMM")</f>
        <v>April</v>
      </c>
      <c r="C1428" t="str">
        <f>TEXT(Table1[[#This Row],[Date]],"DDDD")</f>
        <v>Wednesday</v>
      </c>
      <c r="D1428" t="s">
        <v>27</v>
      </c>
      <c r="E1428" t="s">
        <v>53</v>
      </c>
      <c r="F1428" t="s">
        <v>29</v>
      </c>
      <c r="G1428" t="s">
        <v>37</v>
      </c>
      <c r="H1428" t="s">
        <v>71</v>
      </c>
      <c r="I1428" t="s">
        <v>51</v>
      </c>
      <c r="J1428" s="3">
        <v>250000</v>
      </c>
      <c r="K1428">
        <v>6</v>
      </c>
      <c r="L1428" t="s">
        <v>69</v>
      </c>
      <c r="M1428" s="3">
        <v>200000</v>
      </c>
      <c r="N1428" s="3">
        <f>Table1[[#This Row],[Unit Price]]*Table1[[#This Row],[Quantity]]</f>
        <v>1500000</v>
      </c>
      <c r="O1428" s="3">
        <f>Table1[[#This Row],[Cost Price]]*Table1[[#This Row],[Quantity]]</f>
        <v>1200000</v>
      </c>
      <c r="P1428" s="3">
        <f>Table1[[#This Row],[Revenue]]-Table1[[#This Row],[COGS]]</f>
        <v>300000</v>
      </c>
      <c r="Q1428" s="1">
        <v>1427</v>
      </c>
    </row>
    <row r="1429" spans="1:17">
      <c r="A1429" t="s">
        <v>113</v>
      </c>
      <c r="B1429" t="str">
        <f>TEXT(Table1[[#This Row],[Date]],"MMMM")</f>
        <v>April</v>
      </c>
      <c r="C1429" t="str">
        <f>TEXT(Table1[[#This Row],[Date]],"DDDD")</f>
        <v>Monday</v>
      </c>
      <c r="D1429" t="s">
        <v>35</v>
      </c>
      <c r="E1429" t="s">
        <v>53</v>
      </c>
      <c r="F1429" t="s">
        <v>41</v>
      </c>
      <c r="G1429" t="s">
        <v>37</v>
      </c>
      <c r="H1429" t="s">
        <v>56</v>
      </c>
      <c r="I1429" t="s">
        <v>32</v>
      </c>
      <c r="J1429" s="3">
        <v>320000</v>
      </c>
      <c r="K1429">
        <v>7</v>
      </c>
      <c r="L1429" t="s">
        <v>65</v>
      </c>
      <c r="M1429" s="3">
        <v>256000</v>
      </c>
      <c r="N1429" s="3">
        <f>Table1[[#This Row],[Unit Price]]*Table1[[#This Row],[Quantity]]</f>
        <v>2240000</v>
      </c>
      <c r="O1429" s="3">
        <f>Table1[[#This Row],[Cost Price]]*Table1[[#This Row],[Quantity]]</f>
        <v>1792000</v>
      </c>
      <c r="P1429" s="3">
        <f>Table1[[#This Row],[Revenue]]-Table1[[#This Row],[COGS]]</f>
        <v>448000</v>
      </c>
      <c r="Q1429" s="1">
        <v>1428</v>
      </c>
    </row>
    <row r="1430" spans="1:17">
      <c r="A1430" t="s">
        <v>55</v>
      </c>
      <c r="B1430" t="str">
        <f>TEXT(Table1[[#This Row],[Date]],"MMMM")</f>
        <v>March</v>
      </c>
      <c r="C1430" t="str">
        <f>TEXT(Table1[[#This Row],[Date]],"DDDD")</f>
        <v>Sunday</v>
      </c>
      <c r="D1430" t="s">
        <v>35</v>
      </c>
      <c r="E1430" t="s">
        <v>53</v>
      </c>
      <c r="F1430" t="s">
        <v>41</v>
      </c>
      <c r="G1430" t="s">
        <v>37</v>
      </c>
      <c r="H1430" t="s">
        <v>54</v>
      </c>
      <c r="I1430" t="s">
        <v>39</v>
      </c>
      <c r="J1430" s="3">
        <v>180000</v>
      </c>
      <c r="K1430">
        <v>2</v>
      </c>
      <c r="L1430" t="s">
        <v>33</v>
      </c>
      <c r="M1430" s="3">
        <v>144000</v>
      </c>
      <c r="N1430" s="3">
        <f>Table1[[#This Row],[Unit Price]]*Table1[[#This Row],[Quantity]]</f>
        <v>360000</v>
      </c>
      <c r="O1430" s="3">
        <f>Table1[[#This Row],[Cost Price]]*Table1[[#This Row],[Quantity]]</f>
        <v>288000</v>
      </c>
      <c r="P1430" s="3">
        <f>Table1[[#This Row],[Revenue]]-Table1[[#This Row],[COGS]]</f>
        <v>72000</v>
      </c>
      <c r="Q1430" s="1">
        <v>1429</v>
      </c>
    </row>
    <row r="1431" spans="1:17">
      <c r="A1431" t="s">
        <v>48</v>
      </c>
      <c r="B1431" t="str">
        <f>TEXT(Table1[[#This Row],[Date]],"MMMM")</f>
        <v>April</v>
      </c>
      <c r="C1431" t="str">
        <f>TEXT(Table1[[#This Row],[Date]],"DDDD")</f>
        <v>Sunday</v>
      </c>
      <c r="D1431" t="s">
        <v>49</v>
      </c>
      <c r="E1431" t="s">
        <v>53</v>
      </c>
      <c r="F1431" t="s">
        <v>41</v>
      </c>
      <c r="G1431" t="s">
        <v>37</v>
      </c>
      <c r="H1431" t="s">
        <v>73</v>
      </c>
      <c r="I1431" t="s">
        <v>39</v>
      </c>
      <c r="J1431" s="3">
        <v>220000</v>
      </c>
      <c r="K1431">
        <v>2</v>
      </c>
      <c r="L1431" t="s">
        <v>69</v>
      </c>
      <c r="M1431" s="3">
        <v>176000</v>
      </c>
      <c r="N1431" s="3">
        <f>Table1[[#This Row],[Unit Price]]*Table1[[#This Row],[Quantity]]</f>
        <v>440000</v>
      </c>
      <c r="O1431" s="3">
        <f>Table1[[#This Row],[Cost Price]]*Table1[[#This Row],[Quantity]]</f>
        <v>352000</v>
      </c>
      <c r="P1431" s="3">
        <f>Table1[[#This Row],[Revenue]]-Table1[[#This Row],[COGS]]</f>
        <v>88000</v>
      </c>
      <c r="Q1431" s="1">
        <v>1430</v>
      </c>
    </row>
    <row r="1432" spans="1:17">
      <c r="A1432" t="s">
        <v>133</v>
      </c>
      <c r="B1432" t="str">
        <f>TEXT(Table1[[#This Row],[Date]],"MMMM")</f>
        <v>January</v>
      </c>
      <c r="C1432" t="str">
        <f>TEXT(Table1[[#This Row],[Date]],"DDDD")</f>
        <v>Wednesday</v>
      </c>
      <c r="D1432" t="s">
        <v>49</v>
      </c>
      <c r="E1432" t="s">
        <v>45</v>
      </c>
      <c r="F1432" t="s">
        <v>41</v>
      </c>
      <c r="G1432" t="s">
        <v>37</v>
      </c>
      <c r="H1432" t="s">
        <v>54</v>
      </c>
      <c r="I1432" t="s">
        <v>39</v>
      </c>
      <c r="J1432" s="3">
        <v>180000</v>
      </c>
      <c r="K1432">
        <v>6</v>
      </c>
      <c r="L1432" t="s">
        <v>42</v>
      </c>
      <c r="M1432" s="3">
        <v>144000</v>
      </c>
      <c r="N1432" s="3">
        <f>Table1[[#This Row],[Unit Price]]*Table1[[#This Row],[Quantity]]</f>
        <v>1080000</v>
      </c>
      <c r="O1432" s="3">
        <f>Table1[[#This Row],[Cost Price]]*Table1[[#This Row],[Quantity]]</f>
        <v>864000</v>
      </c>
      <c r="P1432" s="3">
        <f>Table1[[#This Row],[Revenue]]-Table1[[#This Row],[COGS]]</f>
        <v>216000</v>
      </c>
      <c r="Q1432" s="1">
        <v>1431</v>
      </c>
    </row>
    <row r="1433" spans="1:17">
      <c r="A1433" t="s">
        <v>115</v>
      </c>
      <c r="B1433" t="str">
        <f>TEXT(Table1[[#This Row],[Date]],"MMMM")</f>
        <v>January</v>
      </c>
      <c r="C1433" t="str">
        <f>TEXT(Table1[[#This Row],[Date]],"DDDD")</f>
        <v>Thursday</v>
      </c>
      <c r="D1433" t="s">
        <v>27</v>
      </c>
      <c r="E1433" t="s">
        <v>53</v>
      </c>
      <c r="F1433" t="s">
        <v>29</v>
      </c>
      <c r="G1433" t="s">
        <v>37</v>
      </c>
      <c r="H1433" t="s">
        <v>54</v>
      </c>
      <c r="I1433" t="s">
        <v>39</v>
      </c>
      <c r="J1433" s="3">
        <v>180000</v>
      </c>
      <c r="K1433">
        <v>3</v>
      </c>
      <c r="L1433" t="s">
        <v>42</v>
      </c>
      <c r="M1433" s="3">
        <v>144000</v>
      </c>
      <c r="N1433" s="3">
        <f>Table1[[#This Row],[Unit Price]]*Table1[[#This Row],[Quantity]]</f>
        <v>540000</v>
      </c>
      <c r="O1433" s="3">
        <f>Table1[[#This Row],[Cost Price]]*Table1[[#This Row],[Quantity]]</f>
        <v>432000</v>
      </c>
      <c r="P1433" s="3">
        <f>Table1[[#This Row],[Revenue]]-Table1[[#This Row],[COGS]]</f>
        <v>108000</v>
      </c>
      <c r="Q1433" s="1">
        <v>1432</v>
      </c>
    </row>
    <row r="1434" spans="1:17">
      <c r="A1434" t="s">
        <v>114</v>
      </c>
      <c r="B1434" t="str">
        <f>TEXT(Table1[[#This Row],[Date]],"MMMM")</f>
        <v>April</v>
      </c>
      <c r="C1434" t="str">
        <f>TEXT(Table1[[#This Row],[Date]],"DDDD")</f>
        <v>Sunday</v>
      </c>
      <c r="D1434" t="s">
        <v>27</v>
      </c>
      <c r="E1434" t="s">
        <v>45</v>
      </c>
      <c r="F1434" t="s">
        <v>29</v>
      </c>
      <c r="G1434" t="s">
        <v>37</v>
      </c>
      <c r="H1434" t="s">
        <v>46</v>
      </c>
      <c r="I1434" t="s">
        <v>39</v>
      </c>
      <c r="J1434" s="3">
        <v>60000</v>
      </c>
      <c r="K1434">
        <v>2</v>
      </c>
      <c r="L1434" t="s">
        <v>42</v>
      </c>
      <c r="M1434" s="3">
        <v>48000</v>
      </c>
      <c r="N1434" s="3">
        <f>Table1[[#This Row],[Unit Price]]*Table1[[#This Row],[Quantity]]</f>
        <v>120000</v>
      </c>
      <c r="O1434" s="3">
        <f>Table1[[#This Row],[Cost Price]]*Table1[[#This Row],[Quantity]]</f>
        <v>96000</v>
      </c>
      <c r="P1434" s="3">
        <f>Table1[[#This Row],[Revenue]]-Table1[[#This Row],[COGS]]</f>
        <v>24000</v>
      </c>
      <c r="Q1434" s="1">
        <v>1433</v>
      </c>
    </row>
    <row r="1435" spans="1:17">
      <c r="A1435" t="s">
        <v>157</v>
      </c>
      <c r="B1435" t="str">
        <f>TEXT(Table1[[#This Row],[Date]],"MMMM")</f>
        <v>April</v>
      </c>
      <c r="C1435" t="str">
        <f>TEXT(Table1[[#This Row],[Date]],"DDDD")</f>
        <v>Tuesday</v>
      </c>
      <c r="D1435" t="s">
        <v>49</v>
      </c>
      <c r="E1435" t="s">
        <v>53</v>
      </c>
      <c r="F1435" t="s">
        <v>41</v>
      </c>
      <c r="G1435" t="s">
        <v>37</v>
      </c>
      <c r="H1435" t="s">
        <v>50</v>
      </c>
      <c r="I1435" t="s">
        <v>51</v>
      </c>
      <c r="J1435" s="3">
        <v>300000</v>
      </c>
      <c r="K1435">
        <v>1</v>
      </c>
      <c r="L1435" t="s">
        <v>65</v>
      </c>
      <c r="M1435" s="3">
        <v>240000</v>
      </c>
      <c r="N1435" s="3">
        <f>Table1[[#This Row],[Unit Price]]*Table1[[#This Row],[Quantity]]</f>
        <v>300000</v>
      </c>
      <c r="O1435" s="3">
        <f>Table1[[#This Row],[Cost Price]]*Table1[[#This Row],[Quantity]]</f>
        <v>240000</v>
      </c>
      <c r="P1435" s="3">
        <f>Table1[[#This Row],[Revenue]]-Table1[[#This Row],[COGS]]</f>
        <v>60000</v>
      </c>
      <c r="Q1435" s="1">
        <v>1434</v>
      </c>
    </row>
    <row r="1436" spans="1:17">
      <c r="A1436" t="s">
        <v>91</v>
      </c>
      <c r="B1436" t="str">
        <f>TEXT(Table1[[#This Row],[Date]],"MMMM")</f>
        <v>February</v>
      </c>
      <c r="C1436" t="str">
        <f>TEXT(Table1[[#This Row],[Date]],"DDDD")</f>
        <v>Friday</v>
      </c>
      <c r="D1436" t="s">
        <v>44</v>
      </c>
      <c r="E1436" t="s">
        <v>45</v>
      </c>
      <c r="F1436" t="s">
        <v>41</v>
      </c>
      <c r="G1436" t="s">
        <v>37</v>
      </c>
      <c r="H1436" t="s">
        <v>67</v>
      </c>
      <c r="I1436" t="s">
        <v>51</v>
      </c>
      <c r="J1436" s="3">
        <v>420000</v>
      </c>
      <c r="K1436">
        <v>2</v>
      </c>
      <c r="L1436" t="s">
        <v>42</v>
      </c>
      <c r="M1436" s="3">
        <v>336000</v>
      </c>
      <c r="N1436" s="3">
        <f>Table1[[#This Row],[Unit Price]]*Table1[[#This Row],[Quantity]]</f>
        <v>840000</v>
      </c>
      <c r="O1436" s="3">
        <f>Table1[[#This Row],[Cost Price]]*Table1[[#This Row],[Quantity]]</f>
        <v>672000</v>
      </c>
      <c r="P1436" s="3">
        <f>Table1[[#This Row],[Revenue]]-Table1[[#This Row],[COGS]]</f>
        <v>168000</v>
      </c>
      <c r="Q1436" s="1">
        <v>1435</v>
      </c>
    </row>
    <row r="1437" spans="1:17">
      <c r="A1437" t="s">
        <v>70</v>
      </c>
      <c r="B1437" t="str">
        <f>TEXT(Table1[[#This Row],[Date]],"MMMM")</f>
        <v>April</v>
      </c>
      <c r="C1437" t="str">
        <f>TEXT(Table1[[#This Row],[Date]],"DDDD")</f>
        <v>Friday</v>
      </c>
      <c r="D1437" t="s">
        <v>27</v>
      </c>
      <c r="E1437" t="s">
        <v>36</v>
      </c>
      <c r="F1437" t="s">
        <v>29</v>
      </c>
      <c r="G1437" t="s">
        <v>37</v>
      </c>
      <c r="H1437" t="s">
        <v>71</v>
      </c>
      <c r="I1437" t="s">
        <v>51</v>
      </c>
      <c r="J1437" s="3">
        <v>250000</v>
      </c>
      <c r="K1437">
        <v>9</v>
      </c>
      <c r="L1437" t="s">
        <v>42</v>
      </c>
      <c r="M1437" s="3">
        <v>200000</v>
      </c>
      <c r="N1437" s="3">
        <f>Table1[[#This Row],[Unit Price]]*Table1[[#This Row],[Quantity]]</f>
        <v>2250000</v>
      </c>
      <c r="O1437" s="3">
        <f>Table1[[#This Row],[Cost Price]]*Table1[[#This Row],[Quantity]]</f>
        <v>1800000</v>
      </c>
      <c r="P1437" s="3">
        <f>Table1[[#This Row],[Revenue]]-Table1[[#This Row],[COGS]]</f>
        <v>450000</v>
      </c>
      <c r="Q1437" s="1">
        <v>1436</v>
      </c>
    </row>
    <row r="1438" spans="1:17">
      <c r="A1438" t="s">
        <v>77</v>
      </c>
      <c r="B1438" t="str">
        <f>TEXT(Table1[[#This Row],[Date]],"MMMM")</f>
        <v>April</v>
      </c>
      <c r="C1438" t="str">
        <f>TEXT(Table1[[#This Row],[Date]],"DDDD")</f>
        <v>Friday</v>
      </c>
      <c r="D1438" t="s">
        <v>44</v>
      </c>
      <c r="E1438" t="s">
        <v>28</v>
      </c>
      <c r="F1438" t="s">
        <v>41</v>
      </c>
      <c r="G1438" t="s">
        <v>37</v>
      </c>
      <c r="H1438" t="s">
        <v>54</v>
      </c>
      <c r="I1438" t="s">
        <v>39</v>
      </c>
      <c r="J1438" s="3">
        <v>180000</v>
      </c>
      <c r="K1438">
        <v>5</v>
      </c>
      <c r="L1438" t="s">
        <v>65</v>
      </c>
      <c r="M1438" s="3">
        <v>144000</v>
      </c>
      <c r="N1438" s="3">
        <f>Table1[[#This Row],[Unit Price]]*Table1[[#This Row],[Quantity]]</f>
        <v>900000</v>
      </c>
      <c r="O1438" s="3">
        <f>Table1[[#This Row],[Cost Price]]*Table1[[#This Row],[Quantity]]</f>
        <v>720000</v>
      </c>
      <c r="P1438" s="3">
        <f>Table1[[#This Row],[Revenue]]-Table1[[#This Row],[COGS]]</f>
        <v>180000</v>
      </c>
      <c r="Q1438" s="1">
        <v>1437</v>
      </c>
    </row>
    <row r="1439" spans="1:17">
      <c r="A1439" t="s">
        <v>144</v>
      </c>
      <c r="B1439" t="str">
        <f>TEXT(Table1[[#This Row],[Date]],"MMMM")</f>
        <v>February</v>
      </c>
      <c r="C1439" t="str">
        <f>TEXT(Table1[[#This Row],[Date]],"DDDD")</f>
        <v>Friday</v>
      </c>
      <c r="D1439" t="s">
        <v>44</v>
      </c>
      <c r="E1439" t="s">
        <v>36</v>
      </c>
      <c r="F1439" t="s">
        <v>41</v>
      </c>
      <c r="G1439" t="s">
        <v>37</v>
      </c>
      <c r="H1439" t="s">
        <v>62</v>
      </c>
      <c r="I1439" t="s">
        <v>51</v>
      </c>
      <c r="J1439" s="3">
        <v>150000</v>
      </c>
      <c r="K1439">
        <v>5</v>
      </c>
      <c r="L1439" t="s">
        <v>58</v>
      </c>
      <c r="M1439" s="3">
        <v>120000</v>
      </c>
      <c r="N1439" s="3">
        <f>Table1[[#This Row],[Unit Price]]*Table1[[#This Row],[Quantity]]</f>
        <v>750000</v>
      </c>
      <c r="O1439" s="3">
        <f>Table1[[#This Row],[Cost Price]]*Table1[[#This Row],[Quantity]]</f>
        <v>600000</v>
      </c>
      <c r="P1439" s="3">
        <f>Table1[[#This Row],[Revenue]]-Table1[[#This Row],[COGS]]</f>
        <v>150000</v>
      </c>
      <c r="Q1439" s="1">
        <v>1438</v>
      </c>
    </row>
    <row r="1440" spans="1:17">
      <c r="A1440" t="s">
        <v>133</v>
      </c>
      <c r="B1440" t="str">
        <f>TEXT(Table1[[#This Row],[Date]],"MMMM")</f>
        <v>January</v>
      </c>
      <c r="C1440" t="str">
        <f>TEXT(Table1[[#This Row],[Date]],"DDDD")</f>
        <v>Wednesday</v>
      </c>
      <c r="D1440" t="s">
        <v>27</v>
      </c>
      <c r="E1440" t="s">
        <v>53</v>
      </c>
      <c r="F1440" t="s">
        <v>29</v>
      </c>
      <c r="G1440" t="s">
        <v>37</v>
      </c>
      <c r="H1440" t="s">
        <v>56</v>
      </c>
      <c r="I1440" t="s">
        <v>32</v>
      </c>
      <c r="J1440" s="3">
        <v>320000</v>
      </c>
      <c r="K1440">
        <v>4</v>
      </c>
      <c r="L1440" t="s">
        <v>69</v>
      </c>
      <c r="M1440" s="3">
        <v>256000</v>
      </c>
      <c r="N1440" s="3">
        <f>Table1[[#This Row],[Unit Price]]*Table1[[#This Row],[Quantity]]</f>
        <v>1280000</v>
      </c>
      <c r="O1440" s="3">
        <f>Table1[[#This Row],[Cost Price]]*Table1[[#This Row],[Quantity]]</f>
        <v>1024000</v>
      </c>
      <c r="P1440" s="3">
        <f>Table1[[#This Row],[Revenue]]-Table1[[#This Row],[COGS]]</f>
        <v>256000</v>
      </c>
      <c r="Q1440" s="1">
        <v>1439</v>
      </c>
    </row>
    <row r="1441" spans="1:17">
      <c r="A1441" t="s">
        <v>110</v>
      </c>
      <c r="B1441" t="str">
        <f>TEXT(Table1[[#This Row],[Date]],"MMMM")</f>
        <v>January</v>
      </c>
      <c r="C1441" t="str">
        <f>TEXT(Table1[[#This Row],[Date]],"DDDD")</f>
        <v>Thursday</v>
      </c>
      <c r="D1441" t="s">
        <v>44</v>
      </c>
      <c r="E1441" t="s">
        <v>45</v>
      </c>
      <c r="F1441" t="s">
        <v>29</v>
      </c>
      <c r="G1441" t="s">
        <v>37</v>
      </c>
      <c r="H1441" t="s">
        <v>54</v>
      </c>
      <c r="I1441" t="s">
        <v>39</v>
      </c>
      <c r="J1441" s="3">
        <v>180000</v>
      </c>
      <c r="K1441">
        <v>10</v>
      </c>
      <c r="L1441" t="s">
        <v>58</v>
      </c>
      <c r="M1441" s="3">
        <v>144000</v>
      </c>
      <c r="N1441" s="3">
        <f>Table1[[#This Row],[Unit Price]]*Table1[[#This Row],[Quantity]]</f>
        <v>1800000</v>
      </c>
      <c r="O1441" s="3">
        <f>Table1[[#This Row],[Cost Price]]*Table1[[#This Row],[Quantity]]</f>
        <v>1440000</v>
      </c>
      <c r="P1441" s="3">
        <f>Table1[[#This Row],[Revenue]]-Table1[[#This Row],[COGS]]</f>
        <v>360000</v>
      </c>
      <c r="Q1441" s="1">
        <v>1440</v>
      </c>
    </row>
    <row r="1442" spans="1:17">
      <c r="A1442" t="s">
        <v>127</v>
      </c>
      <c r="B1442" t="str">
        <f>TEXT(Table1[[#This Row],[Date]],"MMMM")</f>
        <v>January</v>
      </c>
      <c r="C1442" t="str">
        <f>TEXT(Table1[[#This Row],[Date]],"DDDD")</f>
        <v>Tuesday</v>
      </c>
      <c r="D1442" t="s">
        <v>49</v>
      </c>
      <c r="E1442" t="s">
        <v>28</v>
      </c>
      <c r="F1442" t="s">
        <v>41</v>
      </c>
      <c r="G1442" t="s">
        <v>37</v>
      </c>
      <c r="H1442" t="s">
        <v>67</v>
      </c>
      <c r="I1442" t="s">
        <v>51</v>
      </c>
      <c r="J1442" s="3">
        <v>420000</v>
      </c>
      <c r="K1442">
        <v>2</v>
      </c>
      <c r="L1442" t="s">
        <v>65</v>
      </c>
      <c r="M1442" s="3">
        <v>336000</v>
      </c>
      <c r="N1442" s="3">
        <f>Table1[[#This Row],[Unit Price]]*Table1[[#This Row],[Quantity]]</f>
        <v>840000</v>
      </c>
      <c r="O1442" s="3">
        <f>Table1[[#This Row],[Cost Price]]*Table1[[#This Row],[Quantity]]</f>
        <v>672000</v>
      </c>
      <c r="P1442" s="3">
        <f>Table1[[#This Row],[Revenue]]-Table1[[#This Row],[COGS]]</f>
        <v>168000</v>
      </c>
      <c r="Q1442" s="1">
        <v>1441</v>
      </c>
    </row>
    <row r="1443" spans="1:17">
      <c r="A1443" t="s">
        <v>90</v>
      </c>
      <c r="B1443" t="str">
        <f>TEXT(Table1[[#This Row],[Date]],"MMMM")</f>
        <v>February</v>
      </c>
      <c r="C1443" t="str">
        <f>TEXT(Table1[[#This Row],[Date]],"DDDD")</f>
        <v>Tuesday</v>
      </c>
      <c r="D1443" t="s">
        <v>44</v>
      </c>
      <c r="E1443" t="s">
        <v>28</v>
      </c>
      <c r="F1443" t="s">
        <v>41</v>
      </c>
      <c r="G1443" t="s">
        <v>37</v>
      </c>
      <c r="H1443" t="s">
        <v>62</v>
      </c>
      <c r="I1443" t="s">
        <v>51</v>
      </c>
      <c r="J1443" s="3">
        <v>150000</v>
      </c>
      <c r="K1443">
        <v>6</v>
      </c>
      <c r="L1443" t="s">
        <v>65</v>
      </c>
      <c r="M1443" s="3">
        <v>120000</v>
      </c>
      <c r="N1443" s="3">
        <f>Table1[[#This Row],[Unit Price]]*Table1[[#This Row],[Quantity]]</f>
        <v>900000</v>
      </c>
      <c r="O1443" s="3">
        <f>Table1[[#This Row],[Cost Price]]*Table1[[#This Row],[Quantity]]</f>
        <v>720000</v>
      </c>
      <c r="P1443" s="3">
        <f>Table1[[#This Row],[Revenue]]-Table1[[#This Row],[COGS]]</f>
        <v>180000</v>
      </c>
      <c r="Q1443" s="1">
        <v>1442</v>
      </c>
    </row>
    <row r="1444" spans="1:17">
      <c r="A1444" t="s">
        <v>113</v>
      </c>
      <c r="B1444" t="str">
        <f>TEXT(Table1[[#This Row],[Date]],"MMMM")</f>
        <v>April</v>
      </c>
      <c r="C1444" t="str">
        <f>TEXT(Table1[[#This Row],[Date]],"DDDD")</f>
        <v>Monday</v>
      </c>
      <c r="D1444" t="s">
        <v>27</v>
      </c>
      <c r="E1444" t="s">
        <v>36</v>
      </c>
      <c r="F1444" t="s">
        <v>41</v>
      </c>
      <c r="G1444" t="s">
        <v>37</v>
      </c>
      <c r="H1444" t="s">
        <v>62</v>
      </c>
      <c r="I1444" t="s">
        <v>51</v>
      </c>
      <c r="J1444" s="3">
        <v>150000</v>
      </c>
      <c r="K1444">
        <v>4</v>
      </c>
      <c r="L1444" t="s">
        <v>42</v>
      </c>
      <c r="M1444" s="3">
        <v>120000</v>
      </c>
      <c r="N1444" s="3">
        <f>Table1[[#This Row],[Unit Price]]*Table1[[#This Row],[Quantity]]</f>
        <v>600000</v>
      </c>
      <c r="O1444" s="3">
        <f>Table1[[#This Row],[Cost Price]]*Table1[[#This Row],[Quantity]]</f>
        <v>480000</v>
      </c>
      <c r="P1444" s="3">
        <f>Table1[[#This Row],[Revenue]]-Table1[[#This Row],[COGS]]</f>
        <v>120000</v>
      </c>
      <c r="Q1444" s="1">
        <v>1443</v>
      </c>
    </row>
    <row r="1445" spans="1:17">
      <c r="A1445" t="s">
        <v>141</v>
      </c>
      <c r="B1445" t="str">
        <f>TEXT(Table1[[#This Row],[Date]],"MMMM")</f>
        <v>March</v>
      </c>
      <c r="C1445" t="str">
        <f>TEXT(Table1[[#This Row],[Date]],"DDDD")</f>
        <v>Sunday</v>
      </c>
      <c r="D1445" t="s">
        <v>35</v>
      </c>
      <c r="E1445" t="s">
        <v>28</v>
      </c>
      <c r="F1445" t="s">
        <v>41</v>
      </c>
      <c r="G1445" t="s">
        <v>37</v>
      </c>
      <c r="H1445" t="s">
        <v>71</v>
      </c>
      <c r="I1445" t="s">
        <v>51</v>
      </c>
      <c r="J1445" s="3">
        <v>250000</v>
      </c>
      <c r="K1445">
        <v>9</v>
      </c>
      <c r="L1445" t="s">
        <v>65</v>
      </c>
      <c r="M1445" s="3">
        <v>200000</v>
      </c>
      <c r="N1445" s="3">
        <f>Table1[[#This Row],[Unit Price]]*Table1[[#This Row],[Quantity]]</f>
        <v>2250000</v>
      </c>
      <c r="O1445" s="3">
        <f>Table1[[#This Row],[Cost Price]]*Table1[[#This Row],[Quantity]]</f>
        <v>1800000</v>
      </c>
      <c r="P1445" s="3">
        <f>Table1[[#This Row],[Revenue]]-Table1[[#This Row],[COGS]]</f>
        <v>450000</v>
      </c>
      <c r="Q1445" s="1">
        <v>1444</v>
      </c>
    </row>
    <row r="1446" spans="1:17">
      <c r="A1446" t="s">
        <v>145</v>
      </c>
      <c r="B1446" t="str">
        <f>TEXT(Table1[[#This Row],[Date]],"MMMM")</f>
        <v>January</v>
      </c>
      <c r="C1446" t="str">
        <f>TEXT(Table1[[#This Row],[Date]],"DDDD")</f>
        <v>Friday</v>
      </c>
      <c r="D1446" t="s">
        <v>44</v>
      </c>
      <c r="E1446" t="s">
        <v>36</v>
      </c>
      <c r="F1446" t="s">
        <v>41</v>
      </c>
      <c r="G1446" t="s">
        <v>37</v>
      </c>
      <c r="H1446" t="s">
        <v>73</v>
      </c>
      <c r="I1446" t="s">
        <v>39</v>
      </c>
      <c r="J1446" s="3">
        <v>220000</v>
      </c>
      <c r="K1446">
        <v>8</v>
      </c>
      <c r="L1446" t="s">
        <v>69</v>
      </c>
      <c r="M1446" s="3">
        <v>176000</v>
      </c>
      <c r="N1446" s="3">
        <f>Table1[[#This Row],[Unit Price]]*Table1[[#This Row],[Quantity]]</f>
        <v>1760000</v>
      </c>
      <c r="O1446" s="3">
        <f>Table1[[#This Row],[Cost Price]]*Table1[[#This Row],[Quantity]]</f>
        <v>1408000</v>
      </c>
      <c r="P1446" s="3">
        <f>Table1[[#This Row],[Revenue]]-Table1[[#This Row],[COGS]]</f>
        <v>352000</v>
      </c>
      <c r="Q1446" s="1">
        <v>1445</v>
      </c>
    </row>
    <row r="1447" spans="1:17">
      <c r="A1447" t="s">
        <v>168</v>
      </c>
      <c r="B1447" t="str">
        <f>TEXT(Table1[[#This Row],[Date]],"MMMM")</f>
        <v>April</v>
      </c>
      <c r="C1447" t="str">
        <f>TEXT(Table1[[#This Row],[Date]],"DDDD")</f>
        <v>Wednesday</v>
      </c>
      <c r="D1447" t="s">
        <v>49</v>
      </c>
      <c r="E1447" t="s">
        <v>45</v>
      </c>
      <c r="F1447" t="s">
        <v>29</v>
      </c>
      <c r="G1447" t="s">
        <v>37</v>
      </c>
      <c r="H1447" t="s">
        <v>62</v>
      </c>
      <c r="I1447" t="s">
        <v>51</v>
      </c>
      <c r="J1447" s="3">
        <v>150000</v>
      </c>
      <c r="K1447">
        <v>2</v>
      </c>
      <c r="L1447" t="s">
        <v>47</v>
      </c>
      <c r="M1447" s="3">
        <v>120000</v>
      </c>
      <c r="N1447" s="3">
        <f>Table1[[#This Row],[Unit Price]]*Table1[[#This Row],[Quantity]]</f>
        <v>300000</v>
      </c>
      <c r="O1447" s="3">
        <f>Table1[[#This Row],[Cost Price]]*Table1[[#This Row],[Quantity]]</f>
        <v>240000</v>
      </c>
      <c r="P1447" s="3">
        <f>Table1[[#This Row],[Revenue]]-Table1[[#This Row],[COGS]]</f>
        <v>60000</v>
      </c>
      <c r="Q1447" s="1">
        <v>1446</v>
      </c>
    </row>
    <row r="1448" spans="1:17">
      <c r="A1448" t="s">
        <v>52</v>
      </c>
      <c r="B1448" t="str">
        <f>TEXT(Table1[[#This Row],[Date]],"MMMM")</f>
        <v>March</v>
      </c>
      <c r="C1448" t="str">
        <f>TEXT(Table1[[#This Row],[Date]],"DDDD")</f>
        <v>Saturday</v>
      </c>
      <c r="D1448" t="s">
        <v>27</v>
      </c>
      <c r="E1448" t="s">
        <v>36</v>
      </c>
      <c r="F1448" t="s">
        <v>41</v>
      </c>
      <c r="G1448" t="s">
        <v>37</v>
      </c>
      <c r="H1448" t="s">
        <v>73</v>
      </c>
      <c r="I1448" t="s">
        <v>39</v>
      </c>
      <c r="J1448" s="3">
        <v>220000</v>
      </c>
      <c r="K1448">
        <v>4</v>
      </c>
      <c r="L1448" t="s">
        <v>47</v>
      </c>
      <c r="M1448" s="3">
        <v>176000</v>
      </c>
      <c r="N1448" s="3">
        <f>Table1[[#This Row],[Unit Price]]*Table1[[#This Row],[Quantity]]</f>
        <v>880000</v>
      </c>
      <c r="O1448" s="3">
        <f>Table1[[#This Row],[Cost Price]]*Table1[[#This Row],[Quantity]]</f>
        <v>704000</v>
      </c>
      <c r="P1448" s="3">
        <f>Table1[[#This Row],[Revenue]]-Table1[[#This Row],[COGS]]</f>
        <v>176000</v>
      </c>
      <c r="Q1448" s="1">
        <v>1447</v>
      </c>
    </row>
    <row r="1449" spans="1:17">
      <c r="A1449" t="s">
        <v>116</v>
      </c>
      <c r="B1449" t="str">
        <f>TEXT(Table1[[#This Row],[Date]],"MMMM")</f>
        <v>April</v>
      </c>
      <c r="C1449" t="str">
        <f>TEXT(Table1[[#This Row],[Date]],"DDDD")</f>
        <v>Saturday</v>
      </c>
      <c r="D1449" t="s">
        <v>44</v>
      </c>
      <c r="E1449" t="s">
        <v>28</v>
      </c>
      <c r="F1449" t="s">
        <v>41</v>
      </c>
      <c r="G1449" t="s">
        <v>37</v>
      </c>
      <c r="H1449" t="s">
        <v>38</v>
      </c>
      <c r="I1449" t="s">
        <v>39</v>
      </c>
      <c r="J1449" s="3">
        <v>30000</v>
      </c>
      <c r="K1449">
        <v>6</v>
      </c>
      <c r="L1449" t="s">
        <v>65</v>
      </c>
      <c r="M1449" s="3">
        <v>24000</v>
      </c>
      <c r="N1449" s="3">
        <f>Table1[[#This Row],[Unit Price]]*Table1[[#This Row],[Quantity]]</f>
        <v>180000</v>
      </c>
      <c r="O1449" s="3">
        <f>Table1[[#This Row],[Cost Price]]*Table1[[#This Row],[Quantity]]</f>
        <v>144000</v>
      </c>
      <c r="P1449" s="3">
        <f>Table1[[#This Row],[Revenue]]-Table1[[#This Row],[COGS]]</f>
        <v>36000</v>
      </c>
      <c r="Q1449" s="1">
        <v>1448</v>
      </c>
    </row>
    <row r="1450" spans="1:17">
      <c r="A1450" t="s">
        <v>144</v>
      </c>
      <c r="B1450" t="str">
        <f>TEXT(Table1[[#This Row],[Date]],"MMMM")</f>
        <v>February</v>
      </c>
      <c r="C1450" t="str">
        <f>TEXT(Table1[[#This Row],[Date]],"DDDD")</f>
        <v>Friday</v>
      </c>
      <c r="D1450" t="s">
        <v>35</v>
      </c>
      <c r="E1450" t="s">
        <v>53</v>
      </c>
      <c r="F1450" t="s">
        <v>29</v>
      </c>
      <c r="G1450" t="s">
        <v>37</v>
      </c>
      <c r="H1450" t="s">
        <v>31</v>
      </c>
      <c r="I1450" t="s">
        <v>32</v>
      </c>
      <c r="J1450" s="3">
        <v>85000</v>
      </c>
      <c r="K1450">
        <v>3</v>
      </c>
      <c r="L1450" t="s">
        <v>47</v>
      </c>
      <c r="M1450" s="3">
        <v>68000</v>
      </c>
      <c r="N1450" s="3">
        <f>Table1[[#This Row],[Unit Price]]*Table1[[#This Row],[Quantity]]</f>
        <v>255000</v>
      </c>
      <c r="O1450" s="3">
        <f>Table1[[#This Row],[Cost Price]]*Table1[[#This Row],[Quantity]]</f>
        <v>204000</v>
      </c>
      <c r="P1450" s="3">
        <f>Table1[[#This Row],[Revenue]]-Table1[[#This Row],[COGS]]</f>
        <v>51000</v>
      </c>
      <c r="Q1450" s="1">
        <v>1449</v>
      </c>
    </row>
    <row r="1451" spans="1:17">
      <c r="A1451" t="s">
        <v>173</v>
      </c>
      <c r="B1451" t="str">
        <f>TEXT(Table1[[#This Row],[Date]],"MMMM")</f>
        <v>March</v>
      </c>
      <c r="C1451" t="str">
        <f>TEXT(Table1[[#This Row],[Date]],"DDDD")</f>
        <v>Saturday</v>
      </c>
      <c r="D1451" t="s">
        <v>35</v>
      </c>
      <c r="E1451" t="s">
        <v>36</v>
      </c>
      <c r="F1451" t="s">
        <v>29</v>
      </c>
      <c r="G1451" t="s">
        <v>37</v>
      </c>
      <c r="H1451" t="s">
        <v>31</v>
      </c>
      <c r="I1451" t="s">
        <v>32</v>
      </c>
      <c r="J1451" s="3">
        <v>85000</v>
      </c>
      <c r="K1451">
        <v>2</v>
      </c>
      <c r="L1451" t="s">
        <v>33</v>
      </c>
      <c r="M1451" s="3">
        <v>68000</v>
      </c>
      <c r="N1451" s="3">
        <f>Table1[[#This Row],[Unit Price]]*Table1[[#This Row],[Quantity]]</f>
        <v>170000</v>
      </c>
      <c r="O1451" s="3">
        <f>Table1[[#This Row],[Cost Price]]*Table1[[#This Row],[Quantity]]</f>
        <v>136000</v>
      </c>
      <c r="P1451" s="3">
        <f>Table1[[#This Row],[Revenue]]-Table1[[#This Row],[COGS]]</f>
        <v>34000</v>
      </c>
      <c r="Q1451" s="1">
        <v>1450</v>
      </c>
    </row>
    <row r="1452" spans="1:17">
      <c r="A1452" t="s">
        <v>88</v>
      </c>
      <c r="B1452" t="str">
        <f>TEXT(Table1[[#This Row],[Date]],"MMMM")</f>
        <v>February</v>
      </c>
      <c r="C1452" t="str">
        <f>TEXT(Table1[[#This Row],[Date]],"DDDD")</f>
        <v>Monday</v>
      </c>
      <c r="D1452" t="s">
        <v>49</v>
      </c>
      <c r="E1452" t="s">
        <v>36</v>
      </c>
      <c r="F1452" t="s">
        <v>29</v>
      </c>
      <c r="G1452" t="s">
        <v>37</v>
      </c>
      <c r="H1452" t="s">
        <v>71</v>
      </c>
      <c r="I1452" t="s">
        <v>51</v>
      </c>
      <c r="J1452" s="3">
        <v>250000</v>
      </c>
      <c r="K1452">
        <v>10</v>
      </c>
      <c r="L1452" t="s">
        <v>47</v>
      </c>
      <c r="M1452" s="3">
        <v>200000</v>
      </c>
      <c r="N1452" s="3">
        <f>Table1[[#This Row],[Unit Price]]*Table1[[#This Row],[Quantity]]</f>
        <v>2500000</v>
      </c>
      <c r="O1452" s="3">
        <f>Table1[[#This Row],[Cost Price]]*Table1[[#This Row],[Quantity]]</f>
        <v>2000000</v>
      </c>
      <c r="P1452" s="3">
        <f>Table1[[#This Row],[Revenue]]-Table1[[#This Row],[COGS]]</f>
        <v>500000</v>
      </c>
      <c r="Q1452" s="1">
        <v>1451</v>
      </c>
    </row>
    <row r="1453" spans="1:17">
      <c r="A1453" t="s">
        <v>93</v>
      </c>
      <c r="B1453" t="str">
        <f>TEXT(Table1[[#This Row],[Date]],"MMMM")</f>
        <v>April</v>
      </c>
      <c r="C1453" t="str">
        <f>TEXT(Table1[[#This Row],[Date]],"DDDD")</f>
        <v>Friday</v>
      </c>
      <c r="D1453" t="s">
        <v>27</v>
      </c>
      <c r="E1453" t="s">
        <v>36</v>
      </c>
      <c r="F1453" t="s">
        <v>41</v>
      </c>
      <c r="G1453" t="s">
        <v>37</v>
      </c>
      <c r="H1453" t="s">
        <v>73</v>
      </c>
      <c r="I1453" t="s">
        <v>39</v>
      </c>
      <c r="J1453" s="3">
        <v>220000</v>
      </c>
      <c r="K1453">
        <v>2</v>
      </c>
      <c r="L1453" t="s">
        <v>65</v>
      </c>
      <c r="M1453" s="3">
        <v>176000</v>
      </c>
      <c r="N1453" s="3">
        <f>Table1[[#This Row],[Unit Price]]*Table1[[#This Row],[Quantity]]</f>
        <v>440000</v>
      </c>
      <c r="O1453" s="3">
        <f>Table1[[#This Row],[Cost Price]]*Table1[[#This Row],[Quantity]]</f>
        <v>352000</v>
      </c>
      <c r="P1453" s="3">
        <f>Table1[[#This Row],[Revenue]]-Table1[[#This Row],[COGS]]</f>
        <v>88000</v>
      </c>
      <c r="Q1453" s="1">
        <v>1452</v>
      </c>
    </row>
    <row r="1454" spans="1:17">
      <c r="A1454" t="s">
        <v>153</v>
      </c>
      <c r="B1454" t="str">
        <f>TEXT(Table1[[#This Row],[Date]],"MMMM")</f>
        <v>March</v>
      </c>
      <c r="C1454" t="str">
        <f>TEXT(Table1[[#This Row],[Date]],"DDDD")</f>
        <v>Tuesday</v>
      </c>
      <c r="D1454" t="s">
        <v>27</v>
      </c>
      <c r="E1454" t="s">
        <v>28</v>
      </c>
      <c r="F1454" t="s">
        <v>41</v>
      </c>
      <c r="G1454" t="s">
        <v>37</v>
      </c>
      <c r="H1454" t="s">
        <v>50</v>
      </c>
      <c r="I1454" t="s">
        <v>51</v>
      </c>
      <c r="J1454" s="3">
        <v>300000</v>
      </c>
      <c r="K1454">
        <v>9</v>
      </c>
      <c r="L1454" t="s">
        <v>65</v>
      </c>
      <c r="M1454" s="3">
        <v>240000</v>
      </c>
      <c r="N1454" s="3">
        <f>Table1[[#This Row],[Unit Price]]*Table1[[#This Row],[Quantity]]</f>
        <v>2700000</v>
      </c>
      <c r="O1454" s="3">
        <f>Table1[[#This Row],[Cost Price]]*Table1[[#This Row],[Quantity]]</f>
        <v>2160000</v>
      </c>
      <c r="P1454" s="3">
        <f>Table1[[#This Row],[Revenue]]-Table1[[#This Row],[COGS]]</f>
        <v>540000</v>
      </c>
      <c r="Q1454" s="1">
        <v>1453</v>
      </c>
    </row>
    <row r="1455" spans="1:17">
      <c r="A1455" t="s">
        <v>120</v>
      </c>
      <c r="B1455" t="str">
        <f>TEXT(Table1[[#This Row],[Date]],"MMMM")</f>
        <v>March</v>
      </c>
      <c r="C1455" t="str">
        <f>TEXT(Table1[[#This Row],[Date]],"DDDD")</f>
        <v>Thursday</v>
      </c>
      <c r="D1455" t="s">
        <v>35</v>
      </c>
      <c r="E1455" t="s">
        <v>53</v>
      </c>
      <c r="F1455" t="s">
        <v>29</v>
      </c>
      <c r="G1455" t="s">
        <v>37</v>
      </c>
      <c r="H1455" t="s">
        <v>73</v>
      </c>
      <c r="I1455" t="s">
        <v>39</v>
      </c>
      <c r="J1455" s="3">
        <v>220000</v>
      </c>
      <c r="K1455">
        <v>3</v>
      </c>
      <c r="L1455" t="s">
        <v>42</v>
      </c>
      <c r="M1455" s="3">
        <v>176000</v>
      </c>
      <c r="N1455" s="3">
        <f>Table1[[#This Row],[Unit Price]]*Table1[[#This Row],[Quantity]]</f>
        <v>660000</v>
      </c>
      <c r="O1455" s="3">
        <f>Table1[[#This Row],[Cost Price]]*Table1[[#This Row],[Quantity]]</f>
        <v>528000</v>
      </c>
      <c r="P1455" s="3">
        <f>Table1[[#This Row],[Revenue]]-Table1[[#This Row],[COGS]]</f>
        <v>132000</v>
      </c>
      <c r="Q1455" s="1">
        <v>1454</v>
      </c>
    </row>
    <row r="1456" spans="1:17">
      <c r="A1456" t="s">
        <v>63</v>
      </c>
      <c r="B1456" t="str">
        <f>TEXT(Table1[[#This Row],[Date]],"MMMM")</f>
        <v>January</v>
      </c>
      <c r="C1456" t="str">
        <f>TEXT(Table1[[#This Row],[Date]],"DDDD")</f>
        <v>Monday</v>
      </c>
      <c r="D1456" t="s">
        <v>35</v>
      </c>
      <c r="E1456" t="s">
        <v>53</v>
      </c>
      <c r="F1456" t="s">
        <v>41</v>
      </c>
      <c r="G1456" t="s">
        <v>37</v>
      </c>
      <c r="H1456" t="s">
        <v>71</v>
      </c>
      <c r="I1456" t="s">
        <v>51</v>
      </c>
      <c r="J1456" s="3">
        <v>250000</v>
      </c>
      <c r="K1456">
        <v>8</v>
      </c>
      <c r="L1456" t="s">
        <v>47</v>
      </c>
      <c r="M1456" s="3">
        <v>200000</v>
      </c>
      <c r="N1456" s="3">
        <f>Table1[[#This Row],[Unit Price]]*Table1[[#This Row],[Quantity]]</f>
        <v>2000000</v>
      </c>
      <c r="O1456" s="3">
        <f>Table1[[#This Row],[Cost Price]]*Table1[[#This Row],[Quantity]]</f>
        <v>1600000</v>
      </c>
      <c r="P1456" s="3">
        <f>Table1[[#This Row],[Revenue]]-Table1[[#This Row],[COGS]]</f>
        <v>400000</v>
      </c>
      <c r="Q1456" s="1">
        <v>1455</v>
      </c>
    </row>
    <row r="1457" spans="1:17">
      <c r="A1457" t="s">
        <v>110</v>
      </c>
      <c r="B1457" t="str">
        <f>TEXT(Table1[[#This Row],[Date]],"MMMM")</f>
        <v>January</v>
      </c>
      <c r="C1457" t="str">
        <f>TEXT(Table1[[#This Row],[Date]],"DDDD")</f>
        <v>Thursday</v>
      </c>
      <c r="D1457" t="s">
        <v>44</v>
      </c>
      <c r="E1457" t="s">
        <v>36</v>
      </c>
      <c r="F1457" t="s">
        <v>41</v>
      </c>
      <c r="G1457" t="s">
        <v>37</v>
      </c>
      <c r="H1457" t="s">
        <v>71</v>
      </c>
      <c r="I1457" t="s">
        <v>51</v>
      </c>
      <c r="J1457" s="3">
        <v>250000</v>
      </c>
      <c r="K1457">
        <v>5</v>
      </c>
      <c r="L1457" t="s">
        <v>69</v>
      </c>
      <c r="M1457" s="3">
        <v>200000</v>
      </c>
      <c r="N1457" s="3">
        <f>Table1[[#This Row],[Unit Price]]*Table1[[#This Row],[Quantity]]</f>
        <v>1250000</v>
      </c>
      <c r="O1457" s="3">
        <f>Table1[[#This Row],[Cost Price]]*Table1[[#This Row],[Quantity]]</f>
        <v>1000000</v>
      </c>
      <c r="P1457" s="3">
        <f>Table1[[#This Row],[Revenue]]-Table1[[#This Row],[COGS]]</f>
        <v>250000</v>
      </c>
      <c r="Q1457" s="1">
        <v>1456</v>
      </c>
    </row>
    <row r="1458" spans="1:17">
      <c r="A1458" t="s">
        <v>151</v>
      </c>
      <c r="B1458" t="str">
        <f>TEXT(Table1[[#This Row],[Date]],"MMMM")</f>
        <v>February</v>
      </c>
      <c r="C1458" t="str">
        <f>TEXT(Table1[[#This Row],[Date]],"DDDD")</f>
        <v>Tuesday</v>
      </c>
      <c r="D1458" t="s">
        <v>49</v>
      </c>
      <c r="E1458" t="s">
        <v>53</v>
      </c>
      <c r="F1458" t="s">
        <v>29</v>
      </c>
      <c r="G1458" t="s">
        <v>37</v>
      </c>
      <c r="H1458" t="s">
        <v>67</v>
      </c>
      <c r="I1458" t="s">
        <v>51</v>
      </c>
      <c r="J1458" s="3">
        <v>420000</v>
      </c>
      <c r="K1458">
        <v>5</v>
      </c>
      <c r="L1458" t="s">
        <v>42</v>
      </c>
      <c r="M1458" s="3">
        <v>336000</v>
      </c>
      <c r="N1458" s="3">
        <f>Table1[[#This Row],[Unit Price]]*Table1[[#This Row],[Quantity]]</f>
        <v>2100000</v>
      </c>
      <c r="O1458" s="3">
        <f>Table1[[#This Row],[Cost Price]]*Table1[[#This Row],[Quantity]]</f>
        <v>1680000</v>
      </c>
      <c r="P1458" s="3">
        <f>Table1[[#This Row],[Revenue]]-Table1[[#This Row],[COGS]]</f>
        <v>420000</v>
      </c>
      <c r="Q1458" s="1">
        <v>1457</v>
      </c>
    </row>
    <row r="1459" spans="1:17">
      <c r="A1459" t="s">
        <v>86</v>
      </c>
      <c r="B1459" t="str">
        <f>TEXT(Table1[[#This Row],[Date]],"MMMM")</f>
        <v>February</v>
      </c>
      <c r="C1459" t="str">
        <f>TEXT(Table1[[#This Row],[Date]],"DDDD")</f>
        <v>Thursday</v>
      </c>
      <c r="D1459" t="s">
        <v>44</v>
      </c>
      <c r="E1459" t="s">
        <v>36</v>
      </c>
      <c r="F1459" t="s">
        <v>29</v>
      </c>
      <c r="G1459" t="s">
        <v>37</v>
      </c>
      <c r="H1459" t="s">
        <v>46</v>
      </c>
      <c r="I1459" t="s">
        <v>39</v>
      </c>
      <c r="J1459" s="3">
        <v>60000</v>
      </c>
      <c r="K1459">
        <v>7</v>
      </c>
      <c r="L1459" t="s">
        <v>69</v>
      </c>
      <c r="M1459" s="3">
        <v>48000</v>
      </c>
      <c r="N1459" s="3">
        <f>Table1[[#This Row],[Unit Price]]*Table1[[#This Row],[Quantity]]</f>
        <v>420000</v>
      </c>
      <c r="O1459" s="3">
        <f>Table1[[#This Row],[Cost Price]]*Table1[[#This Row],[Quantity]]</f>
        <v>336000</v>
      </c>
      <c r="P1459" s="3">
        <f>Table1[[#This Row],[Revenue]]-Table1[[#This Row],[COGS]]</f>
        <v>84000</v>
      </c>
      <c r="Q1459" s="1">
        <v>1458</v>
      </c>
    </row>
    <row r="1460" spans="1:17">
      <c r="A1460" t="s">
        <v>116</v>
      </c>
      <c r="B1460" t="str">
        <f>TEXT(Table1[[#This Row],[Date]],"MMMM")</f>
        <v>April</v>
      </c>
      <c r="C1460" t="str">
        <f>TEXT(Table1[[#This Row],[Date]],"DDDD")</f>
        <v>Saturday</v>
      </c>
      <c r="D1460" t="s">
        <v>35</v>
      </c>
      <c r="E1460" t="s">
        <v>45</v>
      </c>
      <c r="F1460" t="s">
        <v>29</v>
      </c>
      <c r="G1460" t="s">
        <v>37</v>
      </c>
      <c r="H1460" t="s">
        <v>38</v>
      </c>
      <c r="I1460" t="s">
        <v>39</v>
      </c>
      <c r="J1460" s="3">
        <v>30000</v>
      </c>
      <c r="K1460">
        <v>8</v>
      </c>
      <c r="L1460" t="s">
        <v>33</v>
      </c>
      <c r="M1460" s="3">
        <v>24000</v>
      </c>
      <c r="N1460" s="3">
        <f>Table1[[#This Row],[Unit Price]]*Table1[[#This Row],[Quantity]]</f>
        <v>240000</v>
      </c>
      <c r="O1460" s="3">
        <f>Table1[[#This Row],[Cost Price]]*Table1[[#This Row],[Quantity]]</f>
        <v>192000</v>
      </c>
      <c r="P1460" s="3">
        <f>Table1[[#This Row],[Revenue]]-Table1[[#This Row],[COGS]]</f>
        <v>48000</v>
      </c>
      <c r="Q1460" s="1">
        <v>1459</v>
      </c>
    </row>
    <row r="1461" spans="1:17">
      <c r="A1461" t="s">
        <v>75</v>
      </c>
      <c r="B1461" t="str">
        <f>TEXT(Table1[[#This Row],[Date]],"MMMM")</f>
        <v>March</v>
      </c>
      <c r="C1461" t="str">
        <f>TEXT(Table1[[#This Row],[Date]],"DDDD")</f>
        <v>Monday</v>
      </c>
      <c r="D1461" t="s">
        <v>49</v>
      </c>
      <c r="E1461" t="s">
        <v>28</v>
      </c>
      <c r="F1461" t="s">
        <v>41</v>
      </c>
      <c r="G1461" t="s">
        <v>37</v>
      </c>
      <c r="H1461" t="s">
        <v>71</v>
      </c>
      <c r="I1461" t="s">
        <v>51</v>
      </c>
      <c r="J1461" s="3">
        <v>250000</v>
      </c>
      <c r="K1461">
        <v>2</v>
      </c>
      <c r="L1461" t="s">
        <v>47</v>
      </c>
      <c r="M1461" s="3">
        <v>200000</v>
      </c>
      <c r="N1461" s="3">
        <f>Table1[[#This Row],[Unit Price]]*Table1[[#This Row],[Quantity]]</f>
        <v>500000</v>
      </c>
      <c r="O1461" s="3">
        <f>Table1[[#This Row],[Cost Price]]*Table1[[#This Row],[Quantity]]</f>
        <v>400000</v>
      </c>
      <c r="P1461" s="3">
        <f>Table1[[#This Row],[Revenue]]-Table1[[#This Row],[COGS]]</f>
        <v>100000</v>
      </c>
      <c r="Q1461" s="1">
        <v>1460</v>
      </c>
    </row>
    <row r="1462" spans="1:17">
      <c r="A1462" t="s">
        <v>79</v>
      </c>
      <c r="B1462" t="str">
        <f>TEXT(Table1[[#This Row],[Date]],"MMMM")</f>
        <v>February</v>
      </c>
      <c r="C1462" t="str">
        <f>TEXT(Table1[[#This Row],[Date]],"DDDD")</f>
        <v>Wednesday</v>
      </c>
      <c r="D1462" t="s">
        <v>35</v>
      </c>
      <c r="E1462" t="s">
        <v>28</v>
      </c>
      <c r="F1462" t="s">
        <v>29</v>
      </c>
      <c r="G1462" t="s">
        <v>37</v>
      </c>
      <c r="H1462" t="s">
        <v>46</v>
      </c>
      <c r="I1462" t="s">
        <v>39</v>
      </c>
      <c r="J1462" s="3">
        <v>60000</v>
      </c>
      <c r="K1462">
        <v>8</v>
      </c>
      <c r="L1462" t="s">
        <v>69</v>
      </c>
      <c r="M1462" s="3">
        <v>48000</v>
      </c>
      <c r="N1462" s="3">
        <f>Table1[[#This Row],[Unit Price]]*Table1[[#This Row],[Quantity]]</f>
        <v>480000</v>
      </c>
      <c r="O1462" s="3">
        <f>Table1[[#This Row],[Cost Price]]*Table1[[#This Row],[Quantity]]</f>
        <v>384000</v>
      </c>
      <c r="P1462" s="3">
        <f>Table1[[#This Row],[Revenue]]-Table1[[#This Row],[COGS]]</f>
        <v>96000</v>
      </c>
      <c r="Q1462" s="1">
        <v>1461</v>
      </c>
    </row>
    <row r="1463" spans="1:17">
      <c r="A1463" t="s">
        <v>162</v>
      </c>
      <c r="B1463" t="str">
        <f>TEXT(Table1[[#This Row],[Date]],"MMMM")</f>
        <v>April</v>
      </c>
      <c r="C1463" t="str">
        <f>TEXT(Table1[[#This Row],[Date]],"DDDD")</f>
        <v>Tuesday</v>
      </c>
      <c r="D1463" t="s">
        <v>27</v>
      </c>
      <c r="E1463" t="s">
        <v>28</v>
      </c>
      <c r="F1463" t="s">
        <v>29</v>
      </c>
      <c r="G1463" t="s">
        <v>37</v>
      </c>
      <c r="H1463" t="s">
        <v>38</v>
      </c>
      <c r="I1463" t="s">
        <v>39</v>
      </c>
      <c r="J1463" s="3">
        <v>30000</v>
      </c>
      <c r="K1463">
        <v>7</v>
      </c>
      <c r="L1463" t="s">
        <v>65</v>
      </c>
      <c r="M1463" s="3">
        <v>24000</v>
      </c>
      <c r="N1463" s="3">
        <f>Table1[[#This Row],[Unit Price]]*Table1[[#This Row],[Quantity]]</f>
        <v>210000</v>
      </c>
      <c r="O1463" s="3">
        <f>Table1[[#This Row],[Cost Price]]*Table1[[#This Row],[Quantity]]</f>
        <v>168000</v>
      </c>
      <c r="P1463" s="3">
        <f>Table1[[#This Row],[Revenue]]-Table1[[#This Row],[COGS]]</f>
        <v>42000</v>
      </c>
      <c r="Q1463" s="1">
        <v>1462</v>
      </c>
    </row>
    <row r="1464" spans="1:17">
      <c r="A1464" t="s">
        <v>125</v>
      </c>
      <c r="B1464" t="str">
        <f>TEXT(Table1[[#This Row],[Date]],"MMMM")</f>
        <v>February</v>
      </c>
      <c r="C1464" t="str">
        <f>TEXT(Table1[[#This Row],[Date]],"DDDD")</f>
        <v>Tuesday</v>
      </c>
      <c r="D1464" t="s">
        <v>44</v>
      </c>
      <c r="E1464" t="s">
        <v>36</v>
      </c>
      <c r="F1464" t="s">
        <v>41</v>
      </c>
      <c r="G1464" t="s">
        <v>37</v>
      </c>
      <c r="H1464" t="s">
        <v>38</v>
      </c>
      <c r="I1464" t="s">
        <v>39</v>
      </c>
      <c r="J1464" s="3">
        <v>30000</v>
      </c>
      <c r="K1464">
        <v>3</v>
      </c>
      <c r="L1464" t="s">
        <v>33</v>
      </c>
      <c r="M1464" s="3">
        <v>24000</v>
      </c>
      <c r="N1464" s="3">
        <f>Table1[[#This Row],[Unit Price]]*Table1[[#This Row],[Quantity]]</f>
        <v>90000</v>
      </c>
      <c r="O1464" s="3">
        <f>Table1[[#This Row],[Cost Price]]*Table1[[#This Row],[Quantity]]</f>
        <v>72000</v>
      </c>
      <c r="P1464" s="3">
        <f>Table1[[#This Row],[Revenue]]-Table1[[#This Row],[COGS]]</f>
        <v>18000</v>
      </c>
      <c r="Q1464" s="1">
        <v>1463</v>
      </c>
    </row>
    <row r="1465" spans="1:17">
      <c r="A1465" t="s">
        <v>143</v>
      </c>
      <c r="B1465" t="str">
        <f>TEXT(Table1[[#This Row],[Date]],"MMMM")</f>
        <v>April</v>
      </c>
      <c r="C1465" t="str">
        <f>TEXT(Table1[[#This Row],[Date]],"DDDD")</f>
        <v>Thursday</v>
      </c>
      <c r="D1465" t="s">
        <v>44</v>
      </c>
      <c r="E1465" t="s">
        <v>45</v>
      </c>
      <c r="F1465" t="s">
        <v>41</v>
      </c>
      <c r="G1465" t="s">
        <v>37</v>
      </c>
      <c r="H1465" t="s">
        <v>54</v>
      </c>
      <c r="I1465" t="s">
        <v>39</v>
      </c>
      <c r="J1465" s="3">
        <v>180000</v>
      </c>
      <c r="K1465">
        <v>5</v>
      </c>
      <c r="L1465" t="s">
        <v>65</v>
      </c>
      <c r="M1465" s="3">
        <v>144000</v>
      </c>
      <c r="N1465" s="3">
        <f>Table1[[#This Row],[Unit Price]]*Table1[[#This Row],[Quantity]]</f>
        <v>900000</v>
      </c>
      <c r="O1465" s="3">
        <f>Table1[[#This Row],[Cost Price]]*Table1[[#This Row],[Quantity]]</f>
        <v>720000</v>
      </c>
      <c r="P1465" s="3">
        <f>Table1[[#This Row],[Revenue]]-Table1[[#This Row],[COGS]]</f>
        <v>180000</v>
      </c>
      <c r="Q1465" s="1">
        <v>1464</v>
      </c>
    </row>
    <row r="1466" spans="1:17">
      <c r="A1466" t="s">
        <v>82</v>
      </c>
      <c r="B1466" t="str">
        <f>TEXT(Table1[[#This Row],[Date]],"MMMM")</f>
        <v>March</v>
      </c>
      <c r="C1466" t="str">
        <f>TEXT(Table1[[#This Row],[Date]],"DDDD")</f>
        <v>Saturday</v>
      </c>
      <c r="D1466" t="s">
        <v>35</v>
      </c>
      <c r="E1466" t="s">
        <v>53</v>
      </c>
      <c r="F1466" t="s">
        <v>29</v>
      </c>
      <c r="G1466" t="s">
        <v>37</v>
      </c>
      <c r="H1466" t="s">
        <v>71</v>
      </c>
      <c r="I1466" t="s">
        <v>51</v>
      </c>
      <c r="J1466" s="3">
        <v>250000</v>
      </c>
      <c r="K1466">
        <v>5</v>
      </c>
      <c r="L1466" t="s">
        <v>58</v>
      </c>
      <c r="M1466" s="3">
        <v>200000</v>
      </c>
      <c r="N1466" s="3">
        <f>Table1[[#This Row],[Unit Price]]*Table1[[#This Row],[Quantity]]</f>
        <v>1250000</v>
      </c>
      <c r="O1466" s="3">
        <f>Table1[[#This Row],[Cost Price]]*Table1[[#This Row],[Quantity]]</f>
        <v>1000000</v>
      </c>
      <c r="P1466" s="3">
        <f>Table1[[#This Row],[Revenue]]-Table1[[#This Row],[COGS]]</f>
        <v>250000</v>
      </c>
      <c r="Q1466" s="1">
        <v>1465</v>
      </c>
    </row>
    <row r="1467" spans="1:17">
      <c r="A1467" t="s">
        <v>68</v>
      </c>
      <c r="B1467" t="str">
        <f>TEXT(Table1[[#This Row],[Date]],"MMMM")</f>
        <v>March</v>
      </c>
      <c r="C1467" t="str">
        <f>TEXT(Table1[[#This Row],[Date]],"DDDD")</f>
        <v>Monday</v>
      </c>
      <c r="D1467" t="s">
        <v>35</v>
      </c>
      <c r="E1467" t="s">
        <v>28</v>
      </c>
      <c r="F1467" t="s">
        <v>29</v>
      </c>
      <c r="G1467" t="s">
        <v>37</v>
      </c>
      <c r="H1467" t="s">
        <v>31</v>
      </c>
      <c r="I1467" t="s">
        <v>32</v>
      </c>
      <c r="J1467" s="3">
        <v>85000</v>
      </c>
      <c r="K1467">
        <v>3</v>
      </c>
      <c r="L1467" t="s">
        <v>65</v>
      </c>
      <c r="M1467" s="3">
        <v>68000</v>
      </c>
      <c r="N1467" s="3">
        <f>Table1[[#This Row],[Unit Price]]*Table1[[#This Row],[Quantity]]</f>
        <v>255000</v>
      </c>
      <c r="O1467" s="3">
        <f>Table1[[#This Row],[Cost Price]]*Table1[[#This Row],[Quantity]]</f>
        <v>204000</v>
      </c>
      <c r="P1467" s="3">
        <f>Table1[[#This Row],[Revenue]]-Table1[[#This Row],[COGS]]</f>
        <v>51000</v>
      </c>
      <c r="Q1467" s="1">
        <v>1466</v>
      </c>
    </row>
    <row r="1468" spans="1:17">
      <c r="A1468" t="s">
        <v>142</v>
      </c>
      <c r="B1468" t="str">
        <f>TEXT(Table1[[#This Row],[Date]],"MMMM")</f>
        <v>April</v>
      </c>
      <c r="C1468" t="str">
        <f>TEXT(Table1[[#This Row],[Date]],"DDDD")</f>
        <v>Monday</v>
      </c>
      <c r="D1468" t="s">
        <v>49</v>
      </c>
      <c r="E1468" t="s">
        <v>28</v>
      </c>
      <c r="F1468" t="s">
        <v>41</v>
      </c>
      <c r="G1468" t="s">
        <v>37</v>
      </c>
      <c r="H1468" t="s">
        <v>38</v>
      </c>
      <c r="I1468" t="s">
        <v>39</v>
      </c>
      <c r="J1468" s="3">
        <v>30000</v>
      </c>
      <c r="K1468">
        <v>1</v>
      </c>
      <c r="L1468" t="s">
        <v>42</v>
      </c>
      <c r="M1468" s="3">
        <v>24000</v>
      </c>
      <c r="N1468" s="3">
        <f>Table1[[#This Row],[Unit Price]]*Table1[[#This Row],[Quantity]]</f>
        <v>30000</v>
      </c>
      <c r="O1468" s="3">
        <f>Table1[[#This Row],[Cost Price]]*Table1[[#This Row],[Quantity]]</f>
        <v>24000</v>
      </c>
      <c r="P1468" s="3">
        <f>Table1[[#This Row],[Revenue]]-Table1[[#This Row],[COGS]]</f>
        <v>6000</v>
      </c>
      <c r="Q1468" s="1">
        <v>1467</v>
      </c>
    </row>
    <row r="1469" spans="1:17">
      <c r="A1469" t="s">
        <v>161</v>
      </c>
      <c r="B1469" t="str">
        <f>TEXT(Table1[[#This Row],[Date]],"MMMM")</f>
        <v>March</v>
      </c>
      <c r="C1469" t="str">
        <f>TEXT(Table1[[#This Row],[Date]],"DDDD")</f>
        <v>Thursday</v>
      </c>
      <c r="D1469" t="s">
        <v>44</v>
      </c>
      <c r="E1469" t="s">
        <v>45</v>
      </c>
      <c r="F1469" t="s">
        <v>41</v>
      </c>
      <c r="G1469" t="s">
        <v>37</v>
      </c>
      <c r="H1469" t="s">
        <v>50</v>
      </c>
      <c r="I1469" t="s">
        <v>51</v>
      </c>
      <c r="J1469" s="3">
        <v>300000</v>
      </c>
      <c r="K1469">
        <v>10</v>
      </c>
      <c r="L1469" t="s">
        <v>58</v>
      </c>
      <c r="M1469" s="3">
        <v>240000</v>
      </c>
      <c r="N1469" s="3">
        <f>Table1[[#This Row],[Unit Price]]*Table1[[#This Row],[Quantity]]</f>
        <v>3000000</v>
      </c>
      <c r="O1469" s="3">
        <f>Table1[[#This Row],[Cost Price]]*Table1[[#This Row],[Quantity]]</f>
        <v>2400000</v>
      </c>
      <c r="P1469" s="3">
        <f>Table1[[#This Row],[Revenue]]-Table1[[#This Row],[COGS]]</f>
        <v>600000</v>
      </c>
      <c r="Q1469" s="1">
        <v>1468</v>
      </c>
    </row>
    <row r="1470" spans="1:17">
      <c r="A1470" t="s">
        <v>95</v>
      </c>
      <c r="B1470" t="str">
        <f>TEXT(Table1[[#This Row],[Date]],"MMMM")</f>
        <v>February</v>
      </c>
      <c r="C1470" t="str">
        <f>TEXT(Table1[[#This Row],[Date]],"DDDD")</f>
        <v>Saturday</v>
      </c>
      <c r="D1470" t="s">
        <v>44</v>
      </c>
      <c r="E1470" t="s">
        <v>36</v>
      </c>
      <c r="F1470" t="s">
        <v>41</v>
      </c>
      <c r="G1470" t="s">
        <v>37</v>
      </c>
      <c r="H1470" t="s">
        <v>67</v>
      </c>
      <c r="I1470" t="s">
        <v>51</v>
      </c>
      <c r="J1470" s="3">
        <v>420000</v>
      </c>
      <c r="K1470">
        <v>5</v>
      </c>
      <c r="L1470" t="s">
        <v>65</v>
      </c>
      <c r="M1470" s="3">
        <v>336000</v>
      </c>
      <c r="N1470" s="3">
        <f>Table1[[#This Row],[Unit Price]]*Table1[[#This Row],[Quantity]]</f>
        <v>2100000</v>
      </c>
      <c r="O1470" s="3">
        <f>Table1[[#This Row],[Cost Price]]*Table1[[#This Row],[Quantity]]</f>
        <v>1680000</v>
      </c>
      <c r="P1470" s="3">
        <f>Table1[[#This Row],[Revenue]]-Table1[[#This Row],[COGS]]</f>
        <v>420000</v>
      </c>
      <c r="Q1470" s="1">
        <v>1469</v>
      </c>
    </row>
    <row r="1471" spans="1:17">
      <c r="A1471" t="s">
        <v>70</v>
      </c>
      <c r="B1471" t="str">
        <f>TEXT(Table1[[#This Row],[Date]],"MMMM")</f>
        <v>April</v>
      </c>
      <c r="C1471" t="str">
        <f>TEXT(Table1[[#This Row],[Date]],"DDDD")</f>
        <v>Friday</v>
      </c>
      <c r="D1471" t="s">
        <v>35</v>
      </c>
      <c r="E1471" t="s">
        <v>28</v>
      </c>
      <c r="F1471" t="s">
        <v>41</v>
      </c>
      <c r="G1471" t="s">
        <v>37</v>
      </c>
      <c r="H1471" t="s">
        <v>71</v>
      </c>
      <c r="I1471" t="s">
        <v>51</v>
      </c>
      <c r="J1471" s="3">
        <v>250000</v>
      </c>
      <c r="K1471">
        <v>4</v>
      </c>
      <c r="L1471" t="s">
        <v>65</v>
      </c>
      <c r="M1471" s="3">
        <v>200000</v>
      </c>
      <c r="N1471" s="3">
        <f>Table1[[#This Row],[Unit Price]]*Table1[[#This Row],[Quantity]]</f>
        <v>1000000</v>
      </c>
      <c r="O1471" s="3">
        <f>Table1[[#This Row],[Cost Price]]*Table1[[#This Row],[Quantity]]</f>
        <v>800000</v>
      </c>
      <c r="P1471" s="3">
        <f>Table1[[#This Row],[Revenue]]-Table1[[#This Row],[COGS]]</f>
        <v>200000</v>
      </c>
      <c r="Q1471" s="1">
        <v>1470</v>
      </c>
    </row>
    <row r="1472" spans="1:17">
      <c r="A1472" t="s">
        <v>96</v>
      </c>
      <c r="B1472" t="str">
        <f>TEXT(Table1[[#This Row],[Date]],"MMMM")</f>
        <v>March</v>
      </c>
      <c r="C1472" t="str">
        <f>TEXT(Table1[[#This Row],[Date]],"DDDD")</f>
        <v>Sunday</v>
      </c>
      <c r="D1472" t="s">
        <v>44</v>
      </c>
      <c r="E1472" t="s">
        <v>45</v>
      </c>
      <c r="F1472" t="s">
        <v>29</v>
      </c>
      <c r="G1472" t="s">
        <v>37</v>
      </c>
      <c r="H1472" t="s">
        <v>73</v>
      </c>
      <c r="I1472" t="s">
        <v>39</v>
      </c>
      <c r="J1472" s="3">
        <v>220000</v>
      </c>
      <c r="K1472">
        <v>3</v>
      </c>
      <c r="L1472" t="s">
        <v>33</v>
      </c>
      <c r="M1472" s="3">
        <v>176000</v>
      </c>
      <c r="N1472" s="3">
        <f>Table1[[#This Row],[Unit Price]]*Table1[[#This Row],[Quantity]]</f>
        <v>660000</v>
      </c>
      <c r="O1472" s="3">
        <f>Table1[[#This Row],[Cost Price]]*Table1[[#This Row],[Quantity]]</f>
        <v>528000</v>
      </c>
      <c r="P1472" s="3">
        <f>Table1[[#This Row],[Revenue]]-Table1[[#This Row],[COGS]]</f>
        <v>132000</v>
      </c>
      <c r="Q1472" s="1">
        <v>1471</v>
      </c>
    </row>
    <row r="1473" spans="1:17">
      <c r="A1473" t="s">
        <v>104</v>
      </c>
      <c r="B1473" t="str">
        <f>TEXT(Table1[[#This Row],[Date]],"MMMM")</f>
        <v>March</v>
      </c>
      <c r="C1473" t="str">
        <f>TEXT(Table1[[#This Row],[Date]],"DDDD")</f>
        <v>Friday</v>
      </c>
      <c r="D1473" t="s">
        <v>49</v>
      </c>
      <c r="E1473" t="s">
        <v>53</v>
      </c>
      <c r="F1473" t="s">
        <v>29</v>
      </c>
      <c r="G1473" t="s">
        <v>37</v>
      </c>
      <c r="H1473" t="s">
        <v>56</v>
      </c>
      <c r="I1473" t="s">
        <v>32</v>
      </c>
      <c r="J1473" s="3">
        <v>320000</v>
      </c>
      <c r="K1473">
        <v>2</v>
      </c>
      <c r="L1473" t="s">
        <v>47</v>
      </c>
      <c r="M1473" s="3">
        <v>256000</v>
      </c>
      <c r="N1473" s="3">
        <f>Table1[[#This Row],[Unit Price]]*Table1[[#This Row],[Quantity]]</f>
        <v>640000</v>
      </c>
      <c r="O1473" s="3">
        <f>Table1[[#This Row],[Cost Price]]*Table1[[#This Row],[Quantity]]</f>
        <v>512000</v>
      </c>
      <c r="P1473" s="3">
        <f>Table1[[#This Row],[Revenue]]-Table1[[#This Row],[COGS]]</f>
        <v>128000</v>
      </c>
      <c r="Q1473" s="1">
        <v>1472</v>
      </c>
    </row>
    <row r="1474" spans="1:17">
      <c r="A1474" t="s">
        <v>77</v>
      </c>
      <c r="B1474" t="str">
        <f>TEXT(Table1[[#This Row],[Date]],"MMMM")</f>
        <v>April</v>
      </c>
      <c r="C1474" t="str">
        <f>TEXT(Table1[[#This Row],[Date]],"DDDD")</f>
        <v>Friday</v>
      </c>
      <c r="D1474" t="s">
        <v>27</v>
      </c>
      <c r="E1474" t="s">
        <v>53</v>
      </c>
      <c r="F1474" t="s">
        <v>41</v>
      </c>
      <c r="G1474" t="s">
        <v>37</v>
      </c>
      <c r="H1474" t="s">
        <v>56</v>
      </c>
      <c r="I1474" t="s">
        <v>32</v>
      </c>
      <c r="J1474" s="3">
        <v>320000</v>
      </c>
      <c r="K1474">
        <v>9</v>
      </c>
      <c r="L1474" t="s">
        <v>69</v>
      </c>
      <c r="M1474" s="3">
        <v>256000</v>
      </c>
      <c r="N1474" s="3">
        <f>Table1[[#This Row],[Unit Price]]*Table1[[#This Row],[Quantity]]</f>
        <v>2880000</v>
      </c>
      <c r="O1474" s="3">
        <f>Table1[[#This Row],[Cost Price]]*Table1[[#This Row],[Quantity]]</f>
        <v>2304000</v>
      </c>
      <c r="P1474" s="3">
        <f>Table1[[#This Row],[Revenue]]-Table1[[#This Row],[COGS]]</f>
        <v>576000</v>
      </c>
      <c r="Q1474" s="1">
        <v>1473</v>
      </c>
    </row>
    <row r="1475" spans="1:17">
      <c r="A1475" t="s">
        <v>40</v>
      </c>
      <c r="B1475" t="str">
        <f>TEXT(Table1[[#This Row],[Date]],"MMMM")</f>
        <v>February</v>
      </c>
      <c r="C1475" t="str">
        <f>TEXT(Table1[[#This Row],[Date]],"DDDD")</f>
        <v>Thursday</v>
      </c>
      <c r="D1475" t="s">
        <v>49</v>
      </c>
      <c r="E1475" t="s">
        <v>36</v>
      </c>
      <c r="F1475" t="s">
        <v>29</v>
      </c>
      <c r="G1475" t="s">
        <v>37</v>
      </c>
      <c r="H1475" t="s">
        <v>73</v>
      </c>
      <c r="I1475" t="s">
        <v>39</v>
      </c>
      <c r="J1475" s="3">
        <v>220000</v>
      </c>
      <c r="K1475">
        <v>10</v>
      </c>
      <c r="L1475" t="s">
        <v>42</v>
      </c>
      <c r="M1475" s="3">
        <v>176000</v>
      </c>
      <c r="N1475" s="3">
        <f>Table1[[#This Row],[Unit Price]]*Table1[[#This Row],[Quantity]]</f>
        <v>2200000</v>
      </c>
      <c r="O1475" s="3">
        <f>Table1[[#This Row],[Cost Price]]*Table1[[#This Row],[Quantity]]</f>
        <v>1760000</v>
      </c>
      <c r="P1475" s="3">
        <f>Table1[[#This Row],[Revenue]]-Table1[[#This Row],[COGS]]</f>
        <v>440000</v>
      </c>
      <c r="Q1475" s="1">
        <v>1474</v>
      </c>
    </row>
    <row r="1476" spans="1:17">
      <c r="A1476" t="s">
        <v>141</v>
      </c>
      <c r="B1476" t="str">
        <f>TEXT(Table1[[#This Row],[Date]],"MMMM")</f>
        <v>March</v>
      </c>
      <c r="C1476" t="str">
        <f>TEXT(Table1[[#This Row],[Date]],"DDDD")</f>
        <v>Sunday</v>
      </c>
      <c r="D1476" t="s">
        <v>44</v>
      </c>
      <c r="E1476" t="s">
        <v>28</v>
      </c>
      <c r="F1476" t="s">
        <v>29</v>
      </c>
      <c r="G1476" t="s">
        <v>37</v>
      </c>
      <c r="H1476" t="s">
        <v>31</v>
      </c>
      <c r="I1476" t="s">
        <v>32</v>
      </c>
      <c r="J1476" s="3">
        <v>85000</v>
      </c>
      <c r="K1476">
        <v>1</v>
      </c>
      <c r="L1476" t="s">
        <v>47</v>
      </c>
      <c r="M1476" s="3">
        <v>68000</v>
      </c>
      <c r="N1476" s="3">
        <f>Table1[[#This Row],[Unit Price]]*Table1[[#This Row],[Quantity]]</f>
        <v>85000</v>
      </c>
      <c r="O1476" s="3">
        <f>Table1[[#This Row],[Cost Price]]*Table1[[#This Row],[Quantity]]</f>
        <v>68000</v>
      </c>
      <c r="P1476" s="3">
        <f>Table1[[#This Row],[Revenue]]-Table1[[#This Row],[COGS]]</f>
        <v>17000</v>
      </c>
      <c r="Q1476" s="1">
        <v>1475</v>
      </c>
    </row>
    <row r="1477" spans="1:17">
      <c r="A1477" t="s">
        <v>98</v>
      </c>
      <c r="B1477" t="str">
        <f>TEXT(Table1[[#This Row],[Date]],"MMMM")</f>
        <v>January</v>
      </c>
      <c r="C1477" t="str">
        <f>TEXT(Table1[[#This Row],[Date]],"DDDD")</f>
        <v>Friday</v>
      </c>
      <c r="D1477" t="s">
        <v>44</v>
      </c>
      <c r="E1477" t="s">
        <v>53</v>
      </c>
      <c r="F1477" t="s">
        <v>29</v>
      </c>
      <c r="G1477" t="s">
        <v>30</v>
      </c>
      <c r="H1477" t="s">
        <v>50</v>
      </c>
      <c r="I1477" t="s">
        <v>51</v>
      </c>
      <c r="J1477" s="3">
        <v>300000</v>
      </c>
      <c r="K1477">
        <v>4</v>
      </c>
      <c r="L1477" t="s">
        <v>47</v>
      </c>
      <c r="M1477" s="3">
        <v>240000</v>
      </c>
      <c r="N1477" s="3">
        <f>Table1[[#This Row],[Unit Price]]*Table1[[#This Row],[Quantity]]</f>
        <v>1200000</v>
      </c>
      <c r="O1477" s="3">
        <f>Table1[[#This Row],[Cost Price]]*Table1[[#This Row],[Quantity]]</f>
        <v>960000</v>
      </c>
      <c r="P1477" s="3">
        <f>Table1[[#This Row],[Revenue]]-Table1[[#This Row],[COGS]]</f>
        <v>240000</v>
      </c>
      <c r="Q1477" s="1">
        <v>1476</v>
      </c>
    </row>
    <row r="1478" spans="1:17">
      <c r="A1478" t="s">
        <v>40</v>
      </c>
      <c r="B1478" t="str">
        <f>TEXT(Table1[[#This Row],[Date]],"MMMM")</f>
        <v>February</v>
      </c>
      <c r="C1478" t="str">
        <f>TEXT(Table1[[#This Row],[Date]],"DDDD")</f>
        <v>Thursday</v>
      </c>
      <c r="D1478" t="s">
        <v>44</v>
      </c>
      <c r="E1478" t="s">
        <v>53</v>
      </c>
      <c r="F1478" t="s">
        <v>41</v>
      </c>
      <c r="G1478" t="s">
        <v>37</v>
      </c>
      <c r="H1478" t="s">
        <v>31</v>
      </c>
      <c r="I1478" t="s">
        <v>32</v>
      </c>
      <c r="J1478" s="3">
        <v>85000</v>
      </c>
      <c r="K1478">
        <v>5</v>
      </c>
      <c r="L1478" t="s">
        <v>42</v>
      </c>
      <c r="M1478" s="3">
        <v>68000</v>
      </c>
      <c r="N1478" s="3">
        <f>Table1[[#This Row],[Unit Price]]*Table1[[#This Row],[Quantity]]</f>
        <v>425000</v>
      </c>
      <c r="O1478" s="3">
        <f>Table1[[#This Row],[Cost Price]]*Table1[[#This Row],[Quantity]]</f>
        <v>340000</v>
      </c>
      <c r="P1478" s="3">
        <f>Table1[[#This Row],[Revenue]]-Table1[[#This Row],[COGS]]</f>
        <v>85000</v>
      </c>
      <c r="Q1478" s="1">
        <v>1477</v>
      </c>
    </row>
    <row r="1479" spans="1:17">
      <c r="A1479" t="s">
        <v>165</v>
      </c>
      <c r="B1479" t="str">
        <f>TEXT(Table1[[#This Row],[Date]],"MMMM")</f>
        <v>April</v>
      </c>
      <c r="C1479" t="str">
        <f>TEXT(Table1[[#This Row],[Date]],"DDDD")</f>
        <v>Sunday</v>
      </c>
      <c r="D1479" t="s">
        <v>44</v>
      </c>
      <c r="E1479" t="s">
        <v>53</v>
      </c>
      <c r="F1479" t="s">
        <v>41</v>
      </c>
      <c r="G1479" t="s">
        <v>30</v>
      </c>
      <c r="H1479" t="s">
        <v>50</v>
      </c>
      <c r="I1479" t="s">
        <v>51</v>
      </c>
      <c r="J1479" s="3">
        <v>300000</v>
      </c>
      <c r="K1479">
        <v>5</v>
      </c>
      <c r="L1479" t="s">
        <v>69</v>
      </c>
      <c r="M1479" s="3">
        <v>240000</v>
      </c>
      <c r="N1479" s="3">
        <f>Table1[[#This Row],[Unit Price]]*Table1[[#This Row],[Quantity]]</f>
        <v>1500000</v>
      </c>
      <c r="O1479" s="3">
        <f>Table1[[#This Row],[Cost Price]]*Table1[[#This Row],[Quantity]]</f>
        <v>1200000</v>
      </c>
      <c r="P1479" s="3">
        <f>Table1[[#This Row],[Revenue]]-Table1[[#This Row],[COGS]]</f>
        <v>300000</v>
      </c>
      <c r="Q1479" s="1">
        <v>1478</v>
      </c>
    </row>
    <row r="1480" spans="1:17">
      <c r="A1480" t="s">
        <v>110</v>
      </c>
      <c r="B1480" t="str">
        <f>TEXT(Table1[[#This Row],[Date]],"MMMM")</f>
        <v>January</v>
      </c>
      <c r="C1480" t="str">
        <f>TEXT(Table1[[#This Row],[Date]],"DDDD")</f>
        <v>Thursday</v>
      </c>
      <c r="D1480" t="s">
        <v>44</v>
      </c>
      <c r="E1480" t="s">
        <v>53</v>
      </c>
      <c r="F1480" t="s">
        <v>29</v>
      </c>
      <c r="G1480" t="s">
        <v>37</v>
      </c>
      <c r="H1480" t="s">
        <v>50</v>
      </c>
      <c r="I1480" t="s">
        <v>51</v>
      </c>
      <c r="J1480" s="3">
        <v>300000</v>
      </c>
      <c r="K1480">
        <v>5</v>
      </c>
      <c r="L1480" t="s">
        <v>33</v>
      </c>
      <c r="M1480" s="3">
        <v>240000</v>
      </c>
      <c r="N1480" s="3">
        <f>Table1[[#This Row],[Unit Price]]*Table1[[#This Row],[Quantity]]</f>
        <v>1500000</v>
      </c>
      <c r="O1480" s="3">
        <f>Table1[[#This Row],[Cost Price]]*Table1[[#This Row],[Quantity]]</f>
        <v>1200000</v>
      </c>
      <c r="P1480" s="3">
        <f>Table1[[#This Row],[Revenue]]-Table1[[#This Row],[COGS]]</f>
        <v>300000</v>
      </c>
      <c r="Q1480" s="1">
        <v>1479</v>
      </c>
    </row>
    <row r="1481" spans="1:17">
      <c r="A1481" t="s">
        <v>137</v>
      </c>
      <c r="B1481" t="str">
        <f>TEXT(Table1[[#This Row],[Date]],"MMMM")</f>
        <v>April</v>
      </c>
      <c r="C1481" t="str">
        <f>TEXT(Table1[[#This Row],[Date]],"DDDD")</f>
        <v>Wednesday</v>
      </c>
      <c r="D1481" t="s">
        <v>27</v>
      </c>
      <c r="E1481" t="s">
        <v>36</v>
      </c>
      <c r="F1481" t="s">
        <v>41</v>
      </c>
      <c r="G1481" t="s">
        <v>37</v>
      </c>
      <c r="H1481" t="s">
        <v>38</v>
      </c>
      <c r="I1481" t="s">
        <v>39</v>
      </c>
      <c r="J1481" s="3">
        <v>30000</v>
      </c>
      <c r="K1481">
        <v>10</v>
      </c>
      <c r="L1481" t="s">
        <v>33</v>
      </c>
      <c r="M1481" s="3">
        <v>24000</v>
      </c>
      <c r="N1481" s="3">
        <f>Table1[[#This Row],[Unit Price]]*Table1[[#This Row],[Quantity]]</f>
        <v>300000</v>
      </c>
      <c r="O1481" s="3">
        <f>Table1[[#This Row],[Cost Price]]*Table1[[#This Row],[Quantity]]</f>
        <v>240000</v>
      </c>
      <c r="P1481" s="3">
        <f>Table1[[#This Row],[Revenue]]-Table1[[#This Row],[COGS]]</f>
        <v>60000</v>
      </c>
      <c r="Q1481" s="1">
        <v>1480</v>
      </c>
    </row>
    <row r="1482" spans="1:17">
      <c r="A1482" t="s">
        <v>156</v>
      </c>
      <c r="B1482" t="str">
        <f>TEXT(Table1[[#This Row],[Date]],"MMMM")</f>
        <v>February</v>
      </c>
      <c r="C1482" t="str">
        <f>TEXT(Table1[[#This Row],[Date]],"DDDD")</f>
        <v>Friday</v>
      </c>
      <c r="D1482" t="s">
        <v>44</v>
      </c>
      <c r="E1482" t="s">
        <v>45</v>
      </c>
      <c r="F1482" t="s">
        <v>29</v>
      </c>
      <c r="G1482" t="s">
        <v>30</v>
      </c>
      <c r="H1482" t="s">
        <v>73</v>
      </c>
      <c r="I1482" t="s">
        <v>39</v>
      </c>
      <c r="J1482" s="3">
        <v>220000</v>
      </c>
      <c r="K1482">
        <v>6</v>
      </c>
      <c r="L1482" t="s">
        <v>58</v>
      </c>
      <c r="M1482" s="3">
        <v>176000</v>
      </c>
      <c r="N1482" s="3">
        <f>Table1[[#This Row],[Unit Price]]*Table1[[#This Row],[Quantity]]</f>
        <v>1320000</v>
      </c>
      <c r="O1482" s="3">
        <f>Table1[[#This Row],[Cost Price]]*Table1[[#This Row],[Quantity]]</f>
        <v>1056000</v>
      </c>
      <c r="P1482" s="3">
        <f>Table1[[#This Row],[Revenue]]-Table1[[#This Row],[COGS]]</f>
        <v>264000</v>
      </c>
      <c r="Q1482" s="1">
        <v>1481</v>
      </c>
    </row>
    <row r="1483" spans="1:17">
      <c r="A1483" t="s">
        <v>142</v>
      </c>
      <c r="B1483" t="str">
        <f>TEXT(Table1[[#This Row],[Date]],"MMMM")</f>
        <v>April</v>
      </c>
      <c r="C1483" t="str">
        <f>TEXT(Table1[[#This Row],[Date]],"DDDD")</f>
        <v>Monday</v>
      </c>
      <c r="D1483" t="s">
        <v>27</v>
      </c>
      <c r="E1483" t="s">
        <v>53</v>
      </c>
      <c r="F1483" t="s">
        <v>41</v>
      </c>
      <c r="G1483" t="s">
        <v>30</v>
      </c>
      <c r="H1483" t="s">
        <v>31</v>
      </c>
      <c r="I1483" t="s">
        <v>32</v>
      </c>
      <c r="J1483" s="3">
        <v>85000</v>
      </c>
      <c r="K1483">
        <v>9</v>
      </c>
      <c r="L1483" t="s">
        <v>42</v>
      </c>
      <c r="M1483" s="3">
        <v>68000</v>
      </c>
      <c r="N1483" s="3">
        <f>Table1[[#This Row],[Unit Price]]*Table1[[#This Row],[Quantity]]</f>
        <v>765000</v>
      </c>
      <c r="O1483" s="3">
        <f>Table1[[#This Row],[Cost Price]]*Table1[[#This Row],[Quantity]]</f>
        <v>612000</v>
      </c>
      <c r="P1483" s="3">
        <f>Table1[[#This Row],[Revenue]]-Table1[[#This Row],[COGS]]</f>
        <v>153000</v>
      </c>
      <c r="Q1483" s="1">
        <v>1482</v>
      </c>
    </row>
    <row r="1484" spans="1:17">
      <c r="A1484" t="s">
        <v>127</v>
      </c>
      <c r="B1484" t="str">
        <f>TEXT(Table1[[#This Row],[Date]],"MMMM")</f>
        <v>January</v>
      </c>
      <c r="C1484" t="str">
        <f>TEXT(Table1[[#This Row],[Date]],"DDDD")</f>
        <v>Tuesday</v>
      </c>
      <c r="D1484" t="s">
        <v>35</v>
      </c>
      <c r="E1484" t="s">
        <v>53</v>
      </c>
      <c r="F1484" t="s">
        <v>29</v>
      </c>
      <c r="G1484" t="s">
        <v>30</v>
      </c>
      <c r="H1484" t="s">
        <v>67</v>
      </c>
      <c r="I1484" t="s">
        <v>51</v>
      </c>
      <c r="J1484" s="3">
        <v>420000</v>
      </c>
      <c r="K1484">
        <v>10</v>
      </c>
      <c r="L1484" t="s">
        <v>47</v>
      </c>
      <c r="M1484" s="3">
        <v>336000</v>
      </c>
      <c r="N1484" s="3">
        <f>Table1[[#This Row],[Unit Price]]*Table1[[#This Row],[Quantity]]</f>
        <v>4200000</v>
      </c>
      <c r="O1484" s="3">
        <f>Table1[[#This Row],[Cost Price]]*Table1[[#This Row],[Quantity]]</f>
        <v>3360000</v>
      </c>
      <c r="P1484" s="3">
        <f>Table1[[#This Row],[Revenue]]-Table1[[#This Row],[COGS]]</f>
        <v>840000</v>
      </c>
      <c r="Q1484" s="1">
        <v>1483</v>
      </c>
    </row>
    <row r="1485" spans="1:17">
      <c r="A1485" t="s">
        <v>125</v>
      </c>
      <c r="B1485" t="str">
        <f>TEXT(Table1[[#This Row],[Date]],"MMMM")</f>
        <v>February</v>
      </c>
      <c r="C1485" t="str">
        <f>TEXT(Table1[[#This Row],[Date]],"DDDD")</f>
        <v>Tuesday</v>
      </c>
      <c r="D1485" t="s">
        <v>49</v>
      </c>
      <c r="E1485" t="s">
        <v>28</v>
      </c>
      <c r="F1485" t="s">
        <v>41</v>
      </c>
      <c r="G1485" t="s">
        <v>37</v>
      </c>
      <c r="H1485" t="s">
        <v>67</v>
      </c>
      <c r="I1485" t="s">
        <v>51</v>
      </c>
      <c r="J1485" s="3">
        <v>420000</v>
      </c>
      <c r="K1485">
        <v>1</v>
      </c>
      <c r="L1485" t="s">
        <v>58</v>
      </c>
      <c r="M1485" s="3">
        <v>336000</v>
      </c>
      <c r="N1485" s="3">
        <f>Table1[[#This Row],[Unit Price]]*Table1[[#This Row],[Quantity]]</f>
        <v>420000</v>
      </c>
      <c r="O1485" s="3">
        <f>Table1[[#This Row],[Cost Price]]*Table1[[#This Row],[Quantity]]</f>
        <v>336000</v>
      </c>
      <c r="P1485" s="3">
        <f>Table1[[#This Row],[Revenue]]-Table1[[#This Row],[COGS]]</f>
        <v>84000</v>
      </c>
      <c r="Q1485" s="1">
        <v>1484</v>
      </c>
    </row>
    <row r="1486" spans="1:17">
      <c r="A1486" t="s">
        <v>48</v>
      </c>
      <c r="B1486" t="str">
        <f>TEXT(Table1[[#This Row],[Date]],"MMMM")</f>
        <v>April</v>
      </c>
      <c r="C1486" t="str">
        <f>TEXT(Table1[[#This Row],[Date]],"DDDD")</f>
        <v>Sunday</v>
      </c>
      <c r="D1486" t="s">
        <v>27</v>
      </c>
      <c r="E1486" t="s">
        <v>36</v>
      </c>
      <c r="F1486" t="s">
        <v>29</v>
      </c>
      <c r="G1486" t="s">
        <v>37</v>
      </c>
      <c r="H1486" t="s">
        <v>46</v>
      </c>
      <c r="I1486" t="s">
        <v>39</v>
      </c>
      <c r="J1486" s="3">
        <v>60000</v>
      </c>
      <c r="K1486">
        <v>6</v>
      </c>
      <c r="L1486" t="s">
        <v>47</v>
      </c>
      <c r="M1486" s="3">
        <v>48000</v>
      </c>
      <c r="N1486" s="3">
        <f>Table1[[#This Row],[Unit Price]]*Table1[[#This Row],[Quantity]]</f>
        <v>360000</v>
      </c>
      <c r="O1486" s="3">
        <f>Table1[[#This Row],[Cost Price]]*Table1[[#This Row],[Quantity]]</f>
        <v>288000</v>
      </c>
      <c r="P1486" s="3">
        <f>Table1[[#This Row],[Revenue]]-Table1[[#This Row],[COGS]]</f>
        <v>72000</v>
      </c>
      <c r="Q1486" s="1">
        <v>1485</v>
      </c>
    </row>
    <row r="1487" spans="1:17">
      <c r="A1487" t="s">
        <v>128</v>
      </c>
      <c r="B1487" t="str">
        <f>TEXT(Table1[[#This Row],[Date]],"MMMM")</f>
        <v>March</v>
      </c>
      <c r="C1487" t="str">
        <f>TEXT(Table1[[#This Row],[Date]],"DDDD")</f>
        <v>Friday</v>
      </c>
      <c r="D1487" t="s">
        <v>44</v>
      </c>
      <c r="E1487" t="s">
        <v>53</v>
      </c>
      <c r="F1487" t="s">
        <v>29</v>
      </c>
      <c r="G1487" t="s">
        <v>37</v>
      </c>
      <c r="H1487" t="s">
        <v>62</v>
      </c>
      <c r="I1487" t="s">
        <v>51</v>
      </c>
      <c r="J1487" s="3">
        <v>150000</v>
      </c>
      <c r="K1487">
        <v>1</v>
      </c>
      <c r="L1487" t="s">
        <v>47</v>
      </c>
      <c r="M1487" s="3">
        <v>120000</v>
      </c>
      <c r="N1487" s="3">
        <f>Table1[[#This Row],[Unit Price]]*Table1[[#This Row],[Quantity]]</f>
        <v>150000</v>
      </c>
      <c r="O1487" s="3">
        <f>Table1[[#This Row],[Cost Price]]*Table1[[#This Row],[Quantity]]</f>
        <v>120000</v>
      </c>
      <c r="P1487" s="3">
        <f>Table1[[#This Row],[Revenue]]-Table1[[#This Row],[COGS]]</f>
        <v>30000</v>
      </c>
      <c r="Q1487" s="1">
        <v>1486</v>
      </c>
    </row>
    <row r="1488" spans="1:17">
      <c r="A1488" t="s">
        <v>91</v>
      </c>
      <c r="B1488" t="str">
        <f>TEXT(Table1[[#This Row],[Date]],"MMMM")</f>
        <v>February</v>
      </c>
      <c r="C1488" t="str">
        <f>TEXT(Table1[[#This Row],[Date]],"DDDD")</f>
        <v>Friday</v>
      </c>
      <c r="D1488" t="s">
        <v>49</v>
      </c>
      <c r="E1488" t="s">
        <v>45</v>
      </c>
      <c r="F1488" t="s">
        <v>29</v>
      </c>
      <c r="G1488" t="s">
        <v>30</v>
      </c>
      <c r="H1488" t="s">
        <v>71</v>
      </c>
      <c r="I1488" t="s">
        <v>51</v>
      </c>
      <c r="J1488" s="3">
        <v>250000</v>
      </c>
      <c r="K1488">
        <v>5</v>
      </c>
      <c r="L1488" t="s">
        <v>47</v>
      </c>
      <c r="M1488" s="3">
        <v>200000</v>
      </c>
      <c r="N1488" s="3">
        <f>Table1[[#This Row],[Unit Price]]*Table1[[#This Row],[Quantity]]</f>
        <v>1250000</v>
      </c>
      <c r="O1488" s="3">
        <f>Table1[[#This Row],[Cost Price]]*Table1[[#This Row],[Quantity]]</f>
        <v>1000000</v>
      </c>
      <c r="P1488" s="3">
        <f>Table1[[#This Row],[Revenue]]-Table1[[#This Row],[COGS]]</f>
        <v>250000</v>
      </c>
      <c r="Q1488" s="1">
        <v>1487</v>
      </c>
    </row>
    <row r="1489" spans="1:17">
      <c r="A1489" t="s">
        <v>121</v>
      </c>
      <c r="B1489" t="str">
        <f>TEXT(Table1[[#This Row],[Date]],"MMMM")</f>
        <v>April</v>
      </c>
      <c r="C1489" t="str">
        <f>TEXT(Table1[[#This Row],[Date]],"DDDD")</f>
        <v>Wednesday</v>
      </c>
      <c r="D1489" t="s">
        <v>35</v>
      </c>
      <c r="E1489" t="s">
        <v>53</v>
      </c>
      <c r="F1489" t="s">
        <v>29</v>
      </c>
      <c r="G1489" t="s">
        <v>37</v>
      </c>
      <c r="H1489" t="s">
        <v>73</v>
      </c>
      <c r="I1489" t="s">
        <v>39</v>
      </c>
      <c r="J1489" s="3">
        <v>220000</v>
      </c>
      <c r="K1489">
        <v>5</v>
      </c>
      <c r="L1489" t="s">
        <v>47</v>
      </c>
      <c r="M1489" s="3">
        <v>176000</v>
      </c>
      <c r="N1489" s="3">
        <f>Table1[[#This Row],[Unit Price]]*Table1[[#This Row],[Quantity]]</f>
        <v>1100000</v>
      </c>
      <c r="O1489" s="3">
        <f>Table1[[#This Row],[Cost Price]]*Table1[[#This Row],[Quantity]]</f>
        <v>880000</v>
      </c>
      <c r="P1489" s="3">
        <f>Table1[[#This Row],[Revenue]]-Table1[[#This Row],[COGS]]</f>
        <v>220000</v>
      </c>
      <c r="Q1489" s="1">
        <v>1488</v>
      </c>
    </row>
    <row r="1490" spans="1:17">
      <c r="A1490" t="s">
        <v>43</v>
      </c>
      <c r="B1490" t="str">
        <f>TEXT(Table1[[#This Row],[Date]],"MMMM")</f>
        <v>April</v>
      </c>
      <c r="C1490" t="str">
        <f>TEXT(Table1[[#This Row],[Date]],"DDDD")</f>
        <v>Friday</v>
      </c>
      <c r="D1490" t="s">
        <v>27</v>
      </c>
      <c r="E1490" t="s">
        <v>36</v>
      </c>
      <c r="F1490" t="s">
        <v>41</v>
      </c>
      <c r="G1490" t="s">
        <v>37</v>
      </c>
      <c r="H1490" t="s">
        <v>46</v>
      </c>
      <c r="I1490" t="s">
        <v>39</v>
      </c>
      <c r="J1490" s="3">
        <v>60000</v>
      </c>
      <c r="K1490">
        <v>2</v>
      </c>
      <c r="L1490" t="s">
        <v>47</v>
      </c>
      <c r="M1490" s="3">
        <v>48000</v>
      </c>
      <c r="N1490" s="3">
        <f>Table1[[#This Row],[Unit Price]]*Table1[[#This Row],[Quantity]]</f>
        <v>120000</v>
      </c>
      <c r="O1490" s="3">
        <f>Table1[[#This Row],[Cost Price]]*Table1[[#This Row],[Quantity]]</f>
        <v>96000</v>
      </c>
      <c r="P1490" s="3">
        <f>Table1[[#This Row],[Revenue]]-Table1[[#This Row],[COGS]]</f>
        <v>24000</v>
      </c>
      <c r="Q1490" s="1">
        <v>1489</v>
      </c>
    </row>
    <row r="1491" spans="1:17">
      <c r="A1491" t="s">
        <v>52</v>
      </c>
      <c r="B1491" t="str">
        <f>TEXT(Table1[[#This Row],[Date]],"MMMM")</f>
        <v>March</v>
      </c>
      <c r="C1491" t="str">
        <f>TEXT(Table1[[#This Row],[Date]],"DDDD")</f>
        <v>Saturday</v>
      </c>
      <c r="D1491" t="s">
        <v>35</v>
      </c>
      <c r="E1491" t="s">
        <v>53</v>
      </c>
      <c r="F1491" t="s">
        <v>41</v>
      </c>
      <c r="G1491" t="s">
        <v>37</v>
      </c>
      <c r="H1491" t="s">
        <v>62</v>
      </c>
      <c r="I1491" t="s">
        <v>51</v>
      </c>
      <c r="J1491" s="3">
        <v>150000</v>
      </c>
      <c r="K1491">
        <v>3</v>
      </c>
      <c r="L1491" t="s">
        <v>69</v>
      </c>
      <c r="M1491" s="3">
        <v>120000</v>
      </c>
      <c r="N1491" s="3">
        <f>Table1[[#This Row],[Unit Price]]*Table1[[#This Row],[Quantity]]</f>
        <v>450000</v>
      </c>
      <c r="O1491" s="3">
        <f>Table1[[#This Row],[Cost Price]]*Table1[[#This Row],[Quantity]]</f>
        <v>360000</v>
      </c>
      <c r="P1491" s="3">
        <f>Table1[[#This Row],[Revenue]]-Table1[[#This Row],[COGS]]</f>
        <v>90000</v>
      </c>
      <c r="Q1491" s="1">
        <v>1490</v>
      </c>
    </row>
    <row r="1492" spans="1:17">
      <c r="A1492" t="s">
        <v>40</v>
      </c>
      <c r="B1492" t="str">
        <f>TEXT(Table1[[#This Row],[Date]],"MMMM")</f>
        <v>February</v>
      </c>
      <c r="C1492" t="str">
        <f>TEXT(Table1[[#This Row],[Date]],"DDDD")</f>
        <v>Thursday</v>
      </c>
      <c r="D1492" t="s">
        <v>44</v>
      </c>
      <c r="E1492" t="s">
        <v>36</v>
      </c>
      <c r="F1492" t="s">
        <v>41</v>
      </c>
      <c r="G1492" t="s">
        <v>37</v>
      </c>
      <c r="H1492" t="s">
        <v>31</v>
      </c>
      <c r="I1492" t="s">
        <v>32</v>
      </c>
      <c r="J1492" s="3">
        <v>85000</v>
      </c>
      <c r="K1492">
        <v>3</v>
      </c>
      <c r="L1492" t="s">
        <v>65</v>
      </c>
      <c r="M1492" s="3">
        <v>68000</v>
      </c>
      <c r="N1492" s="3">
        <f>Table1[[#This Row],[Unit Price]]*Table1[[#This Row],[Quantity]]</f>
        <v>255000</v>
      </c>
      <c r="O1492" s="3">
        <f>Table1[[#This Row],[Cost Price]]*Table1[[#This Row],[Quantity]]</f>
        <v>204000</v>
      </c>
      <c r="P1492" s="3">
        <f>Table1[[#This Row],[Revenue]]-Table1[[#This Row],[COGS]]</f>
        <v>51000</v>
      </c>
      <c r="Q1492" s="1">
        <v>1491</v>
      </c>
    </row>
    <row r="1493" spans="1:17">
      <c r="A1493" t="s">
        <v>170</v>
      </c>
      <c r="B1493" t="str">
        <f>TEXT(Table1[[#This Row],[Date]],"MMMM")</f>
        <v>January</v>
      </c>
      <c r="C1493" t="str">
        <f>TEXT(Table1[[#This Row],[Date]],"DDDD")</f>
        <v>Sunday</v>
      </c>
      <c r="D1493" t="s">
        <v>49</v>
      </c>
      <c r="E1493" t="s">
        <v>53</v>
      </c>
      <c r="F1493" t="s">
        <v>29</v>
      </c>
      <c r="G1493" t="s">
        <v>37</v>
      </c>
      <c r="H1493" t="s">
        <v>54</v>
      </c>
      <c r="I1493" t="s">
        <v>39</v>
      </c>
      <c r="J1493" s="3">
        <v>180000</v>
      </c>
      <c r="K1493">
        <v>7</v>
      </c>
      <c r="L1493" t="s">
        <v>69</v>
      </c>
      <c r="M1493" s="3">
        <v>144000</v>
      </c>
      <c r="N1493" s="3">
        <f>Table1[[#This Row],[Unit Price]]*Table1[[#This Row],[Quantity]]</f>
        <v>1260000</v>
      </c>
      <c r="O1493" s="3">
        <f>Table1[[#This Row],[Cost Price]]*Table1[[#This Row],[Quantity]]</f>
        <v>1008000</v>
      </c>
      <c r="P1493" s="3">
        <f>Table1[[#This Row],[Revenue]]-Table1[[#This Row],[COGS]]</f>
        <v>252000</v>
      </c>
      <c r="Q1493" s="1">
        <v>1492</v>
      </c>
    </row>
    <row r="1494" spans="1:17">
      <c r="A1494" t="s">
        <v>59</v>
      </c>
      <c r="B1494" t="str">
        <f>TEXT(Table1[[#This Row],[Date]],"MMMM")</f>
        <v>March</v>
      </c>
      <c r="C1494" t="str">
        <f>TEXT(Table1[[#This Row],[Date]],"DDDD")</f>
        <v>Monday</v>
      </c>
      <c r="D1494" t="s">
        <v>49</v>
      </c>
      <c r="E1494" t="s">
        <v>36</v>
      </c>
      <c r="F1494" t="s">
        <v>41</v>
      </c>
      <c r="G1494" t="s">
        <v>30</v>
      </c>
      <c r="H1494" t="s">
        <v>54</v>
      </c>
      <c r="I1494" t="s">
        <v>39</v>
      </c>
      <c r="J1494" s="3">
        <v>180000</v>
      </c>
      <c r="K1494">
        <v>10</v>
      </c>
      <c r="L1494" t="s">
        <v>65</v>
      </c>
      <c r="M1494" s="3">
        <v>144000</v>
      </c>
      <c r="N1494" s="3">
        <f>Table1[[#This Row],[Unit Price]]*Table1[[#This Row],[Quantity]]</f>
        <v>1800000</v>
      </c>
      <c r="O1494" s="3">
        <f>Table1[[#This Row],[Cost Price]]*Table1[[#This Row],[Quantity]]</f>
        <v>1440000</v>
      </c>
      <c r="P1494" s="3">
        <f>Table1[[#This Row],[Revenue]]-Table1[[#This Row],[COGS]]</f>
        <v>360000</v>
      </c>
      <c r="Q1494" s="1">
        <v>1493</v>
      </c>
    </row>
    <row r="1495" spans="1:17">
      <c r="A1495" t="s">
        <v>34</v>
      </c>
      <c r="B1495" t="str">
        <f>TEXT(Table1[[#This Row],[Date]],"MMMM")</f>
        <v>April</v>
      </c>
      <c r="C1495" t="str">
        <f>TEXT(Table1[[#This Row],[Date]],"DDDD")</f>
        <v>Tuesday</v>
      </c>
      <c r="D1495" t="s">
        <v>49</v>
      </c>
      <c r="E1495" t="s">
        <v>28</v>
      </c>
      <c r="F1495" t="s">
        <v>41</v>
      </c>
      <c r="G1495" t="s">
        <v>37</v>
      </c>
      <c r="H1495" t="s">
        <v>54</v>
      </c>
      <c r="I1495" t="s">
        <v>39</v>
      </c>
      <c r="J1495" s="3">
        <v>180000</v>
      </c>
      <c r="K1495">
        <v>1</v>
      </c>
      <c r="L1495" t="s">
        <v>47</v>
      </c>
      <c r="M1495" s="3">
        <v>144000</v>
      </c>
      <c r="N1495" s="3">
        <f>Table1[[#This Row],[Unit Price]]*Table1[[#This Row],[Quantity]]</f>
        <v>180000</v>
      </c>
      <c r="O1495" s="3">
        <f>Table1[[#This Row],[Cost Price]]*Table1[[#This Row],[Quantity]]</f>
        <v>144000</v>
      </c>
      <c r="P1495" s="3">
        <f>Table1[[#This Row],[Revenue]]-Table1[[#This Row],[COGS]]</f>
        <v>36000</v>
      </c>
      <c r="Q1495" s="1">
        <v>1494</v>
      </c>
    </row>
    <row r="1496" spans="1:17">
      <c r="A1496" t="s">
        <v>83</v>
      </c>
      <c r="B1496" t="str">
        <f>TEXT(Table1[[#This Row],[Date]],"MMMM")</f>
        <v>January</v>
      </c>
      <c r="C1496" t="str">
        <f>TEXT(Table1[[#This Row],[Date]],"DDDD")</f>
        <v>Tuesday</v>
      </c>
      <c r="D1496" t="s">
        <v>27</v>
      </c>
      <c r="E1496" t="s">
        <v>53</v>
      </c>
      <c r="F1496" t="s">
        <v>29</v>
      </c>
      <c r="G1496" t="s">
        <v>30</v>
      </c>
      <c r="H1496" t="s">
        <v>56</v>
      </c>
      <c r="I1496" t="s">
        <v>32</v>
      </c>
      <c r="J1496" s="3">
        <v>320000</v>
      </c>
      <c r="K1496">
        <v>5</v>
      </c>
      <c r="L1496" t="s">
        <v>47</v>
      </c>
      <c r="M1496" s="3">
        <v>256000</v>
      </c>
      <c r="N1496" s="3">
        <f>Table1[[#This Row],[Unit Price]]*Table1[[#This Row],[Quantity]]</f>
        <v>1600000</v>
      </c>
      <c r="O1496" s="3">
        <f>Table1[[#This Row],[Cost Price]]*Table1[[#This Row],[Quantity]]</f>
        <v>1280000</v>
      </c>
      <c r="P1496" s="3">
        <f>Table1[[#This Row],[Revenue]]-Table1[[#This Row],[COGS]]</f>
        <v>320000</v>
      </c>
      <c r="Q1496" s="1">
        <v>1495</v>
      </c>
    </row>
    <row r="1497" spans="1:17">
      <c r="A1497" t="s">
        <v>128</v>
      </c>
      <c r="B1497" t="str">
        <f>TEXT(Table1[[#This Row],[Date]],"MMMM")</f>
        <v>March</v>
      </c>
      <c r="C1497" t="str">
        <f>TEXT(Table1[[#This Row],[Date]],"DDDD")</f>
        <v>Friday</v>
      </c>
      <c r="D1497" t="s">
        <v>35</v>
      </c>
      <c r="E1497" t="s">
        <v>36</v>
      </c>
      <c r="F1497" t="s">
        <v>29</v>
      </c>
      <c r="G1497" t="s">
        <v>37</v>
      </c>
      <c r="H1497" t="s">
        <v>67</v>
      </c>
      <c r="I1497" t="s">
        <v>51</v>
      </c>
      <c r="J1497" s="3">
        <v>420000</v>
      </c>
      <c r="K1497">
        <v>5</v>
      </c>
      <c r="L1497" t="s">
        <v>58</v>
      </c>
      <c r="M1497" s="3">
        <v>336000</v>
      </c>
      <c r="N1497" s="3">
        <f>Table1[[#This Row],[Unit Price]]*Table1[[#This Row],[Quantity]]</f>
        <v>2100000</v>
      </c>
      <c r="O1497" s="3">
        <f>Table1[[#This Row],[Cost Price]]*Table1[[#This Row],[Quantity]]</f>
        <v>1680000</v>
      </c>
      <c r="P1497" s="3">
        <f>Table1[[#This Row],[Revenue]]-Table1[[#This Row],[COGS]]</f>
        <v>420000</v>
      </c>
      <c r="Q1497" s="1">
        <v>1496</v>
      </c>
    </row>
    <row r="1498" spans="1:17">
      <c r="A1498" t="s">
        <v>75</v>
      </c>
      <c r="B1498" t="str">
        <f>TEXT(Table1[[#This Row],[Date]],"MMMM")</f>
        <v>March</v>
      </c>
      <c r="C1498" t="str">
        <f>TEXT(Table1[[#This Row],[Date]],"DDDD")</f>
        <v>Monday</v>
      </c>
      <c r="D1498" t="s">
        <v>27</v>
      </c>
      <c r="E1498" t="s">
        <v>45</v>
      </c>
      <c r="F1498" t="s">
        <v>41</v>
      </c>
      <c r="G1498" t="s">
        <v>30</v>
      </c>
      <c r="H1498" t="s">
        <v>54</v>
      </c>
      <c r="I1498" t="s">
        <v>39</v>
      </c>
      <c r="J1498" s="3">
        <v>180000</v>
      </c>
      <c r="K1498">
        <v>2</v>
      </c>
      <c r="L1498" t="s">
        <v>33</v>
      </c>
      <c r="M1498" s="3">
        <v>144000</v>
      </c>
      <c r="N1498" s="3">
        <f>Table1[[#This Row],[Unit Price]]*Table1[[#This Row],[Quantity]]</f>
        <v>360000</v>
      </c>
      <c r="O1498" s="3">
        <f>Table1[[#This Row],[Cost Price]]*Table1[[#This Row],[Quantity]]</f>
        <v>288000</v>
      </c>
      <c r="P1498" s="3">
        <f>Table1[[#This Row],[Revenue]]-Table1[[#This Row],[COGS]]</f>
        <v>72000</v>
      </c>
      <c r="Q1498" s="1">
        <v>1497</v>
      </c>
    </row>
    <row r="1499" spans="1:17">
      <c r="A1499" t="s">
        <v>116</v>
      </c>
      <c r="B1499" t="str">
        <f>TEXT(Table1[[#This Row],[Date]],"MMMM")</f>
        <v>April</v>
      </c>
      <c r="C1499" t="str">
        <f>TEXT(Table1[[#This Row],[Date]],"DDDD")</f>
        <v>Saturday</v>
      </c>
      <c r="D1499" t="s">
        <v>44</v>
      </c>
      <c r="E1499" t="s">
        <v>45</v>
      </c>
      <c r="F1499" t="s">
        <v>29</v>
      </c>
      <c r="G1499" t="s">
        <v>37</v>
      </c>
      <c r="H1499" t="s">
        <v>73</v>
      </c>
      <c r="I1499" t="s">
        <v>39</v>
      </c>
      <c r="J1499" s="3">
        <v>220000</v>
      </c>
      <c r="K1499">
        <v>1</v>
      </c>
      <c r="L1499" t="s">
        <v>42</v>
      </c>
      <c r="M1499" s="3">
        <v>176000</v>
      </c>
      <c r="N1499" s="3">
        <f>Table1[[#This Row],[Unit Price]]*Table1[[#This Row],[Quantity]]</f>
        <v>220000</v>
      </c>
      <c r="O1499" s="3">
        <f>Table1[[#This Row],[Cost Price]]*Table1[[#This Row],[Quantity]]</f>
        <v>176000</v>
      </c>
      <c r="P1499" s="3">
        <f>Table1[[#This Row],[Revenue]]-Table1[[#This Row],[COGS]]</f>
        <v>44000</v>
      </c>
      <c r="Q1499" s="1">
        <v>1498</v>
      </c>
    </row>
    <row r="1500" spans="1:17">
      <c r="A1500" t="s">
        <v>114</v>
      </c>
      <c r="B1500" t="str">
        <f>TEXT(Table1[[#This Row],[Date]],"MMMM")</f>
        <v>April</v>
      </c>
      <c r="C1500" t="str">
        <f>TEXT(Table1[[#This Row],[Date]],"DDDD")</f>
        <v>Sunday</v>
      </c>
      <c r="D1500" t="s">
        <v>27</v>
      </c>
      <c r="E1500" t="s">
        <v>45</v>
      </c>
      <c r="F1500" t="s">
        <v>41</v>
      </c>
      <c r="G1500" t="s">
        <v>30</v>
      </c>
      <c r="H1500" t="s">
        <v>56</v>
      </c>
      <c r="I1500" t="s">
        <v>32</v>
      </c>
      <c r="J1500" s="3">
        <v>320000</v>
      </c>
      <c r="K1500">
        <v>4</v>
      </c>
      <c r="L1500" t="s">
        <v>65</v>
      </c>
      <c r="M1500" s="3">
        <v>256000</v>
      </c>
      <c r="N1500" s="3">
        <f>Table1[[#This Row],[Unit Price]]*Table1[[#This Row],[Quantity]]</f>
        <v>1280000</v>
      </c>
      <c r="O1500" s="3">
        <f>Table1[[#This Row],[Cost Price]]*Table1[[#This Row],[Quantity]]</f>
        <v>1024000</v>
      </c>
      <c r="P1500" s="3">
        <f>Table1[[#This Row],[Revenue]]-Table1[[#This Row],[COGS]]</f>
        <v>256000</v>
      </c>
      <c r="Q1500" s="1">
        <v>1499</v>
      </c>
    </row>
    <row r="1501" spans="1:17">
      <c r="A1501" t="s">
        <v>59</v>
      </c>
      <c r="B1501" t="str">
        <f>TEXT(Table1[[#This Row],[Date]],"MMMM")</f>
        <v>March</v>
      </c>
      <c r="C1501" t="str">
        <f>TEXT(Table1[[#This Row],[Date]],"DDDD")</f>
        <v>Monday</v>
      </c>
      <c r="D1501" t="s">
        <v>44</v>
      </c>
      <c r="E1501" t="s">
        <v>45</v>
      </c>
      <c r="F1501" t="s">
        <v>29</v>
      </c>
      <c r="G1501" t="s">
        <v>30</v>
      </c>
      <c r="H1501" t="s">
        <v>71</v>
      </c>
      <c r="I1501" t="s">
        <v>51</v>
      </c>
      <c r="J1501" s="3">
        <v>250000</v>
      </c>
      <c r="K1501">
        <v>4</v>
      </c>
      <c r="L1501" t="s">
        <v>42</v>
      </c>
      <c r="M1501" s="3">
        <v>200000</v>
      </c>
      <c r="N1501" s="3">
        <f>Table1[[#This Row],[Unit Price]]*Table1[[#This Row],[Quantity]]</f>
        <v>1000000</v>
      </c>
      <c r="O1501" s="3">
        <f>Table1[[#This Row],[Cost Price]]*Table1[[#This Row],[Quantity]]</f>
        <v>800000</v>
      </c>
      <c r="P1501" s="3">
        <f>Table1[[#This Row],[Revenue]]-Table1[[#This Row],[COGS]]</f>
        <v>200000</v>
      </c>
      <c r="Q1501" s="1">
        <v>1500</v>
      </c>
    </row>
    <row r="1502" spans="1:17">
      <c r="A1502" t="s">
        <v>40</v>
      </c>
      <c r="B1502" t="str">
        <f>TEXT(Table1[[#This Row],[Date]],"MMMM")</f>
        <v>February</v>
      </c>
      <c r="C1502" t="str">
        <f>TEXT(Table1[[#This Row],[Date]],"DDDD")</f>
        <v>Thursday</v>
      </c>
      <c r="D1502" t="s">
        <v>44</v>
      </c>
      <c r="E1502" t="s">
        <v>28</v>
      </c>
      <c r="F1502" t="s">
        <v>29</v>
      </c>
      <c r="G1502" t="s">
        <v>37</v>
      </c>
      <c r="H1502" t="s">
        <v>46</v>
      </c>
      <c r="I1502" t="s">
        <v>39</v>
      </c>
      <c r="J1502" s="3">
        <v>60000</v>
      </c>
      <c r="K1502">
        <v>10</v>
      </c>
      <c r="L1502" t="s">
        <v>69</v>
      </c>
      <c r="M1502" s="3">
        <v>48000</v>
      </c>
      <c r="N1502" s="3">
        <f>Table1[[#This Row],[Unit Price]]*Table1[[#This Row],[Quantity]]</f>
        <v>600000</v>
      </c>
      <c r="O1502" s="3">
        <f>Table1[[#This Row],[Cost Price]]*Table1[[#This Row],[Quantity]]</f>
        <v>480000</v>
      </c>
      <c r="P1502" s="3">
        <f>Table1[[#This Row],[Revenue]]-Table1[[#This Row],[COGS]]</f>
        <v>120000</v>
      </c>
      <c r="Q1502" s="1">
        <v>1501</v>
      </c>
    </row>
    <row r="1503" spans="1:17">
      <c r="A1503" t="s">
        <v>134</v>
      </c>
      <c r="B1503" t="str">
        <f>TEXT(Table1[[#This Row],[Date]],"MMMM")</f>
        <v>January</v>
      </c>
      <c r="C1503" t="str">
        <f>TEXT(Table1[[#This Row],[Date]],"DDDD")</f>
        <v>Wednesday</v>
      </c>
      <c r="D1503" t="s">
        <v>35</v>
      </c>
      <c r="E1503" t="s">
        <v>53</v>
      </c>
      <c r="F1503" t="s">
        <v>41</v>
      </c>
      <c r="G1503" t="s">
        <v>30</v>
      </c>
      <c r="H1503" t="s">
        <v>54</v>
      </c>
      <c r="I1503" t="s">
        <v>39</v>
      </c>
      <c r="J1503" s="3">
        <v>180000</v>
      </c>
      <c r="K1503">
        <v>10</v>
      </c>
      <c r="L1503" t="s">
        <v>65</v>
      </c>
      <c r="M1503" s="3">
        <v>144000</v>
      </c>
      <c r="N1503" s="3">
        <f>Table1[[#This Row],[Unit Price]]*Table1[[#This Row],[Quantity]]</f>
        <v>1800000</v>
      </c>
      <c r="O1503" s="3">
        <f>Table1[[#This Row],[Cost Price]]*Table1[[#This Row],[Quantity]]</f>
        <v>1440000</v>
      </c>
      <c r="P1503" s="3">
        <f>Table1[[#This Row],[Revenue]]-Table1[[#This Row],[COGS]]</f>
        <v>360000</v>
      </c>
      <c r="Q1503" s="1">
        <v>1502</v>
      </c>
    </row>
    <row r="1504" spans="1:17">
      <c r="A1504" t="s">
        <v>89</v>
      </c>
      <c r="B1504" t="str">
        <f>TEXT(Table1[[#This Row],[Date]],"MMMM")</f>
        <v>February</v>
      </c>
      <c r="C1504" t="str">
        <f>TEXT(Table1[[#This Row],[Date]],"DDDD")</f>
        <v>Tuesday</v>
      </c>
      <c r="D1504" t="s">
        <v>35</v>
      </c>
      <c r="E1504" t="s">
        <v>45</v>
      </c>
      <c r="F1504" t="s">
        <v>41</v>
      </c>
      <c r="G1504" t="s">
        <v>37</v>
      </c>
      <c r="H1504" t="s">
        <v>50</v>
      </c>
      <c r="I1504" t="s">
        <v>51</v>
      </c>
      <c r="J1504" s="3">
        <v>300000</v>
      </c>
      <c r="K1504">
        <v>5</v>
      </c>
      <c r="L1504" t="s">
        <v>58</v>
      </c>
      <c r="M1504" s="3">
        <v>240000</v>
      </c>
      <c r="N1504" s="3">
        <f>Table1[[#This Row],[Unit Price]]*Table1[[#This Row],[Quantity]]</f>
        <v>1500000</v>
      </c>
      <c r="O1504" s="3">
        <f>Table1[[#This Row],[Cost Price]]*Table1[[#This Row],[Quantity]]</f>
        <v>1200000</v>
      </c>
      <c r="P1504" s="3">
        <f>Table1[[#This Row],[Revenue]]-Table1[[#This Row],[COGS]]</f>
        <v>300000</v>
      </c>
      <c r="Q1504" s="1">
        <v>1503</v>
      </c>
    </row>
    <row r="1505" spans="1:17">
      <c r="A1505" t="s">
        <v>167</v>
      </c>
      <c r="B1505" t="str">
        <f>TEXT(Table1[[#This Row],[Date]],"MMMM")</f>
        <v>April</v>
      </c>
      <c r="C1505" t="str">
        <f>TEXT(Table1[[#This Row],[Date]],"DDDD")</f>
        <v>Wednesday</v>
      </c>
      <c r="D1505" t="s">
        <v>35</v>
      </c>
      <c r="E1505" t="s">
        <v>53</v>
      </c>
      <c r="F1505" t="s">
        <v>29</v>
      </c>
      <c r="G1505" t="s">
        <v>37</v>
      </c>
      <c r="H1505" t="s">
        <v>31</v>
      </c>
      <c r="I1505" t="s">
        <v>32</v>
      </c>
      <c r="J1505" s="3">
        <v>85000</v>
      </c>
      <c r="K1505">
        <v>7</v>
      </c>
      <c r="L1505" t="s">
        <v>65</v>
      </c>
      <c r="M1505" s="3">
        <v>68000</v>
      </c>
      <c r="N1505" s="3">
        <f>Table1[[#This Row],[Unit Price]]*Table1[[#This Row],[Quantity]]</f>
        <v>595000</v>
      </c>
      <c r="O1505" s="3">
        <f>Table1[[#This Row],[Cost Price]]*Table1[[#This Row],[Quantity]]</f>
        <v>476000</v>
      </c>
      <c r="P1505" s="3">
        <f>Table1[[#This Row],[Revenue]]-Table1[[#This Row],[COGS]]</f>
        <v>119000</v>
      </c>
      <c r="Q1505" s="1">
        <v>1504</v>
      </c>
    </row>
    <row r="1506" spans="1:17">
      <c r="A1506" t="s">
        <v>77</v>
      </c>
      <c r="B1506" t="str">
        <f>TEXT(Table1[[#This Row],[Date]],"MMMM")</f>
        <v>April</v>
      </c>
      <c r="C1506" t="str">
        <f>TEXT(Table1[[#This Row],[Date]],"DDDD")</f>
        <v>Friday</v>
      </c>
      <c r="D1506" t="s">
        <v>35</v>
      </c>
      <c r="E1506" t="s">
        <v>28</v>
      </c>
      <c r="F1506" t="s">
        <v>29</v>
      </c>
      <c r="G1506" t="s">
        <v>30</v>
      </c>
      <c r="H1506" t="s">
        <v>54</v>
      </c>
      <c r="I1506" t="s">
        <v>39</v>
      </c>
      <c r="J1506" s="3">
        <v>180000</v>
      </c>
      <c r="K1506">
        <v>5</v>
      </c>
      <c r="L1506" t="s">
        <v>47</v>
      </c>
      <c r="M1506" s="3">
        <v>144000</v>
      </c>
      <c r="N1506" s="3">
        <f>Table1[[#This Row],[Unit Price]]*Table1[[#This Row],[Quantity]]</f>
        <v>900000</v>
      </c>
      <c r="O1506" s="3">
        <f>Table1[[#This Row],[Cost Price]]*Table1[[#This Row],[Quantity]]</f>
        <v>720000</v>
      </c>
      <c r="P1506" s="3">
        <f>Table1[[#This Row],[Revenue]]-Table1[[#This Row],[COGS]]</f>
        <v>180000</v>
      </c>
      <c r="Q1506" s="1">
        <v>1505</v>
      </c>
    </row>
    <row r="1507" spans="1:17">
      <c r="A1507" t="s">
        <v>115</v>
      </c>
      <c r="B1507" t="str">
        <f>TEXT(Table1[[#This Row],[Date]],"MMMM")</f>
        <v>January</v>
      </c>
      <c r="C1507" t="str">
        <f>TEXT(Table1[[#This Row],[Date]],"DDDD")</f>
        <v>Thursday</v>
      </c>
      <c r="D1507" t="s">
        <v>35</v>
      </c>
      <c r="E1507" t="s">
        <v>45</v>
      </c>
      <c r="F1507" t="s">
        <v>41</v>
      </c>
      <c r="G1507" t="s">
        <v>37</v>
      </c>
      <c r="H1507" t="s">
        <v>56</v>
      </c>
      <c r="I1507" t="s">
        <v>32</v>
      </c>
      <c r="J1507" s="3">
        <v>320000</v>
      </c>
      <c r="K1507">
        <v>4</v>
      </c>
      <c r="L1507" t="s">
        <v>42</v>
      </c>
      <c r="M1507" s="3">
        <v>256000</v>
      </c>
      <c r="N1507" s="3">
        <f>Table1[[#This Row],[Unit Price]]*Table1[[#This Row],[Quantity]]</f>
        <v>1280000</v>
      </c>
      <c r="O1507" s="3">
        <f>Table1[[#This Row],[Cost Price]]*Table1[[#This Row],[Quantity]]</f>
        <v>1024000</v>
      </c>
      <c r="P1507" s="3">
        <f>Table1[[#This Row],[Revenue]]-Table1[[#This Row],[COGS]]</f>
        <v>256000</v>
      </c>
      <c r="Q1507" s="1">
        <v>1506</v>
      </c>
    </row>
    <row r="1508" spans="1:17">
      <c r="A1508" t="s">
        <v>128</v>
      </c>
      <c r="B1508" t="str">
        <f>TEXT(Table1[[#This Row],[Date]],"MMMM")</f>
        <v>March</v>
      </c>
      <c r="C1508" t="str">
        <f>TEXT(Table1[[#This Row],[Date]],"DDDD")</f>
        <v>Friday</v>
      </c>
      <c r="D1508" t="s">
        <v>27</v>
      </c>
      <c r="E1508" t="s">
        <v>28</v>
      </c>
      <c r="F1508" t="s">
        <v>41</v>
      </c>
      <c r="G1508" t="s">
        <v>30</v>
      </c>
      <c r="H1508" t="s">
        <v>54</v>
      </c>
      <c r="I1508" t="s">
        <v>39</v>
      </c>
      <c r="J1508" s="3">
        <v>180000</v>
      </c>
      <c r="K1508">
        <v>8</v>
      </c>
      <c r="L1508" t="s">
        <v>47</v>
      </c>
      <c r="M1508" s="3">
        <v>144000</v>
      </c>
      <c r="N1508" s="3">
        <f>Table1[[#This Row],[Unit Price]]*Table1[[#This Row],[Quantity]]</f>
        <v>1440000</v>
      </c>
      <c r="O1508" s="3">
        <f>Table1[[#This Row],[Cost Price]]*Table1[[#This Row],[Quantity]]</f>
        <v>1152000</v>
      </c>
      <c r="P1508" s="3">
        <f>Table1[[#This Row],[Revenue]]-Table1[[#This Row],[COGS]]</f>
        <v>288000</v>
      </c>
      <c r="Q1508" s="1">
        <v>1507</v>
      </c>
    </row>
    <row r="1509" spans="1:17">
      <c r="A1509" t="s">
        <v>147</v>
      </c>
      <c r="B1509" t="str">
        <f>TEXT(Table1[[#This Row],[Date]],"MMMM")</f>
        <v>January</v>
      </c>
      <c r="C1509" t="str">
        <f>TEXT(Table1[[#This Row],[Date]],"DDDD")</f>
        <v>Saturday</v>
      </c>
      <c r="D1509" t="s">
        <v>49</v>
      </c>
      <c r="E1509" t="s">
        <v>45</v>
      </c>
      <c r="F1509" t="s">
        <v>29</v>
      </c>
      <c r="G1509" t="s">
        <v>30</v>
      </c>
      <c r="H1509" t="s">
        <v>38</v>
      </c>
      <c r="I1509" t="s">
        <v>39</v>
      </c>
      <c r="J1509" s="3">
        <v>30000</v>
      </c>
      <c r="K1509">
        <v>3</v>
      </c>
      <c r="L1509" t="s">
        <v>65</v>
      </c>
      <c r="M1509" s="3">
        <v>24000</v>
      </c>
      <c r="N1509" s="3">
        <f>Table1[[#This Row],[Unit Price]]*Table1[[#This Row],[Quantity]]</f>
        <v>90000</v>
      </c>
      <c r="O1509" s="3">
        <f>Table1[[#This Row],[Cost Price]]*Table1[[#This Row],[Quantity]]</f>
        <v>72000</v>
      </c>
      <c r="P1509" s="3">
        <f>Table1[[#This Row],[Revenue]]-Table1[[#This Row],[COGS]]</f>
        <v>18000</v>
      </c>
      <c r="Q1509" s="1">
        <v>1508</v>
      </c>
    </row>
    <row r="1510" spans="1:17">
      <c r="A1510" t="s">
        <v>43</v>
      </c>
      <c r="B1510" t="str">
        <f>TEXT(Table1[[#This Row],[Date]],"MMMM")</f>
        <v>April</v>
      </c>
      <c r="C1510" t="str">
        <f>TEXT(Table1[[#This Row],[Date]],"DDDD")</f>
        <v>Friday</v>
      </c>
      <c r="D1510" t="s">
        <v>49</v>
      </c>
      <c r="E1510" t="s">
        <v>53</v>
      </c>
      <c r="F1510" t="s">
        <v>41</v>
      </c>
      <c r="G1510" t="s">
        <v>37</v>
      </c>
      <c r="H1510" t="s">
        <v>73</v>
      </c>
      <c r="I1510" t="s">
        <v>39</v>
      </c>
      <c r="J1510" s="3">
        <v>220000</v>
      </c>
      <c r="K1510">
        <v>3</v>
      </c>
      <c r="L1510" t="s">
        <v>42</v>
      </c>
      <c r="M1510" s="3">
        <v>176000</v>
      </c>
      <c r="N1510" s="3">
        <f>Table1[[#This Row],[Unit Price]]*Table1[[#This Row],[Quantity]]</f>
        <v>660000</v>
      </c>
      <c r="O1510" s="3">
        <f>Table1[[#This Row],[Cost Price]]*Table1[[#This Row],[Quantity]]</f>
        <v>528000</v>
      </c>
      <c r="P1510" s="3">
        <f>Table1[[#This Row],[Revenue]]-Table1[[#This Row],[COGS]]</f>
        <v>132000</v>
      </c>
      <c r="Q1510" s="1">
        <v>1509</v>
      </c>
    </row>
    <row r="1511" spans="1:17">
      <c r="A1511" t="s">
        <v>163</v>
      </c>
      <c r="B1511" t="str">
        <f>TEXT(Table1[[#This Row],[Date]],"MMMM")</f>
        <v>April</v>
      </c>
      <c r="C1511" t="str">
        <f>TEXT(Table1[[#This Row],[Date]],"DDDD")</f>
        <v>Tuesday</v>
      </c>
      <c r="D1511" t="s">
        <v>35</v>
      </c>
      <c r="E1511" t="s">
        <v>45</v>
      </c>
      <c r="F1511" t="s">
        <v>29</v>
      </c>
      <c r="G1511" t="s">
        <v>30</v>
      </c>
      <c r="H1511" t="s">
        <v>31</v>
      </c>
      <c r="I1511" t="s">
        <v>32</v>
      </c>
      <c r="J1511" s="3">
        <v>85000</v>
      </c>
      <c r="K1511">
        <v>4</v>
      </c>
      <c r="L1511" t="s">
        <v>42</v>
      </c>
      <c r="M1511" s="3">
        <v>68000</v>
      </c>
      <c r="N1511" s="3">
        <f>Table1[[#This Row],[Unit Price]]*Table1[[#This Row],[Quantity]]</f>
        <v>340000</v>
      </c>
      <c r="O1511" s="3">
        <f>Table1[[#This Row],[Cost Price]]*Table1[[#This Row],[Quantity]]</f>
        <v>272000</v>
      </c>
      <c r="P1511" s="3">
        <f>Table1[[#This Row],[Revenue]]-Table1[[#This Row],[COGS]]</f>
        <v>68000</v>
      </c>
      <c r="Q1511" s="1">
        <v>1510</v>
      </c>
    </row>
    <row r="1512" spans="1:17">
      <c r="A1512" t="s">
        <v>154</v>
      </c>
      <c r="B1512" t="str">
        <f>TEXT(Table1[[#This Row],[Date]],"MMMM")</f>
        <v>February</v>
      </c>
      <c r="C1512" t="str">
        <f>TEXT(Table1[[#This Row],[Date]],"DDDD")</f>
        <v>Saturday</v>
      </c>
      <c r="D1512" t="s">
        <v>49</v>
      </c>
      <c r="E1512" t="s">
        <v>36</v>
      </c>
      <c r="F1512" t="s">
        <v>29</v>
      </c>
      <c r="G1512" t="s">
        <v>30</v>
      </c>
      <c r="H1512" t="s">
        <v>54</v>
      </c>
      <c r="I1512" t="s">
        <v>39</v>
      </c>
      <c r="J1512" s="3">
        <v>180000</v>
      </c>
      <c r="K1512">
        <v>6</v>
      </c>
      <c r="L1512" t="s">
        <v>42</v>
      </c>
      <c r="M1512" s="3">
        <v>144000</v>
      </c>
      <c r="N1512" s="3">
        <f>Table1[[#This Row],[Unit Price]]*Table1[[#This Row],[Quantity]]</f>
        <v>1080000</v>
      </c>
      <c r="O1512" s="3">
        <f>Table1[[#This Row],[Cost Price]]*Table1[[#This Row],[Quantity]]</f>
        <v>864000</v>
      </c>
      <c r="P1512" s="3">
        <f>Table1[[#This Row],[Revenue]]-Table1[[#This Row],[COGS]]</f>
        <v>216000</v>
      </c>
      <c r="Q1512" s="1">
        <v>1511</v>
      </c>
    </row>
    <row r="1513" spans="1:17">
      <c r="A1513" t="s">
        <v>98</v>
      </c>
      <c r="B1513" t="str">
        <f>TEXT(Table1[[#This Row],[Date]],"MMMM")</f>
        <v>January</v>
      </c>
      <c r="C1513" t="str">
        <f>TEXT(Table1[[#This Row],[Date]],"DDDD")</f>
        <v>Friday</v>
      </c>
      <c r="D1513" t="s">
        <v>49</v>
      </c>
      <c r="E1513" t="s">
        <v>45</v>
      </c>
      <c r="F1513" t="s">
        <v>41</v>
      </c>
      <c r="G1513" t="s">
        <v>37</v>
      </c>
      <c r="H1513" t="s">
        <v>73</v>
      </c>
      <c r="I1513" t="s">
        <v>39</v>
      </c>
      <c r="J1513" s="3">
        <v>220000</v>
      </c>
      <c r="K1513">
        <v>8</v>
      </c>
      <c r="L1513" t="s">
        <v>33</v>
      </c>
      <c r="M1513" s="3">
        <v>176000</v>
      </c>
      <c r="N1513" s="3">
        <f>Table1[[#This Row],[Unit Price]]*Table1[[#This Row],[Quantity]]</f>
        <v>1760000</v>
      </c>
      <c r="O1513" s="3">
        <f>Table1[[#This Row],[Cost Price]]*Table1[[#This Row],[Quantity]]</f>
        <v>1408000</v>
      </c>
      <c r="P1513" s="3">
        <f>Table1[[#This Row],[Revenue]]-Table1[[#This Row],[COGS]]</f>
        <v>352000</v>
      </c>
      <c r="Q1513" s="1">
        <v>1512</v>
      </c>
    </row>
    <row r="1514" spans="1:17">
      <c r="A1514" t="s">
        <v>136</v>
      </c>
      <c r="B1514" t="str">
        <f>TEXT(Table1[[#This Row],[Date]],"MMMM")</f>
        <v>February</v>
      </c>
      <c r="C1514" t="str">
        <f>TEXT(Table1[[#This Row],[Date]],"DDDD")</f>
        <v>Saturday</v>
      </c>
      <c r="D1514" t="s">
        <v>44</v>
      </c>
      <c r="E1514" t="s">
        <v>36</v>
      </c>
      <c r="F1514" t="s">
        <v>29</v>
      </c>
      <c r="G1514" t="s">
        <v>37</v>
      </c>
      <c r="H1514" t="s">
        <v>62</v>
      </c>
      <c r="I1514" t="s">
        <v>51</v>
      </c>
      <c r="J1514" s="3">
        <v>150000</v>
      </c>
      <c r="K1514">
        <v>1</v>
      </c>
      <c r="L1514" t="s">
        <v>69</v>
      </c>
      <c r="M1514" s="3">
        <v>120000</v>
      </c>
      <c r="N1514" s="3">
        <f>Table1[[#This Row],[Unit Price]]*Table1[[#This Row],[Quantity]]</f>
        <v>150000</v>
      </c>
      <c r="O1514" s="3">
        <f>Table1[[#This Row],[Cost Price]]*Table1[[#This Row],[Quantity]]</f>
        <v>120000</v>
      </c>
      <c r="P1514" s="3">
        <f>Table1[[#This Row],[Revenue]]-Table1[[#This Row],[COGS]]</f>
        <v>30000</v>
      </c>
      <c r="Q1514" s="1">
        <v>1513</v>
      </c>
    </row>
    <row r="1515" spans="1:17">
      <c r="A1515" t="s">
        <v>141</v>
      </c>
      <c r="B1515" t="str">
        <f>TEXT(Table1[[#This Row],[Date]],"MMMM")</f>
        <v>March</v>
      </c>
      <c r="C1515" t="str">
        <f>TEXT(Table1[[#This Row],[Date]],"DDDD")</f>
        <v>Sunday</v>
      </c>
      <c r="D1515" t="s">
        <v>49</v>
      </c>
      <c r="E1515" t="s">
        <v>45</v>
      </c>
      <c r="F1515" t="s">
        <v>41</v>
      </c>
      <c r="G1515" t="s">
        <v>30</v>
      </c>
      <c r="H1515" t="s">
        <v>54</v>
      </c>
      <c r="I1515" t="s">
        <v>39</v>
      </c>
      <c r="J1515" s="3">
        <v>180000</v>
      </c>
      <c r="K1515">
        <v>9</v>
      </c>
      <c r="L1515" t="s">
        <v>58</v>
      </c>
      <c r="M1515" s="3">
        <v>144000</v>
      </c>
      <c r="N1515" s="3">
        <f>Table1[[#This Row],[Unit Price]]*Table1[[#This Row],[Quantity]]</f>
        <v>1620000</v>
      </c>
      <c r="O1515" s="3">
        <f>Table1[[#This Row],[Cost Price]]*Table1[[#This Row],[Quantity]]</f>
        <v>1296000</v>
      </c>
      <c r="P1515" s="3">
        <f>Table1[[#This Row],[Revenue]]-Table1[[#This Row],[COGS]]</f>
        <v>324000</v>
      </c>
      <c r="Q1515" s="1">
        <v>1514</v>
      </c>
    </row>
    <row r="1516" spans="1:17">
      <c r="A1516" t="s">
        <v>121</v>
      </c>
      <c r="B1516" t="str">
        <f>TEXT(Table1[[#This Row],[Date]],"MMMM")</f>
        <v>April</v>
      </c>
      <c r="C1516" t="str">
        <f>TEXT(Table1[[#This Row],[Date]],"DDDD")</f>
        <v>Wednesday</v>
      </c>
      <c r="D1516" t="s">
        <v>49</v>
      </c>
      <c r="E1516" t="s">
        <v>45</v>
      </c>
      <c r="F1516" t="s">
        <v>41</v>
      </c>
      <c r="G1516" t="s">
        <v>37</v>
      </c>
      <c r="H1516" t="s">
        <v>67</v>
      </c>
      <c r="I1516" t="s">
        <v>51</v>
      </c>
      <c r="J1516" s="3">
        <v>420000</v>
      </c>
      <c r="K1516">
        <v>10</v>
      </c>
      <c r="L1516" t="s">
        <v>33</v>
      </c>
      <c r="M1516" s="3">
        <v>336000</v>
      </c>
      <c r="N1516" s="3">
        <f>Table1[[#This Row],[Unit Price]]*Table1[[#This Row],[Quantity]]</f>
        <v>4200000</v>
      </c>
      <c r="O1516" s="3">
        <f>Table1[[#This Row],[Cost Price]]*Table1[[#This Row],[Quantity]]</f>
        <v>3360000</v>
      </c>
      <c r="P1516" s="3">
        <f>Table1[[#This Row],[Revenue]]-Table1[[#This Row],[COGS]]</f>
        <v>840000</v>
      </c>
      <c r="Q1516" s="1">
        <v>1515</v>
      </c>
    </row>
    <row r="1517" spans="1:17">
      <c r="A1517" t="s">
        <v>59</v>
      </c>
      <c r="B1517" t="str">
        <f>TEXT(Table1[[#This Row],[Date]],"MMMM")</f>
        <v>March</v>
      </c>
      <c r="C1517" t="str">
        <f>TEXT(Table1[[#This Row],[Date]],"DDDD")</f>
        <v>Monday</v>
      </c>
      <c r="D1517" t="s">
        <v>27</v>
      </c>
      <c r="E1517" t="s">
        <v>53</v>
      </c>
      <c r="F1517" t="s">
        <v>29</v>
      </c>
      <c r="G1517" t="s">
        <v>30</v>
      </c>
      <c r="H1517" t="s">
        <v>71</v>
      </c>
      <c r="I1517" t="s">
        <v>51</v>
      </c>
      <c r="J1517" s="3">
        <v>250000</v>
      </c>
      <c r="K1517">
        <v>10</v>
      </c>
      <c r="L1517" t="s">
        <v>33</v>
      </c>
      <c r="M1517" s="3">
        <v>200000</v>
      </c>
      <c r="N1517" s="3">
        <f>Table1[[#This Row],[Unit Price]]*Table1[[#This Row],[Quantity]]</f>
        <v>2500000</v>
      </c>
      <c r="O1517" s="3">
        <f>Table1[[#This Row],[Cost Price]]*Table1[[#This Row],[Quantity]]</f>
        <v>2000000</v>
      </c>
      <c r="P1517" s="3">
        <f>Table1[[#This Row],[Revenue]]-Table1[[#This Row],[COGS]]</f>
        <v>500000</v>
      </c>
      <c r="Q1517" s="1">
        <v>1516</v>
      </c>
    </row>
    <row r="1518" spans="1:17">
      <c r="A1518" t="s">
        <v>78</v>
      </c>
      <c r="B1518" t="str">
        <f>TEXT(Table1[[#This Row],[Date]],"MMMM")</f>
        <v>April</v>
      </c>
      <c r="C1518" t="str">
        <f>TEXT(Table1[[#This Row],[Date]],"DDDD")</f>
        <v>Tuesday</v>
      </c>
      <c r="D1518" t="s">
        <v>35</v>
      </c>
      <c r="E1518" t="s">
        <v>45</v>
      </c>
      <c r="F1518" t="s">
        <v>29</v>
      </c>
      <c r="G1518" t="s">
        <v>37</v>
      </c>
      <c r="H1518" t="s">
        <v>73</v>
      </c>
      <c r="I1518" t="s">
        <v>39</v>
      </c>
      <c r="J1518" s="3">
        <v>220000</v>
      </c>
      <c r="K1518">
        <v>3</v>
      </c>
      <c r="L1518" t="s">
        <v>42</v>
      </c>
      <c r="M1518" s="3">
        <v>176000</v>
      </c>
      <c r="N1518" s="3">
        <f>Table1[[#This Row],[Unit Price]]*Table1[[#This Row],[Quantity]]</f>
        <v>660000</v>
      </c>
      <c r="O1518" s="3">
        <f>Table1[[#This Row],[Cost Price]]*Table1[[#This Row],[Quantity]]</f>
        <v>528000</v>
      </c>
      <c r="P1518" s="3">
        <f>Table1[[#This Row],[Revenue]]-Table1[[#This Row],[COGS]]</f>
        <v>132000</v>
      </c>
      <c r="Q1518" s="1">
        <v>1517</v>
      </c>
    </row>
    <row r="1519" spans="1:17">
      <c r="A1519" t="s">
        <v>139</v>
      </c>
      <c r="B1519" t="str">
        <f>TEXT(Table1[[#This Row],[Date]],"MMMM")</f>
        <v>January</v>
      </c>
      <c r="C1519" t="str">
        <f>TEXT(Table1[[#This Row],[Date]],"DDDD")</f>
        <v>Monday</v>
      </c>
      <c r="D1519" t="s">
        <v>49</v>
      </c>
      <c r="E1519" t="s">
        <v>53</v>
      </c>
      <c r="F1519" t="s">
        <v>29</v>
      </c>
      <c r="G1519" t="s">
        <v>30</v>
      </c>
      <c r="H1519" t="s">
        <v>38</v>
      </c>
      <c r="I1519" t="s">
        <v>39</v>
      </c>
      <c r="J1519" s="3">
        <v>30000</v>
      </c>
      <c r="K1519">
        <v>4</v>
      </c>
      <c r="L1519" t="s">
        <v>58</v>
      </c>
      <c r="M1519" s="3">
        <v>24000</v>
      </c>
      <c r="N1519" s="3">
        <f>Table1[[#This Row],[Unit Price]]*Table1[[#This Row],[Quantity]]</f>
        <v>120000</v>
      </c>
      <c r="O1519" s="3">
        <f>Table1[[#This Row],[Cost Price]]*Table1[[#This Row],[Quantity]]</f>
        <v>96000</v>
      </c>
      <c r="P1519" s="3">
        <f>Table1[[#This Row],[Revenue]]-Table1[[#This Row],[COGS]]</f>
        <v>24000</v>
      </c>
      <c r="Q1519" s="1">
        <v>1518</v>
      </c>
    </row>
    <row r="1520" spans="1:17">
      <c r="A1520" t="s">
        <v>162</v>
      </c>
      <c r="B1520" t="str">
        <f>TEXT(Table1[[#This Row],[Date]],"MMMM")</f>
        <v>April</v>
      </c>
      <c r="C1520" t="str">
        <f>TEXT(Table1[[#This Row],[Date]],"DDDD")</f>
        <v>Tuesday</v>
      </c>
      <c r="D1520" t="s">
        <v>35</v>
      </c>
      <c r="E1520" t="s">
        <v>53</v>
      </c>
      <c r="F1520" t="s">
        <v>29</v>
      </c>
      <c r="G1520" t="s">
        <v>37</v>
      </c>
      <c r="H1520" t="s">
        <v>54</v>
      </c>
      <c r="I1520" t="s">
        <v>39</v>
      </c>
      <c r="J1520" s="3">
        <v>180000</v>
      </c>
      <c r="K1520">
        <v>9</v>
      </c>
      <c r="L1520" t="s">
        <v>58</v>
      </c>
      <c r="M1520" s="3">
        <v>144000</v>
      </c>
      <c r="N1520" s="3">
        <f>Table1[[#This Row],[Unit Price]]*Table1[[#This Row],[Quantity]]</f>
        <v>1620000</v>
      </c>
      <c r="O1520" s="3">
        <f>Table1[[#This Row],[Cost Price]]*Table1[[#This Row],[Quantity]]</f>
        <v>1296000</v>
      </c>
      <c r="P1520" s="3">
        <f>Table1[[#This Row],[Revenue]]-Table1[[#This Row],[COGS]]</f>
        <v>324000</v>
      </c>
      <c r="Q1520" s="1">
        <v>1519</v>
      </c>
    </row>
    <row r="1521" spans="1:17">
      <c r="A1521" t="s">
        <v>174</v>
      </c>
      <c r="B1521" t="str">
        <f>TEXT(Table1[[#This Row],[Date]],"MMMM")</f>
        <v>February</v>
      </c>
      <c r="C1521" t="str">
        <f>TEXT(Table1[[#This Row],[Date]],"DDDD")</f>
        <v>Friday</v>
      </c>
      <c r="D1521" t="s">
        <v>27</v>
      </c>
      <c r="E1521" t="s">
        <v>45</v>
      </c>
      <c r="F1521" t="s">
        <v>29</v>
      </c>
      <c r="G1521" t="s">
        <v>37</v>
      </c>
      <c r="H1521" t="s">
        <v>54</v>
      </c>
      <c r="I1521" t="s">
        <v>39</v>
      </c>
      <c r="J1521" s="3">
        <v>180000</v>
      </c>
      <c r="K1521">
        <v>7</v>
      </c>
      <c r="L1521" t="s">
        <v>58</v>
      </c>
      <c r="M1521" s="3">
        <v>144000</v>
      </c>
      <c r="N1521" s="3">
        <f>Table1[[#This Row],[Unit Price]]*Table1[[#This Row],[Quantity]]</f>
        <v>1260000</v>
      </c>
      <c r="O1521" s="3">
        <f>Table1[[#This Row],[Cost Price]]*Table1[[#This Row],[Quantity]]</f>
        <v>1008000</v>
      </c>
      <c r="P1521" s="3">
        <f>Table1[[#This Row],[Revenue]]-Table1[[#This Row],[COGS]]</f>
        <v>252000</v>
      </c>
      <c r="Q1521" s="1">
        <v>1520</v>
      </c>
    </row>
    <row r="1522" spans="1:17">
      <c r="A1522" t="s">
        <v>90</v>
      </c>
      <c r="B1522" t="str">
        <f>TEXT(Table1[[#This Row],[Date]],"MMMM")</f>
        <v>February</v>
      </c>
      <c r="C1522" t="str">
        <f>TEXT(Table1[[#This Row],[Date]],"DDDD")</f>
        <v>Tuesday</v>
      </c>
      <c r="D1522" t="s">
        <v>35</v>
      </c>
      <c r="E1522" t="s">
        <v>28</v>
      </c>
      <c r="F1522" t="s">
        <v>41</v>
      </c>
      <c r="G1522" t="s">
        <v>37</v>
      </c>
      <c r="H1522" t="s">
        <v>62</v>
      </c>
      <c r="I1522" t="s">
        <v>51</v>
      </c>
      <c r="J1522" s="3">
        <v>150000</v>
      </c>
      <c r="K1522">
        <v>7</v>
      </c>
      <c r="L1522" t="s">
        <v>33</v>
      </c>
      <c r="M1522" s="3">
        <v>120000</v>
      </c>
      <c r="N1522" s="3">
        <f>Table1[[#This Row],[Unit Price]]*Table1[[#This Row],[Quantity]]</f>
        <v>1050000</v>
      </c>
      <c r="O1522" s="3">
        <f>Table1[[#This Row],[Cost Price]]*Table1[[#This Row],[Quantity]]</f>
        <v>840000</v>
      </c>
      <c r="P1522" s="3">
        <f>Table1[[#This Row],[Revenue]]-Table1[[#This Row],[COGS]]</f>
        <v>210000</v>
      </c>
      <c r="Q1522" s="1">
        <v>1521</v>
      </c>
    </row>
    <row r="1523" spans="1:17">
      <c r="A1523" t="s">
        <v>98</v>
      </c>
      <c r="B1523" t="str">
        <f>TEXT(Table1[[#This Row],[Date]],"MMMM")</f>
        <v>January</v>
      </c>
      <c r="C1523" t="str">
        <f>TEXT(Table1[[#This Row],[Date]],"DDDD")</f>
        <v>Friday</v>
      </c>
      <c r="D1523" t="s">
        <v>35</v>
      </c>
      <c r="E1523" t="s">
        <v>53</v>
      </c>
      <c r="F1523" t="s">
        <v>29</v>
      </c>
      <c r="G1523" t="s">
        <v>30</v>
      </c>
      <c r="H1523" t="s">
        <v>38</v>
      </c>
      <c r="I1523" t="s">
        <v>39</v>
      </c>
      <c r="J1523" s="3">
        <v>30000</v>
      </c>
      <c r="K1523">
        <v>4</v>
      </c>
      <c r="L1523" t="s">
        <v>47</v>
      </c>
      <c r="M1523" s="3">
        <v>24000</v>
      </c>
      <c r="N1523" s="3">
        <f>Table1[[#This Row],[Unit Price]]*Table1[[#This Row],[Quantity]]</f>
        <v>120000</v>
      </c>
      <c r="O1523" s="3">
        <f>Table1[[#This Row],[Cost Price]]*Table1[[#This Row],[Quantity]]</f>
        <v>96000</v>
      </c>
      <c r="P1523" s="3">
        <f>Table1[[#This Row],[Revenue]]-Table1[[#This Row],[COGS]]</f>
        <v>24000</v>
      </c>
      <c r="Q1523" s="1">
        <v>1522</v>
      </c>
    </row>
    <row r="1524" spans="1:17">
      <c r="A1524" t="s">
        <v>166</v>
      </c>
      <c r="B1524" t="str">
        <f>TEXT(Table1[[#This Row],[Date]],"MMMM")</f>
        <v>January</v>
      </c>
      <c r="C1524" t="str">
        <f>TEXT(Table1[[#This Row],[Date]],"DDDD")</f>
        <v>Thursday</v>
      </c>
      <c r="D1524" t="s">
        <v>35</v>
      </c>
      <c r="E1524" t="s">
        <v>36</v>
      </c>
      <c r="F1524" t="s">
        <v>29</v>
      </c>
      <c r="G1524" t="s">
        <v>30</v>
      </c>
      <c r="H1524" t="s">
        <v>56</v>
      </c>
      <c r="I1524" t="s">
        <v>32</v>
      </c>
      <c r="J1524" s="3">
        <v>320000</v>
      </c>
      <c r="K1524">
        <v>2</v>
      </c>
      <c r="L1524" t="s">
        <v>58</v>
      </c>
      <c r="M1524" s="3">
        <v>256000</v>
      </c>
      <c r="N1524" s="3">
        <f>Table1[[#This Row],[Unit Price]]*Table1[[#This Row],[Quantity]]</f>
        <v>640000</v>
      </c>
      <c r="O1524" s="3">
        <f>Table1[[#This Row],[Cost Price]]*Table1[[#This Row],[Quantity]]</f>
        <v>512000</v>
      </c>
      <c r="P1524" s="3">
        <f>Table1[[#This Row],[Revenue]]-Table1[[#This Row],[COGS]]</f>
        <v>128000</v>
      </c>
      <c r="Q1524" s="1">
        <v>1523</v>
      </c>
    </row>
    <row r="1525" spans="1:17">
      <c r="A1525" t="s">
        <v>137</v>
      </c>
      <c r="B1525" t="str">
        <f>TEXT(Table1[[#This Row],[Date]],"MMMM")</f>
        <v>April</v>
      </c>
      <c r="C1525" t="str">
        <f>TEXT(Table1[[#This Row],[Date]],"DDDD")</f>
        <v>Wednesday</v>
      </c>
      <c r="D1525" t="s">
        <v>35</v>
      </c>
      <c r="E1525" t="s">
        <v>36</v>
      </c>
      <c r="F1525" t="s">
        <v>41</v>
      </c>
      <c r="G1525" t="s">
        <v>37</v>
      </c>
      <c r="H1525" t="s">
        <v>56</v>
      </c>
      <c r="I1525" t="s">
        <v>32</v>
      </c>
      <c r="J1525" s="3">
        <v>320000</v>
      </c>
      <c r="K1525">
        <v>6</v>
      </c>
      <c r="L1525" t="s">
        <v>65</v>
      </c>
      <c r="M1525" s="3">
        <v>256000</v>
      </c>
      <c r="N1525" s="3">
        <f>Table1[[#This Row],[Unit Price]]*Table1[[#This Row],[Quantity]]</f>
        <v>1920000</v>
      </c>
      <c r="O1525" s="3">
        <f>Table1[[#This Row],[Cost Price]]*Table1[[#This Row],[Quantity]]</f>
        <v>1536000</v>
      </c>
      <c r="P1525" s="3">
        <f>Table1[[#This Row],[Revenue]]-Table1[[#This Row],[COGS]]</f>
        <v>384000</v>
      </c>
      <c r="Q1525" s="1">
        <v>1524</v>
      </c>
    </row>
    <row r="1526" spans="1:17">
      <c r="A1526" t="s">
        <v>78</v>
      </c>
      <c r="B1526" t="str">
        <f>TEXT(Table1[[#This Row],[Date]],"MMMM")</f>
        <v>April</v>
      </c>
      <c r="C1526" t="str">
        <f>TEXT(Table1[[#This Row],[Date]],"DDDD")</f>
        <v>Tuesday</v>
      </c>
      <c r="D1526" t="s">
        <v>35</v>
      </c>
      <c r="E1526" t="s">
        <v>45</v>
      </c>
      <c r="F1526" t="s">
        <v>41</v>
      </c>
      <c r="G1526" t="s">
        <v>37</v>
      </c>
      <c r="H1526" t="s">
        <v>67</v>
      </c>
      <c r="I1526" t="s">
        <v>51</v>
      </c>
      <c r="J1526" s="3">
        <v>420000</v>
      </c>
      <c r="K1526">
        <v>10</v>
      </c>
      <c r="L1526" t="s">
        <v>42</v>
      </c>
      <c r="M1526" s="3">
        <v>336000</v>
      </c>
      <c r="N1526" s="3">
        <f>Table1[[#This Row],[Unit Price]]*Table1[[#This Row],[Quantity]]</f>
        <v>4200000</v>
      </c>
      <c r="O1526" s="3">
        <f>Table1[[#This Row],[Cost Price]]*Table1[[#This Row],[Quantity]]</f>
        <v>3360000</v>
      </c>
      <c r="P1526" s="3">
        <f>Table1[[#This Row],[Revenue]]-Table1[[#This Row],[COGS]]</f>
        <v>840000</v>
      </c>
      <c r="Q1526" s="1">
        <v>1525</v>
      </c>
    </row>
    <row r="1527" spans="1:17">
      <c r="A1527" t="s">
        <v>138</v>
      </c>
      <c r="B1527" t="str">
        <f>TEXT(Table1[[#This Row],[Date]],"MMMM")</f>
        <v>April</v>
      </c>
      <c r="C1527" t="str">
        <f>TEXT(Table1[[#This Row],[Date]],"DDDD")</f>
        <v>Monday</v>
      </c>
      <c r="D1527" t="s">
        <v>44</v>
      </c>
      <c r="E1527" t="s">
        <v>53</v>
      </c>
      <c r="F1527" t="s">
        <v>29</v>
      </c>
      <c r="G1527" t="s">
        <v>30</v>
      </c>
      <c r="H1527" t="s">
        <v>73</v>
      </c>
      <c r="I1527" t="s">
        <v>39</v>
      </c>
      <c r="J1527" s="3">
        <v>220000</v>
      </c>
      <c r="K1527">
        <v>8</v>
      </c>
      <c r="L1527" t="s">
        <v>33</v>
      </c>
      <c r="M1527" s="3">
        <v>176000</v>
      </c>
      <c r="N1527" s="3">
        <f>Table1[[#This Row],[Unit Price]]*Table1[[#This Row],[Quantity]]</f>
        <v>1760000</v>
      </c>
      <c r="O1527" s="3">
        <f>Table1[[#This Row],[Cost Price]]*Table1[[#This Row],[Quantity]]</f>
        <v>1408000</v>
      </c>
      <c r="P1527" s="3">
        <f>Table1[[#This Row],[Revenue]]-Table1[[#This Row],[COGS]]</f>
        <v>352000</v>
      </c>
      <c r="Q1527" s="1">
        <v>1526</v>
      </c>
    </row>
    <row r="1528" spans="1:17">
      <c r="A1528" t="s">
        <v>131</v>
      </c>
      <c r="B1528" t="str">
        <f>TEXT(Table1[[#This Row],[Date]],"MMMM")</f>
        <v>March</v>
      </c>
      <c r="C1528" t="str">
        <f>TEXT(Table1[[#This Row],[Date]],"DDDD")</f>
        <v>Friday</v>
      </c>
      <c r="D1528" t="s">
        <v>35</v>
      </c>
      <c r="E1528" t="s">
        <v>28</v>
      </c>
      <c r="F1528" t="s">
        <v>29</v>
      </c>
      <c r="G1528" t="s">
        <v>30</v>
      </c>
      <c r="H1528" t="s">
        <v>50</v>
      </c>
      <c r="I1528" t="s">
        <v>51</v>
      </c>
      <c r="J1528" s="3">
        <v>300000</v>
      </c>
      <c r="K1528">
        <v>10</v>
      </c>
      <c r="L1528" t="s">
        <v>33</v>
      </c>
      <c r="M1528" s="3">
        <v>240000</v>
      </c>
      <c r="N1528" s="3">
        <f>Table1[[#This Row],[Unit Price]]*Table1[[#This Row],[Quantity]]</f>
        <v>3000000</v>
      </c>
      <c r="O1528" s="3">
        <f>Table1[[#This Row],[Cost Price]]*Table1[[#This Row],[Quantity]]</f>
        <v>2400000</v>
      </c>
      <c r="P1528" s="3">
        <f>Table1[[#This Row],[Revenue]]-Table1[[#This Row],[COGS]]</f>
        <v>600000</v>
      </c>
      <c r="Q1528" s="1">
        <v>1527</v>
      </c>
    </row>
    <row r="1529" spans="1:17">
      <c r="A1529" t="s">
        <v>63</v>
      </c>
      <c r="B1529" t="str">
        <f>TEXT(Table1[[#This Row],[Date]],"MMMM")</f>
        <v>January</v>
      </c>
      <c r="C1529" t="str">
        <f>TEXT(Table1[[#This Row],[Date]],"DDDD")</f>
        <v>Monday</v>
      </c>
      <c r="D1529" t="s">
        <v>44</v>
      </c>
      <c r="E1529" t="s">
        <v>53</v>
      </c>
      <c r="F1529" t="s">
        <v>41</v>
      </c>
      <c r="G1529" t="s">
        <v>37</v>
      </c>
      <c r="H1529" t="s">
        <v>50</v>
      </c>
      <c r="I1529" t="s">
        <v>51</v>
      </c>
      <c r="J1529" s="3">
        <v>300000</v>
      </c>
      <c r="K1529">
        <v>3</v>
      </c>
      <c r="L1529" t="s">
        <v>47</v>
      </c>
      <c r="M1529" s="3">
        <v>240000</v>
      </c>
      <c r="N1529" s="3">
        <f>Table1[[#This Row],[Unit Price]]*Table1[[#This Row],[Quantity]]</f>
        <v>900000</v>
      </c>
      <c r="O1529" s="3">
        <f>Table1[[#This Row],[Cost Price]]*Table1[[#This Row],[Quantity]]</f>
        <v>720000</v>
      </c>
      <c r="P1529" s="3">
        <f>Table1[[#This Row],[Revenue]]-Table1[[#This Row],[COGS]]</f>
        <v>180000</v>
      </c>
      <c r="Q1529" s="1">
        <v>1528</v>
      </c>
    </row>
    <row r="1530" spans="1:17">
      <c r="A1530" t="s">
        <v>125</v>
      </c>
      <c r="B1530" t="str">
        <f>TEXT(Table1[[#This Row],[Date]],"MMMM")</f>
        <v>February</v>
      </c>
      <c r="C1530" t="str">
        <f>TEXT(Table1[[#This Row],[Date]],"DDDD")</f>
        <v>Tuesday</v>
      </c>
      <c r="D1530" t="s">
        <v>49</v>
      </c>
      <c r="E1530" t="s">
        <v>28</v>
      </c>
      <c r="F1530" t="s">
        <v>29</v>
      </c>
      <c r="G1530" t="s">
        <v>30</v>
      </c>
      <c r="H1530" t="s">
        <v>56</v>
      </c>
      <c r="I1530" t="s">
        <v>32</v>
      </c>
      <c r="J1530" s="3">
        <v>320000</v>
      </c>
      <c r="K1530">
        <v>5</v>
      </c>
      <c r="L1530" t="s">
        <v>65</v>
      </c>
      <c r="M1530" s="3">
        <v>256000</v>
      </c>
      <c r="N1530" s="3">
        <f>Table1[[#This Row],[Unit Price]]*Table1[[#This Row],[Quantity]]</f>
        <v>1600000</v>
      </c>
      <c r="O1530" s="3">
        <f>Table1[[#This Row],[Cost Price]]*Table1[[#This Row],[Quantity]]</f>
        <v>1280000</v>
      </c>
      <c r="P1530" s="3">
        <f>Table1[[#This Row],[Revenue]]-Table1[[#This Row],[COGS]]</f>
        <v>320000</v>
      </c>
      <c r="Q1530" s="1">
        <v>1529</v>
      </c>
    </row>
    <row r="1531" spans="1:17">
      <c r="A1531" t="s">
        <v>86</v>
      </c>
      <c r="B1531" t="str">
        <f>TEXT(Table1[[#This Row],[Date]],"MMMM")</f>
        <v>February</v>
      </c>
      <c r="C1531" t="str">
        <f>TEXT(Table1[[#This Row],[Date]],"DDDD")</f>
        <v>Thursday</v>
      </c>
      <c r="D1531" t="s">
        <v>35</v>
      </c>
      <c r="E1531" t="s">
        <v>53</v>
      </c>
      <c r="F1531" t="s">
        <v>29</v>
      </c>
      <c r="G1531" t="s">
        <v>30</v>
      </c>
      <c r="H1531" t="s">
        <v>31</v>
      </c>
      <c r="I1531" t="s">
        <v>32</v>
      </c>
      <c r="J1531" s="3">
        <v>85000</v>
      </c>
      <c r="K1531">
        <v>7</v>
      </c>
      <c r="L1531" t="s">
        <v>33</v>
      </c>
      <c r="M1531" s="3">
        <v>68000</v>
      </c>
      <c r="N1531" s="3">
        <f>Table1[[#This Row],[Unit Price]]*Table1[[#This Row],[Quantity]]</f>
        <v>595000</v>
      </c>
      <c r="O1531" s="3">
        <f>Table1[[#This Row],[Cost Price]]*Table1[[#This Row],[Quantity]]</f>
        <v>476000</v>
      </c>
      <c r="P1531" s="3">
        <f>Table1[[#This Row],[Revenue]]-Table1[[#This Row],[COGS]]</f>
        <v>119000</v>
      </c>
      <c r="Q1531" s="1">
        <v>1530</v>
      </c>
    </row>
    <row r="1532" spans="1:17">
      <c r="A1532" t="s">
        <v>156</v>
      </c>
      <c r="B1532" t="str">
        <f>TEXT(Table1[[#This Row],[Date]],"MMMM")</f>
        <v>February</v>
      </c>
      <c r="C1532" t="str">
        <f>TEXT(Table1[[#This Row],[Date]],"DDDD")</f>
        <v>Friday</v>
      </c>
      <c r="D1532" t="s">
        <v>27</v>
      </c>
      <c r="E1532" t="s">
        <v>45</v>
      </c>
      <c r="F1532" t="s">
        <v>29</v>
      </c>
      <c r="G1532" t="s">
        <v>37</v>
      </c>
      <c r="H1532" t="s">
        <v>73</v>
      </c>
      <c r="I1532" t="s">
        <v>39</v>
      </c>
      <c r="J1532" s="3">
        <v>220000</v>
      </c>
      <c r="K1532">
        <v>2</v>
      </c>
      <c r="L1532" t="s">
        <v>65</v>
      </c>
      <c r="M1532" s="3">
        <v>176000</v>
      </c>
      <c r="N1532" s="3">
        <f>Table1[[#This Row],[Unit Price]]*Table1[[#This Row],[Quantity]]</f>
        <v>440000</v>
      </c>
      <c r="O1532" s="3">
        <f>Table1[[#This Row],[Cost Price]]*Table1[[#This Row],[Quantity]]</f>
        <v>352000</v>
      </c>
      <c r="P1532" s="3">
        <f>Table1[[#This Row],[Revenue]]-Table1[[#This Row],[COGS]]</f>
        <v>88000</v>
      </c>
      <c r="Q1532" s="1">
        <v>1531</v>
      </c>
    </row>
    <row r="1533" spans="1:17">
      <c r="A1533" t="s">
        <v>135</v>
      </c>
      <c r="B1533" t="str">
        <f>TEXT(Table1[[#This Row],[Date]],"MMMM")</f>
        <v>March</v>
      </c>
      <c r="C1533" t="str">
        <f>TEXT(Table1[[#This Row],[Date]],"DDDD")</f>
        <v>Sunday</v>
      </c>
      <c r="D1533" t="s">
        <v>49</v>
      </c>
      <c r="E1533" t="s">
        <v>53</v>
      </c>
      <c r="F1533" t="s">
        <v>29</v>
      </c>
      <c r="G1533" t="s">
        <v>37</v>
      </c>
      <c r="H1533" t="s">
        <v>50</v>
      </c>
      <c r="I1533" t="s">
        <v>51</v>
      </c>
      <c r="J1533" s="3">
        <v>300000</v>
      </c>
      <c r="K1533">
        <v>2</v>
      </c>
      <c r="L1533" t="s">
        <v>47</v>
      </c>
      <c r="M1533" s="3">
        <v>240000</v>
      </c>
      <c r="N1533" s="3">
        <f>Table1[[#This Row],[Unit Price]]*Table1[[#This Row],[Quantity]]</f>
        <v>600000</v>
      </c>
      <c r="O1533" s="3">
        <f>Table1[[#This Row],[Cost Price]]*Table1[[#This Row],[Quantity]]</f>
        <v>480000</v>
      </c>
      <c r="P1533" s="3">
        <f>Table1[[#This Row],[Revenue]]-Table1[[#This Row],[COGS]]</f>
        <v>120000</v>
      </c>
      <c r="Q1533" s="1">
        <v>1532</v>
      </c>
    </row>
    <row r="1534" spans="1:17">
      <c r="A1534" t="s">
        <v>156</v>
      </c>
      <c r="B1534" t="str">
        <f>TEXT(Table1[[#This Row],[Date]],"MMMM")</f>
        <v>February</v>
      </c>
      <c r="C1534" t="str">
        <f>TEXT(Table1[[#This Row],[Date]],"DDDD")</f>
        <v>Friday</v>
      </c>
      <c r="D1534" t="s">
        <v>44</v>
      </c>
      <c r="E1534" t="s">
        <v>36</v>
      </c>
      <c r="F1534" t="s">
        <v>41</v>
      </c>
      <c r="G1534" t="s">
        <v>30</v>
      </c>
      <c r="H1534" t="s">
        <v>31</v>
      </c>
      <c r="I1534" t="s">
        <v>32</v>
      </c>
      <c r="J1534" s="3">
        <v>85000</v>
      </c>
      <c r="K1534">
        <v>3</v>
      </c>
      <c r="L1534" t="s">
        <v>42</v>
      </c>
      <c r="M1534" s="3">
        <v>68000</v>
      </c>
      <c r="N1534" s="3">
        <f>Table1[[#This Row],[Unit Price]]*Table1[[#This Row],[Quantity]]</f>
        <v>255000</v>
      </c>
      <c r="O1534" s="3">
        <f>Table1[[#This Row],[Cost Price]]*Table1[[#This Row],[Quantity]]</f>
        <v>204000</v>
      </c>
      <c r="P1534" s="3">
        <f>Table1[[#This Row],[Revenue]]-Table1[[#This Row],[COGS]]</f>
        <v>51000</v>
      </c>
      <c r="Q1534" s="1">
        <v>1533</v>
      </c>
    </row>
    <row r="1535" spans="1:17">
      <c r="A1535" t="s">
        <v>26</v>
      </c>
      <c r="B1535" t="str">
        <f>TEXT(Table1[[#This Row],[Date]],"MMMM")</f>
        <v>January</v>
      </c>
      <c r="C1535" t="str">
        <f>TEXT(Table1[[#This Row],[Date]],"DDDD")</f>
        <v>Sunday</v>
      </c>
      <c r="D1535" t="s">
        <v>49</v>
      </c>
      <c r="E1535" t="s">
        <v>53</v>
      </c>
      <c r="F1535" t="s">
        <v>29</v>
      </c>
      <c r="G1535" t="s">
        <v>37</v>
      </c>
      <c r="H1535" t="s">
        <v>73</v>
      </c>
      <c r="I1535" t="s">
        <v>39</v>
      </c>
      <c r="J1535" s="3">
        <v>220000</v>
      </c>
      <c r="K1535">
        <v>7</v>
      </c>
      <c r="L1535" t="s">
        <v>65</v>
      </c>
      <c r="M1535" s="3">
        <v>176000</v>
      </c>
      <c r="N1535" s="3">
        <f>Table1[[#This Row],[Unit Price]]*Table1[[#This Row],[Quantity]]</f>
        <v>1540000</v>
      </c>
      <c r="O1535" s="3">
        <f>Table1[[#This Row],[Cost Price]]*Table1[[#This Row],[Quantity]]</f>
        <v>1232000</v>
      </c>
      <c r="P1535" s="3">
        <f>Table1[[#This Row],[Revenue]]-Table1[[#This Row],[COGS]]</f>
        <v>308000</v>
      </c>
      <c r="Q1535" s="1">
        <v>1534</v>
      </c>
    </row>
    <row r="1536" spans="1:17">
      <c r="A1536" t="s">
        <v>161</v>
      </c>
      <c r="B1536" t="str">
        <f>TEXT(Table1[[#This Row],[Date]],"MMMM")</f>
        <v>March</v>
      </c>
      <c r="C1536" t="str">
        <f>TEXT(Table1[[#This Row],[Date]],"DDDD")</f>
        <v>Thursday</v>
      </c>
      <c r="D1536" t="s">
        <v>35</v>
      </c>
      <c r="E1536" t="s">
        <v>45</v>
      </c>
      <c r="F1536" t="s">
        <v>41</v>
      </c>
      <c r="G1536" t="s">
        <v>30</v>
      </c>
      <c r="H1536" t="s">
        <v>62</v>
      </c>
      <c r="I1536" t="s">
        <v>51</v>
      </c>
      <c r="J1536" s="3">
        <v>150000</v>
      </c>
      <c r="K1536">
        <v>3</v>
      </c>
      <c r="L1536" t="s">
        <v>47</v>
      </c>
      <c r="M1536" s="3">
        <v>120000</v>
      </c>
      <c r="N1536" s="3">
        <f>Table1[[#This Row],[Unit Price]]*Table1[[#This Row],[Quantity]]</f>
        <v>450000</v>
      </c>
      <c r="O1536" s="3">
        <f>Table1[[#This Row],[Cost Price]]*Table1[[#This Row],[Quantity]]</f>
        <v>360000</v>
      </c>
      <c r="P1536" s="3">
        <f>Table1[[#This Row],[Revenue]]-Table1[[#This Row],[COGS]]</f>
        <v>90000</v>
      </c>
      <c r="Q1536" s="1">
        <v>1535</v>
      </c>
    </row>
    <row r="1537" spans="1:17">
      <c r="A1537" t="s">
        <v>176</v>
      </c>
      <c r="B1537" t="str">
        <f>TEXT(Table1[[#This Row],[Date]],"MMMM")</f>
        <v>January</v>
      </c>
      <c r="C1537" t="str">
        <f>TEXT(Table1[[#This Row],[Date]],"DDDD")</f>
        <v>Saturday</v>
      </c>
      <c r="D1537" t="s">
        <v>35</v>
      </c>
      <c r="E1537" t="s">
        <v>36</v>
      </c>
      <c r="F1537" t="s">
        <v>29</v>
      </c>
      <c r="G1537" t="s">
        <v>37</v>
      </c>
      <c r="H1537" t="s">
        <v>67</v>
      </c>
      <c r="I1537" t="s">
        <v>51</v>
      </c>
      <c r="J1537" s="3">
        <v>420000</v>
      </c>
      <c r="K1537">
        <v>10</v>
      </c>
      <c r="L1537" t="s">
        <v>65</v>
      </c>
      <c r="M1537" s="3">
        <v>336000</v>
      </c>
      <c r="N1537" s="3">
        <f>Table1[[#This Row],[Unit Price]]*Table1[[#This Row],[Quantity]]</f>
        <v>4200000</v>
      </c>
      <c r="O1537" s="3">
        <f>Table1[[#This Row],[Cost Price]]*Table1[[#This Row],[Quantity]]</f>
        <v>3360000</v>
      </c>
      <c r="P1537" s="3">
        <f>Table1[[#This Row],[Revenue]]-Table1[[#This Row],[COGS]]</f>
        <v>840000</v>
      </c>
      <c r="Q1537" s="1">
        <v>1536</v>
      </c>
    </row>
    <row r="1538" spans="1:17">
      <c r="A1538" t="s">
        <v>144</v>
      </c>
      <c r="B1538" t="str">
        <f>TEXT(Table1[[#This Row],[Date]],"MMMM")</f>
        <v>February</v>
      </c>
      <c r="C1538" t="str">
        <f>TEXT(Table1[[#This Row],[Date]],"DDDD")</f>
        <v>Friday</v>
      </c>
      <c r="D1538" t="s">
        <v>49</v>
      </c>
      <c r="E1538" t="s">
        <v>36</v>
      </c>
      <c r="F1538" t="s">
        <v>29</v>
      </c>
      <c r="G1538" t="s">
        <v>37</v>
      </c>
      <c r="H1538" t="s">
        <v>46</v>
      </c>
      <c r="I1538" t="s">
        <v>39</v>
      </c>
      <c r="J1538" s="3">
        <v>60000</v>
      </c>
      <c r="K1538">
        <v>3</v>
      </c>
      <c r="L1538" t="s">
        <v>58</v>
      </c>
      <c r="M1538" s="3">
        <v>48000</v>
      </c>
      <c r="N1538" s="3">
        <f>Table1[[#This Row],[Unit Price]]*Table1[[#This Row],[Quantity]]</f>
        <v>180000</v>
      </c>
      <c r="O1538" s="3">
        <f>Table1[[#This Row],[Cost Price]]*Table1[[#This Row],[Quantity]]</f>
        <v>144000</v>
      </c>
      <c r="P1538" s="3">
        <f>Table1[[#This Row],[Revenue]]-Table1[[#This Row],[COGS]]</f>
        <v>36000</v>
      </c>
      <c r="Q1538" s="1">
        <v>1537</v>
      </c>
    </row>
    <row r="1539" spans="1:17">
      <c r="A1539" t="s">
        <v>127</v>
      </c>
      <c r="B1539" t="str">
        <f>TEXT(Table1[[#This Row],[Date]],"MMMM")</f>
        <v>January</v>
      </c>
      <c r="C1539" t="str">
        <f>TEXT(Table1[[#This Row],[Date]],"DDDD")</f>
        <v>Tuesday</v>
      </c>
      <c r="D1539" t="s">
        <v>35</v>
      </c>
      <c r="E1539" t="s">
        <v>36</v>
      </c>
      <c r="F1539" t="s">
        <v>41</v>
      </c>
      <c r="G1539" t="s">
        <v>30</v>
      </c>
      <c r="H1539" t="s">
        <v>50</v>
      </c>
      <c r="I1539" t="s">
        <v>51</v>
      </c>
      <c r="J1539" s="3">
        <v>300000</v>
      </c>
      <c r="K1539">
        <v>9</v>
      </c>
      <c r="L1539" t="s">
        <v>42</v>
      </c>
      <c r="M1539" s="3">
        <v>240000</v>
      </c>
      <c r="N1539" s="3">
        <f>Table1[[#This Row],[Unit Price]]*Table1[[#This Row],[Quantity]]</f>
        <v>2700000</v>
      </c>
      <c r="O1539" s="3">
        <f>Table1[[#This Row],[Cost Price]]*Table1[[#This Row],[Quantity]]</f>
        <v>2160000</v>
      </c>
      <c r="P1539" s="3">
        <f>Table1[[#This Row],[Revenue]]-Table1[[#This Row],[COGS]]</f>
        <v>540000</v>
      </c>
      <c r="Q1539" s="1">
        <v>1538</v>
      </c>
    </row>
    <row r="1540" spans="1:17">
      <c r="A1540" t="s">
        <v>74</v>
      </c>
      <c r="B1540" t="str">
        <f>TEXT(Table1[[#This Row],[Date]],"MMMM")</f>
        <v>February</v>
      </c>
      <c r="C1540" t="str">
        <f>TEXT(Table1[[#This Row],[Date]],"DDDD")</f>
        <v>Monday</v>
      </c>
      <c r="D1540" t="s">
        <v>44</v>
      </c>
      <c r="E1540" t="s">
        <v>36</v>
      </c>
      <c r="F1540" t="s">
        <v>41</v>
      </c>
      <c r="G1540" t="s">
        <v>30</v>
      </c>
      <c r="H1540" t="s">
        <v>46</v>
      </c>
      <c r="I1540" t="s">
        <v>39</v>
      </c>
      <c r="J1540" s="3">
        <v>60000</v>
      </c>
      <c r="K1540">
        <v>7</v>
      </c>
      <c r="L1540" t="s">
        <v>33</v>
      </c>
      <c r="M1540" s="3">
        <v>48000</v>
      </c>
      <c r="N1540" s="3">
        <f>Table1[[#This Row],[Unit Price]]*Table1[[#This Row],[Quantity]]</f>
        <v>420000</v>
      </c>
      <c r="O1540" s="3">
        <f>Table1[[#This Row],[Cost Price]]*Table1[[#This Row],[Quantity]]</f>
        <v>336000</v>
      </c>
      <c r="P1540" s="3">
        <f>Table1[[#This Row],[Revenue]]-Table1[[#This Row],[COGS]]</f>
        <v>84000</v>
      </c>
      <c r="Q1540" s="1">
        <v>1539</v>
      </c>
    </row>
    <row r="1541" spans="1:17">
      <c r="A1541" t="s">
        <v>102</v>
      </c>
      <c r="B1541" t="str">
        <f>TEXT(Table1[[#This Row],[Date]],"MMMM")</f>
        <v>March</v>
      </c>
      <c r="C1541" t="str">
        <f>TEXT(Table1[[#This Row],[Date]],"DDDD")</f>
        <v>Wednesday</v>
      </c>
      <c r="D1541" t="s">
        <v>27</v>
      </c>
      <c r="E1541" t="s">
        <v>28</v>
      </c>
      <c r="F1541" t="s">
        <v>29</v>
      </c>
      <c r="G1541" t="s">
        <v>30</v>
      </c>
      <c r="H1541" t="s">
        <v>56</v>
      </c>
      <c r="I1541" t="s">
        <v>32</v>
      </c>
      <c r="J1541" s="3">
        <v>320000</v>
      </c>
      <c r="K1541">
        <v>3</v>
      </c>
      <c r="L1541" t="s">
        <v>47</v>
      </c>
      <c r="M1541" s="3">
        <v>256000</v>
      </c>
      <c r="N1541" s="3">
        <f>Table1[[#This Row],[Unit Price]]*Table1[[#This Row],[Quantity]]</f>
        <v>960000</v>
      </c>
      <c r="O1541" s="3">
        <f>Table1[[#This Row],[Cost Price]]*Table1[[#This Row],[Quantity]]</f>
        <v>768000</v>
      </c>
      <c r="P1541" s="3">
        <f>Table1[[#This Row],[Revenue]]-Table1[[#This Row],[COGS]]</f>
        <v>192000</v>
      </c>
      <c r="Q1541" s="1">
        <v>1540</v>
      </c>
    </row>
    <row r="1542" spans="1:17">
      <c r="A1542" t="s">
        <v>125</v>
      </c>
      <c r="B1542" t="str">
        <f>TEXT(Table1[[#This Row],[Date]],"MMMM")</f>
        <v>February</v>
      </c>
      <c r="C1542" t="str">
        <f>TEXT(Table1[[#This Row],[Date]],"DDDD")</f>
        <v>Tuesday</v>
      </c>
      <c r="D1542" t="s">
        <v>49</v>
      </c>
      <c r="E1542" t="s">
        <v>36</v>
      </c>
      <c r="F1542" t="s">
        <v>41</v>
      </c>
      <c r="G1542" t="s">
        <v>30</v>
      </c>
      <c r="H1542" t="s">
        <v>73</v>
      </c>
      <c r="I1542" t="s">
        <v>39</v>
      </c>
      <c r="J1542" s="3">
        <v>220000</v>
      </c>
      <c r="K1542">
        <v>5</v>
      </c>
      <c r="L1542" t="s">
        <v>33</v>
      </c>
      <c r="M1542" s="3">
        <v>176000</v>
      </c>
      <c r="N1542" s="3">
        <f>Table1[[#This Row],[Unit Price]]*Table1[[#This Row],[Quantity]]</f>
        <v>1100000</v>
      </c>
      <c r="O1542" s="3">
        <f>Table1[[#This Row],[Cost Price]]*Table1[[#This Row],[Quantity]]</f>
        <v>880000</v>
      </c>
      <c r="P1542" s="3">
        <f>Table1[[#This Row],[Revenue]]-Table1[[#This Row],[COGS]]</f>
        <v>220000</v>
      </c>
      <c r="Q1542" s="1">
        <v>1541</v>
      </c>
    </row>
    <row r="1543" spans="1:17">
      <c r="A1543" t="s">
        <v>154</v>
      </c>
      <c r="B1543" t="str">
        <f>TEXT(Table1[[#This Row],[Date]],"MMMM")</f>
        <v>February</v>
      </c>
      <c r="C1543" t="str">
        <f>TEXT(Table1[[#This Row],[Date]],"DDDD")</f>
        <v>Saturday</v>
      </c>
      <c r="D1543" t="s">
        <v>35</v>
      </c>
      <c r="E1543" t="s">
        <v>36</v>
      </c>
      <c r="F1543" t="s">
        <v>41</v>
      </c>
      <c r="G1543" t="s">
        <v>30</v>
      </c>
      <c r="H1543" t="s">
        <v>73</v>
      </c>
      <c r="I1543" t="s">
        <v>39</v>
      </c>
      <c r="J1543" s="3">
        <v>220000</v>
      </c>
      <c r="K1543">
        <v>2</v>
      </c>
      <c r="L1543" t="s">
        <v>33</v>
      </c>
      <c r="M1543" s="3">
        <v>176000</v>
      </c>
      <c r="N1543" s="3">
        <f>Table1[[#This Row],[Unit Price]]*Table1[[#This Row],[Quantity]]</f>
        <v>440000</v>
      </c>
      <c r="O1543" s="3">
        <f>Table1[[#This Row],[Cost Price]]*Table1[[#This Row],[Quantity]]</f>
        <v>352000</v>
      </c>
      <c r="P1543" s="3">
        <f>Table1[[#This Row],[Revenue]]-Table1[[#This Row],[COGS]]</f>
        <v>88000</v>
      </c>
      <c r="Q1543" s="1">
        <v>1542</v>
      </c>
    </row>
    <row r="1544" spans="1:17">
      <c r="A1544" t="s">
        <v>126</v>
      </c>
      <c r="B1544" t="str">
        <f>TEXT(Table1[[#This Row],[Date]],"MMMM")</f>
        <v>January</v>
      </c>
      <c r="C1544" t="str">
        <f>TEXT(Table1[[#This Row],[Date]],"DDDD")</f>
        <v>Thursday</v>
      </c>
      <c r="D1544" t="s">
        <v>27</v>
      </c>
      <c r="E1544" t="s">
        <v>28</v>
      </c>
      <c r="F1544" t="s">
        <v>29</v>
      </c>
      <c r="G1544" t="s">
        <v>37</v>
      </c>
      <c r="H1544" t="s">
        <v>62</v>
      </c>
      <c r="I1544" t="s">
        <v>51</v>
      </c>
      <c r="J1544" s="3">
        <v>150000</v>
      </c>
      <c r="K1544">
        <v>10</v>
      </c>
      <c r="L1544" t="s">
        <v>42</v>
      </c>
      <c r="M1544" s="3">
        <v>120000</v>
      </c>
      <c r="N1544" s="3">
        <f>Table1[[#This Row],[Unit Price]]*Table1[[#This Row],[Quantity]]</f>
        <v>1500000</v>
      </c>
      <c r="O1544" s="3">
        <f>Table1[[#This Row],[Cost Price]]*Table1[[#This Row],[Quantity]]</f>
        <v>1200000</v>
      </c>
      <c r="P1544" s="3">
        <f>Table1[[#This Row],[Revenue]]-Table1[[#This Row],[COGS]]</f>
        <v>300000</v>
      </c>
      <c r="Q1544" s="1">
        <v>1543</v>
      </c>
    </row>
    <row r="1545" spans="1:17">
      <c r="A1545" t="s">
        <v>138</v>
      </c>
      <c r="B1545" t="str">
        <f>TEXT(Table1[[#This Row],[Date]],"MMMM")</f>
        <v>April</v>
      </c>
      <c r="C1545" t="str">
        <f>TEXT(Table1[[#This Row],[Date]],"DDDD")</f>
        <v>Monday</v>
      </c>
      <c r="D1545" t="s">
        <v>49</v>
      </c>
      <c r="E1545" t="s">
        <v>45</v>
      </c>
      <c r="F1545" t="s">
        <v>29</v>
      </c>
      <c r="G1545" t="s">
        <v>37</v>
      </c>
      <c r="H1545" t="s">
        <v>38</v>
      </c>
      <c r="I1545" t="s">
        <v>39</v>
      </c>
      <c r="J1545" s="3">
        <v>30000</v>
      </c>
      <c r="K1545">
        <v>8</v>
      </c>
      <c r="L1545" t="s">
        <v>69</v>
      </c>
      <c r="M1545" s="3">
        <v>24000</v>
      </c>
      <c r="N1545" s="3">
        <f>Table1[[#This Row],[Unit Price]]*Table1[[#This Row],[Quantity]]</f>
        <v>240000</v>
      </c>
      <c r="O1545" s="3">
        <f>Table1[[#This Row],[Cost Price]]*Table1[[#This Row],[Quantity]]</f>
        <v>192000</v>
      </c>
      <c r="P1545" s="3">
        <f>Table1[[#This Row],[Revenue]]-Table1[[#This Row],[COGS]]</f>
        <v>48000</v>
      </c>
      <c r="Q1545" s="1">
        <v>1544</v>
      </c>
    </row>
    <row r="1546" spans="1:17">
      <c r="A1546" t="s">
        <v>138</v>
      </c>
      <c r="B1546" t="str">
        <f>TEXT(Table1[[#This Row],[Date]],"MMMM")</f>
        <v>April</v>
      </c>
      <c r="C1546" t="str">
        <f>TEXT(Table1[[#This Row],[Date]],"DDDD")</f>
        <v>Monday</v>
      </c>
      <c r="D1546" t="s">
        <v>35</v>
      </c>
      <c r="E1546" t="s">
        <v>36</v>
      </c>
      <c r="F1546" t="s">
        <v>29</v>
      </c>
      <c r="G1546" t="s">
        <v>37</v>
      </c>
      <c r="H1546" t="s">
        <v>38</v>
      </c>
      <c r="I1546" t="s">
        <v>39</v>
      </c>
      <c r="J1546" s="3">
        <v>30000</v>
      </c>
      <c r="K1546">
        <v>9</v>
      </c>
      <c r="L1546" t="s">
        <v>58</v>
      </c>
      <c r="M1546" s="3">
        <v>24000</v>
      </c>
      <c r="N1546" s="3">
        <f>Table1[[#This Row],[Unit Price]]*Table1[[#This Row],[Quantity]]</f>
        <v>270000</v>
      </c>
      <c r="O1546" s="3">
        <f>Table1[[#This Row],[Cost Price]]*Table1[[#This Row],[Quantity]]</f>
        <v>216000</v>
      </c>
      <c r="P1546" s="3">
        <f>Table1[[#This Row],[Revenue]]-Table1[[#This Row],[COGS]]</f>
        <v>54000</v>
      </c>
      <c r="Q1546" s="1">
        <v>1545</v>
      </c>
    </row>
    <row r="1547" spans="1:17">
      <c r="A1547" t="s">
        <v>99</v>
      </c>
      <c r="B1547" t="str">
        <f>TEXT(Table1[[#This Row],[Date]],"MMMM")</f>
        <v>April</v>
      </c>
      <c r="C1547" t="str">
        <f>TEXT(Table1[[#This Row],[Date]],"DDDD")</f>
        <v>Sunday</v>
      </c>
      <c r="D1547" t="s">
        <v>35</v>
      </c>
      <c r="E1547" t="s">
        <v>28</v>
      </c>
      <c r="F1547" t="s">
        <v>29</v>
      </c>
      <c r="G1547" t="s">
        <v>37</v>
      </c>
      <c r="H1547" t="s">
        <v>62</v>
      </c>
      <c r="I1547" t="s">
        <v>51</v>
      </c>
      <c r="J1547" s="3">
        <v>150000</v>
      </c>
      <c r="K1547">
        <v>3</v>
      </c>
      <c r="L1547" t="s">
        <v>42</v>
      </c>
      <c r="M1547" s="3">
        <v>120000</v>
      </c>
      <c r="N1547" s="3">
        <f>Table1[[#This Row],[Unit Price]]*Table1[[#This Row],[Quantity]]</f>
        <v>450000</v>
      </c>
      <c r="O1547" s="3">
        <f>Table1[[#This Row],[Cost Price]]*Table1[[#This Row],[Quantity]]</f>
        <v>360000</v>
      </c>
      <c r="P1547" s="3">
        <f>Table1[[#This Row],[Revenue]]-Table1[[#This Row],[COGS]]</f>
        <v>90000</v>
      </c>
      <c r="Q1547" s="1">
        <v>1546</v>
      </c>
    </row>
    <row r="1548" spans="1:17">
      <c r="A1548" t="s">
        <v>125</v>
      </c>
      <c r="B1548" t="str">
        <f>TEXT(Table1[[#This Row],[Date]],"MMMM")</f>
        <v>February</v>
      </c>
      <c r="C1548" t="str">
        <f>TEXT(Table1[[#This Row],[Date]],"DDDD")</f>
        <v>Tuesday</v>
      </c>
      <c r="D1548" t="s">
        <v>35</v>
      </c>
      <c r="E1548" t="s">
        <v>28</v>
      </c>
      <c r="F1548" t="s">
        <v>41</v>
      </c>
      <c r="G1548" t="s">
        <v>30</v>
      </c>
      <c r="H1548" t="s">
        <v>46</v>
      </c>
      <c r="I1548" t="s">
        <v>39</v>
      </c>
      <c r="J1548" s="3">
        <v>60000</v>
      </c>
      <c r="K1548">
        <v>6</v>
      </c>
      <c r="L1548" t="s">
        <v>47</v>
      </c>
      <c r="M1548" s="3">
        <v>48000</v>
      </c>
      <c r="N1548" s="3">
        <f>Table1[[#This Row],[Unit Price]]*Table1[[#This Row],[Quantity]]</f>
        <v>360000</v>
      </c>
      <c r="O1548" s="3">
        <f>Table1[[#This Row],[Cost Price]]*Table1[[#This Row],[Quantity]]</f>
        <v>288000</v>
      </c>
      <c r="P1548" s="3">
        <f>Table1[[#This Row],[Revenue]]-Table1[[#This Row],[COGS]]</f>
        <v>72000</v>
      </c>
      <c r="Q1548" s="1">
        <v>1547</v>
      </c>
    </row>
    <row r="1549" spans="1:17">
      <c r="A1549" t="s">
        <v>156</v>
      </c>
      <c r="B1549" t="str">
        <f>TEXT(Table1[[#This Row],[Date]],"MMMM")</f>
        <v>February</v>
      </c>
      <c r="C1549" t="str">
        <f>TEXT(Table1[[#This Row],[Date]],"DDDD")</f>
        <v>Friday</v>
      </c>
      <c r="D1549" t="s">
        <v>35</v>
      </c>
      <c r="E1549" t="s">
        <v>28</v>
      </c>
      <c r="F1549" t="s">
        <v>41</v>
      </c>
      <c r="G1549" t="s">
        <v>37</v>
      </c>
      <c r="H1549" t="s">
        <v>71</v>
      </c>
      <c r="I1549" t="s">
        <v>51</v>
      </c>
      <c r="J1549" s="3">
        <v>250000</v>
      </c>
      <c r="K1549">
        <v>1</v>
      </c>
      <c r="L1549" t="s">
        <v>47</v>
      </c>
      <c r="M1549" s="3">
        <v>200000</v>
      </c>
      <c r="N1549" s="3">
        <f>Table1[[#This Row],[Unit Price]]*Table1[[#This Row],[Quantity]]</f>
        <v>250000</v>
      </c>
      <c r="O1549" s="3">
        <f>Table1[[#This Row],[Cost Price]]*Table1[[#This Row],[Quantity]]</f>
        <v>200000</v>
      </c>
      <c r="P1549" s="3">
        <f>Table1[[#This Row],[Revenue]]-Table1[[#This Row],[COGS]]</f>
        <v>50000</v>
      </c>
      <c r="Q1549" s="1">
        <v>1548</v>
      </c>
    </row>
    <row r="1550" spans="1:17">
      <c r="A1550" t="s">
        <v>43</v>
      </c>
      <c r="B1550" t="str">
        <f>TEXT(Table1[[#This Row],[Date]],"MMMM")</f>
        <v>April</v>
      </c>
      <c r="C1550" t="str">
        <f>TEXT(Table1[[#This Row],[Date]],"DDDD")</f>
        <v>Friday</v>
      </c>
      <c r="D1550" t="s">
        <v>27</v>
      </c>
      <c r="E1550" t="s">
        <v>45</v>
      </c>
      <c r="F1550" t="s">
        <v>29</v>
      </c>
      <c r="G1550" t="s">
        <v>37</v>
      </c>
      <c r="H1550" t="s">
        <v>31</v>
      </c>
      <c r="I1550" t="s">
        <v>32</v>
      </c>
      <c r="J1550" s="3">
        <v>85000</v>
      </c>
      <c r="K1550">
        <v>8</v>
      </c>
      <c r="L1550" t="s">
        <v>47</v>
      </c>
      <c r="M1550" s="3">
        <v>68000</v>
      </c>
      <c r="N1550" s="3">
        <f>Table1[[#This Row],[Unit Price]]*Table1[[#This Row],[Quantity]]</f>
        <v>680000</v>
      </c>
      <c r="O1550" s="3">
        <f>Table1[[#This Row],[Cost Price]]*Table1[[#This Row],[Quantity]]</f>
        <v>544000</v>
      </c>
      <c r="P1550" s="3">
        <f>Table1[[#This Row],[Revenue]]-Table1[[#This Row],[COGS]]</f>
        <v>136000</v>
      </c>
      <c r="Q1550" s="1">
        <v>1549</v>
      </c>
    </row>
    <row r="1551" spans="1:17">
      <c r="A1551" t="s">
        <v>80</v>
      </c>
      <c r="B1551" t="str">
        <f>TEXT(Table1[[#This Row],[Date]],"MMMM")</f>
        <v>February</v>
      </c>
      <c r="C1551" t="str">
        <f>TEXT(Table1[[#This Row],[Date]],"DDDD")</f>
        <v>Sunday</v>
      </c>
      <c r="D1551" t="s">
        <v>49</v>
      </c>
      <c r="E1551" t="s">
        <v>28</v>
      </c>
      <c r="F1551" t="s">
        <v>29</v>
      </c>
      <c r="G1551" t="s">
        <v>37</v>
      </c>
      <c r="H1551" t="s">
        <v>54</v>
      </c>
      <c r="I1551" t="s">
        <v>39</v>
      </c>
      <c r="J1551" s="3">
        <v>180000</v>
      </c>
      <c r="K1551">
        <v>8</v>
      </c>
      <c r="L1551" t="s">
        <v>47</v>
      </c>
      <c r="M1551" s="3">
        <v>144000</v>
      </c>
      <c r="N1551" s="3">
        <f>Table1[[#This Row],[Unit Price]]*Table1[[#This Row],[Quantity]]</f>
        <v>1440000</v>
      </c>
      <c r="O1551" s="3">
        <f>Table1[[#This Row],[Cost Price]]*Table1[[#This Row],[Quantity]]</f>
        <v>1152000</v>
      </c>
      <c r="P1551" s="3">
        <f>Table1[[#This Row],[Revenue]]-Table1[[#This Row],[COGS]]</f>
        <v>288000</v>
      </c>
      <c r="Q1551" s="1">
        <v>1550</v>
      </c>
    </row>
    <row r="1552" spans="1:17">
      <c r="A1552" t="s">
        <v>87</v>
      </c>
      <c r="B1552" t="str">
        <f>TEXT(Table1[[#This Row],[Date]],"MMMM")</f>
        <v>March</v>
      </c>
      <c r="C1552" t="str">
        <f>TEXT(Table1[[#This Row],[Date]],"DDDD")</f>
        <v>Thursday</v>
      </c>
      <c r="D1552" t="s">
        <v>35</v>
      </c>
      <c r="E1552" t="s">
        <v>53</v>
      </c>
      <c r="F1552" t="s">
        <v>41</v>
      </c>
      <c r="G1552" t="s">
        <v>37</v>
      </c>
      <c r="H1552" t="s">
        <v>73</v>
      </c>
      <c r="I1552" t="s">
        <v>39</v>
      </c>
      <c r="J1552" s="3">
        <v>220000</v>
      </c>
      <c r="K1552">
        <v>9</v>
      </c>
      <c r="L1552" t="s">
        <v>65</v>
      </c>
      <c r="M1552" s="3">
        <v>176000</v>
      </c>
      <c r="N1552" s="3">
        <f>Table1[[#This Row],[Unit Price]]*Table1[[#This Row],[Quantity]]</f>
        <v>1980000</v>
      </c>
      <c r="O1552" s="3">
        <f>Table1[[#This Row],[Cost Price]]*Table1[[#This Row],[Quantity]]</f>
        <v>1584000</v>
      </c>
      <c r="P1552" s="3">
        <f>Table1[[#This Row],[Revenue]]-Table1[[#This Row],[COGS]]</f>
        <v>396000</v>
      </c>
      <c r="Q1552" s="1">
        <v>1551</v>
      </c>
    </row>
    <row r="1553" spans="1:17">
      <c r="A1553" t="s">
        <v>160</v>
      </c>
      <c r="B1553" t="str">
        <f>TEXT(Table1[[#This Row],[Date]],"MMMM")</f>
        <v>January</v>
      </c>
      <c r="C1553" t="str">
        <f>TEXT(Table1[[#This Row],[Date]],"DDDD")</f>
        <v>Saturday</v>
      </c>
      <c r="D1553" t="s">
        <v>27</v>
      </c>
      <c r="E1553" t="s">
        <v>28</v>
      </c>
      <c r="F1553" t="s">
        <v>29</v>
      </c>
      <c r="G1553" t="s">
        <v>37</v>
      </c>
      <c r="H1553" t="s">
        <v>71</v>
      </c>
      <c r="I1553" t="s">
        <v>51</v>
      </c>
      <c r="J1553" s="3">
        <v>250000</v>
      </c>
      <c r="K1553">
        <v>3</v>
      </c>
      <c r="L1553" t="s">
        <v>47</v>
      </c>
      <c r="M1553" s="3">
        <v>200000</v>
      </c>
      <c r="N1553" s="3">
        <f>Table1[[#This Row],[Unit Price]]*Table1[[#This Row],[Quantity]]</f>
        <v>750000</v>
      </c>
      <c r="O1553" s="3">
        <f>Table1[[#This Row],[Cost Price]]*Table1[[#This Row],[Quantity]]</f>
        <v>600000</v>
      </c>
      <c r="P1553" s="3">
        <f>Table1[[#This Row],[Revenue]]-Table1[[#This Row],[COGS]]</f>
        <v>150000</v>
      </c>
      <c r="Q1553" s="1">
        <v>1552</v>
      </c>
    </row>
    <row r="1554" spans="1:17">
      <c r="A1554" t="s">
        <v>40</v>
      </c>
      <c r="B1554" t="str">
        <f>TEXT(Table1[[#This Row],[Date]],"MMMM")</f>
        <v>February</v>
      </c>
      <c r="C1554" t="str">
        <f>TEXT(Table1[[#This Row],[Date]],"DDDD")</f>
        <v>Thursday</v>
      </c>
      <c r="D1554" t="s">
        <v>49</v>
      </c>
      <c r="E1554" t="s">
        <v>53</v>
      </c>
      <c r="F1554" t="s">
        <v>29</v>
      </c>
      <c r="G1554" t="s">
        <v>30</v>
      </c>
      <c r="H1554" t="s">
        <v>67</v>
      </c>
      <c r="I1554" t="s">
        <v>51</v>
      </c>
      <c r="J1554" s="3">
        <v>420000</v>
      </c>
      <c r="K1554">
        <v>6</v>
      </c>
      <c r="L1554" t="s">
        <v>69</v>
      </c>
      <c r="M1554" s="3">
        <v>336000</v>
      </c>
      <c r="N1554" s="3">
        <f>Table1[[#This Row],[Unit Price]]*Table1[[#This Row],[Quantity]]</f>
        <v>2520000</v>
      </c>
      <c r="O1554" s="3">
        <f>Table1[[#This Row],[Cost Price]]*Table1[[#This Row],[Quantity]]</f>
        <v>2016000</v>
      </c>
      <c r="P1554" s="3">
        <f>Table1[[#This Row],[Revenue]]-Table1[[#This Row],[COGS]]</f>
        <v>504000</v>
      </c>
      <c r="Q1554" s="1">
        <v>1553</v>
      </c>
    </row>
    <row r="1555" spans="1:17">
      <c r="A1555" t="s">
        <v>107</v>
      </c>
      <c r="B1555" t="str">
        <f>TEXT(Table1[[#This Row],[Date]],"MMMM")</f>
        <v>February</v>
      </c>
      <c r="C1555" t="str">
        <f>TEXT(Table1[[#This Row],[Date]],"DDDD")</f>
        <v>Wednesday</v>
      </c>
      <c r="D1555" t="s">
        <v>35</v>
      </c>
      <c r="E1555" t="s">
        <v>36</v>
      </c>
      <c r="F1555" t="s">
        <v>41</v>
      </c>
      <c r="G1555" t="s">
        <v>37</v>
      </c>
      <c r="H1555" t="s">
        <v>54</v>
      </c>
      <c r="I1555" t="s">
        <v>39</v>
      </c>
      <c r="J1555" s="3">
        <v>180000</v>
      </c>
      <c r="K1555">
        <v>3</v>
      </c>
      <c r="L1555" t="s">
        <v>33</v>
      </c>
      <c r="M1555" s="3">
        <v>144000</v>
      </c>
      <c r="N1555" s="3">
        <f>Table1[[#This Row],[Unit Price]]*Table1[[#This Row],[Quantity]]</f>
        <v>540000</v>
      </c>
      <c r="O1555" s="3">
        <f>Table1[[#This Row],[Cost Price]]*Table1[[#This Row],[Quantity]]</f>
        <v>432000</v>
      </c>
      <c r="P1555" s="3">
        <f>Table1[[#This Row],[Revenue]]-Table1[[#This Row],[COGS]]</f>
        <v>108000</v>
      </c>
      <c r="Q1555" s="1">
        <v>1554</v>
      </c>
    </row>
    <row r="1556" spans="1:17">
      <c r="A1556" t="s">
        <v>174</v>
      </c>
      <c r="B1556" t="str">
        <f>TEXT(Table1[[#This Row],[Date]],"MMMM")</f>
        <v>February</v>
      </c>
      <c r="C1556" t="str">
        <f>TEXT(Table1[[#This Row],[Date]],"DDDD")</f>
        <v>Friday</v>
      </c>
      <c r="D1556" t="s">
        <v>44</v>
      </c>
      <c r="E1556" t="s">
        <v>45</v>
      </c>
      <c r="F1556" t="s">
        <v>41</v>
      </c>
      <c r="G1556" t="s">
        <v>37</v>
      </c>
      <c r="H1556" t="s">
        <v>54</v>
      </c>
      <c r="I1556" t="s">
        <v>39</v>
      </c>
      <c r="J1556" s="3">
        <v>180000</v>
      </c>
      <c r="K1556">
        <v>9</v>
      </c>
      <c r="L1556" t="s">
        <v>33</v>
      </c>
      <c r="M1556" s="3">
        <v>144000</v>
      </c>
      <c r="N1556" s="3">
        <f>Table1[[#This Row],[Unit Price]]*Table1[[#This Row],[Quantity]]</f>
        <v>1620000</v>
      </c>
      <c r="O1556" s="3">
        <f>Table1[[#This Row],[Cost Price]]*Table1[[#This Row],[Quantity]]</f>
        <v>1296000</v>
      </c>
      <c r="P1556" s="3">
        <f>Table1[[#This Row],[Revenue]]-Table1[[#This Row],[COGS]]</f>
        <v>324000</v>
      </c>
      <c r="Q1556" s="1">
        <v>1555</v>
      </c>
    </row>
    <row r="1557" spans="1:17">
      <c r="A1557" t="s">
        <v>26</v>
      </c>
      <c r="B1557" t="str">
        <f>TEXT(Table1[[#This Row],[Date]],"MMMM")</f>
        <v>January</v>
      </c>
      <c r="C1557" t="str">
        <f>TEXT(Table1[[#This Row],[Date]],"DDDD")</f>
        <v>Sunday</v>
      </c>
      <c r="D1557" t="s">
        <v>35</v>
      </c>
      <c r="E1557" t="s">
        <v>45</v>
      </c>
      <c r="F1557" t="s">
        <v>29</v>
      </c>
      <c r="G1557" t="s">
        <v>30</v>
      </c>
      <c r="H1557" t="s">
        <v>67</v>
      </c>
      <c r="I1557" t="s">
        <v>51</v>
      </c>
      <c r="J1557" s="3">
        <v>420000</v>
      </c>
      <c r="K1557">
        <v>5</v>
      </c>
      <c r="L1557" t="s">
        <v>33</v>
      </c>
      <c r="M1557" s="3">
        <v>336000</v>
      </c>
      <c r="N1557" s="3">
        <f>Table1[[#This Row],[Unit Price]]*Table1[[#This Row],[Quantity]]</f>
        <v>2100000</v>
      </c>
      <c r="O1557" s="3">
        <f>Table1[[#This Row],[Cost Price]]*Table1[[#This Row],[Quantity]]</f>
        <v>1680000</v>
      </c>
      <c r="P1557" s="3">
        <f>Table1[[#This Row],[Revenue]]-Table1[[#This Row],[COGS]]</f>
        <v>420000</v>
      </c>
      <c r="Q1557" s="1">
        <v>1556</v>
      </c>
    </row>
    <row r="1558" spans="1:17">
      <c r="A1558" t="s">
        <v>125</v>
      </c>
      <c r="B1558" t="str">
        <f>TEXT(Table1[[#This Row],[Date]],"MMMM")</f>
        <v>February</v>
      </c>
      <c r="C1558" t="str">
        <f>TEXT(Table1[[#This Row],[Date]],"DDDD")</f>
        <v>Tuesday</v>
      </c>
      <c r="D1558" t="s">
        <v>49</v>
      </c>
      <c r="E1558" t="s">
        <v>45</v>
      </c>
      <c r="F1558" t="s">
        <v>29</v>
      </c>
      <c r="G1558" t="s">
        <v>37</v>
      </c>
      <c r="H1558" t="s">
        <v>54</v>
      </c>
      <c r="I1558" t="s">
        <v>39</v>
      </c>
      <c r="J1558" s="3">
        <v>180000</v>
      </c>
      <c r="K1558">
        <v>6</v>
      </c>
      <c r="L1558" t="s">
        <v>69</v>
      </c>
      <c r="M1558" s="3">
        <v>144000</v>
      </c>
      <c r="N1558" s="3">
        <f>Table1[[#This Row],[Unit Price]]*Table1[[#This Row],[Quantity]]</f>
        <v>1080000</v>
      </c>
      <c r="O1558" s="3">
        <f>Table1[[#This Row],[Cost Price]]*Table1[[#This Row],[Quantity]]</f>
        <v>864000</v>
      </c>
      <c r="P1558" s="3">
        <f>Table1[[#This Row],[Revenue]]-Table1[[#This Row],[COGS]]</f>
        <v>216000</v>
      </c>
      <c r="Q1558" s="1">
        <v>1557</v>
      </c>
    </row>
    <row r="1559" spans="1:17">
      <c r="A1559" t="s">
        <v>111</v>
      </c>
      <c r="B1559" t="str">
        <f>TEXT(Table1[[#This Row],[Date]],"MMMM")</f>
        <v>February</v>
      </c>
      <c r="C1559" t="str">
        <f>TEXT(Table1[[#This Row],[Date]],"DDDD")</f>
        <v>Wednesday</v>
      </c>
      <c r="D1559" t="s">
        <v>35</v>
      </c>
      <c r="E1559" t="s">
        <v>45</v>
      </c>
      <c r="F1559" t="s">
        <v>41</v>
      </c>
      <c r="G1559" t="s">
        <v>30</v>
      </c>
      <c r="H1559" t="s">
        <v>50</v>
      </c>
      <c r="I1559" t="s">
        <v>51</v>
      </c>
      <c r="J1559" s="3">
        <v>300000</v>
      </c>
      <c r="K1559">
        <v>3</v>
      </c>
      <c r="L1559" t="s">
        <v>47</v>
      </c>
      <c r="M1559" s="3">
        <v>240000</v>
      </c>
      <c r="N1559" s="3">
        <f>Table1[[#This Row],[Unit Price]]*Table1[[#This Row],[Quantity]]</f>
        <v>900000</v>
      </c>
      <c r="O1559" s="3">
        <f>Table1[[#This Row],[Cost Price]]*Table1[[#This Row],[Quantity]]</f>
        <v>720000</v>
      </c>
      <c r="P1559" s="3">
        <f>Table1[[#This Row],[Revenue]]-Table1[[#This Row],[COGS]]</f>
        <v>180000</v>
      </c>
      <c r="Q1559" s="1">
        <v>1558</v>
      </c>
    </row>
    <row r="1560" spans="1:17">
      <c r="A1560" t="s">
        <v>153</v>
      </c>
      <c r="B1560" t="str">
        <f>TEXT(Table1[[#This Row],[Date]],"MMMM")</f>
        <v>March</v>
      </c>
      <c r="C1560" t="str">
        <f>TEXT(Table1[[#This Row],[Date]],"DDDD")</f>
        <v>Tuesday</v>
      </c>
      <c r="D1560" t="s">
        <v>27</v>
      </c>
      <c r="E1560" t="s">
        <v>45</v>
      </c>
      <c r="F1560" t="s">
        <v>29</v>
      </c>
      <c r="G1560" t="s">
        <v>30</v>
      </c>
      <c r="H1560" t="s">
        <v>73</v>
      </c>
      <c r="I1560" t="s">
        <v>39</v>
      </c>
      <c r="J1560" s="3">
        <v>220000</v>
      </c>
      <c r="K1560">
        <v>7</v>
      </c>
      <c r="L1560" t="s">
        <v>33</v>
      </c>
      <c r="M1560" s="3">
        <v>176000</v>
      </c>
      <c r="N1560" s="3">
        <f>Table1[[#This Row],[Unit Price]]*Table1[[#This Row],[Quantity]]</f>
        <v>1540000</v>
      </c>
      <c r="O1560" s="3">
        <f>Table1[[#This Row],[Cost Price]]*Table1[[#This Row],[Quantity]]</f>
        <v>1232000</v>
      </c>
      <c r="P1560" s="3">
        <f>Table1[[#This Row],[Revenue]]-Table1[[#This Row],[COGS]]</f>
        <v>308000</v>
      </c>
      <c r="Q1560" s="1">
        <v>1559</v>
      </c>
    </row>
    <row r="1561" spans="1:17">
      <c r="A1561" t="s">
        <v>121</v>
      </c>
      <c r="B1561" t="str">
        <f>TEXT(Table1[[#This Row],[Date]],"MMMM")</f>
        <v>April</v>
      </c>
      <c r="C1561" t="str">
        <f>TEXT(Table1[[#This Row],[Date]],"DDDD")</f>
        <v>Wednesday</v>
      </c>
      <c r="D1561" t="s">
        <v>44</v>
      </c>
      <c r="E1561" t="s">
        <v>36</v>
      </c>
      <c r="F1561" t="s">
        <v>29</v>
      </c>
      <c r="G1561" t="s">
        <v>30</v>
      </c>
      <c r="H1561" t="s">
        <v>46</v>
      </c>
      <c r="I1561" t="s">
        <v>39</v>
      </c>
      <c r="J1561" s="3">
        <v>60000</v>
      </c>
      <c r="K1561">
        <v>2</v>
      </c>
      <c r="L1561" t="s">
        <v>33</v>
      </c>
      <c r="M1561" s="3">
        <v>48000</v>
      </c>
      <c r="N1561" s="3">
        <f>Table1[[#This Row],[Unit Price]]*Table1[[#This Row],[Quantity]]</f>
        <v>120000</v>
      </c>
      <c r="O1561" s="3">
        <f>Table1[[#This Row],[Cost Price]]*Table1[[#This Row],[Quantity]]</f>
        <v>96000</v>
      </c>
      <c r="P1561" s="3">
        <f>Table1[[#This Row],[Revenue]]-Table1[[#This Row],[COGS]]</f>
        <v>24000</v>
      </c>
      <c r="Q1561" s="1">
        <v>1560</v>
      </c>
    </row>
    <row r="1562" spans="1:17">
      <c r="A1562" t="s">
        <v>125</v>
      </c>
      <c r="B1562" t="str">
        <f>TEXT(Table1[[#This Row],[Date]],"MMMM")</f>
        <v>February</v>
      </c>
      <c r="C1562" t="str">
        <f>TEXT(Table1[[#This Row],[Date]],"DDDD")</f>
        <v>Tuesday</v>
      </c>
      <c r="D1562" t="s">
        <v>44</v>
      </c>
      <c r="E1562" t="s">
        <v>36</v>
      </c>
      <c r="F1562" t="s">
        <v>41</v>
      </c>
      <c r="G1562" t="s">
        <v>30</v>
      </c>
      <c r="H1562" t="s">
        <v>38</v>
      </c>
      <c r="I1562" t="s">
        <v>39</v>
      </c>
      <c r="J1562" s="3">
        <v>30000</v>
      </c>
      <c r="K1562">
        <v>4</v>
      </c>
      <c r="L1562" t="s">
        <v>58</v>
      </c>
      <c r="M1562" s="3">
        <v>24000</v>
      </c>
      <c r="N1562" s="3">
        <f>Table1[[#This Row],[Unit Price]]*Table1[[#This Row],[Quantity]]</f>
        <v>120000</v>
      </c>
      <c r="O1562" s="3">
        <f>Table1[[#This Row],[Cost Price]]*Table1[[#This Row],[Quantity]]</f>
        <v>96000</v>
      </c>
      <c r="P1562" s="3">
        <f>Table1[[#This Row],[Revenue]]-Table1[[#This Row],[COGS]]</f>
        <v>24000</v>
      </c>
      <c r="Q1562" s="1">
        <v>1561</v>
      </c>
    </row>
    <row r="1563" spans="1:17">
      <c r="A1563" t="s">
        <v>139</v>
      </c>
      <c r="B1563" t="str">
        <f>TEXT(Table1[[#This Row],[Date]],"MMMM")</f>
        <v>January</v>
      </c>
      <c r="C1563" t="str">
        <f>TEXT(Table1[[#This Row],[Date]],"DDDD")</f>
        <v>Monday</v>
      </c>
      <c r="D1563" t="s">
        <v>27</v>
      </c>
      <c r="E1563" t="s">
        <v>36</v>
      </c>
      <c r="F1563" t="s">
        <v>41</v>
      </c>
      <c r="G1563" t="s">
        <v>37</v>
      </c>
      <c r="H1563" t="s">
        <v>56</v>
      </c>
      <c r="I1563" t="s">
        <v>32</v>
      </c>
      <c r="J1563" s="3">
        <v>320000</v>
      </c>
      <c r="K1563">
        <v>8</v>
      </c>
      <c r="L1563" t="s">
        <v>58</v>
      </c>
      <c r="M1563" s="3">
        <v>256000</v>
      </c>
      <c r="N1563" s="3">
        <f>Table1[[#This Row],[Unit Price]]*Table1[[#This Row],[Quantity]]</f>
        <v>2560000</v>
      </c>
      <c r="O1563" s="3">
        <f>Table1[[#This Row],[Cost Price]]*Table1[[#This Row],[Quantity]]</f>
        <v>2048000</v>
      </c>
      <c r="P1563" s="3">
        <f>Table1[[#This Row],[Revenue]]-Table1[[#This Row],[COGS]]</f>
        <v>512000</v>
      </c>
      <c r="Q1563" s="1">
        <v>1562</v>
      </c>
    </row>
    <row r="1564" spans="1:17">
      <c r="A1564" t="s">
        <v>64</v>
      </c>
      <c r="B1564" t="str">
        <f>TEXT(Table1[[#This Row],[Date]],"MMMM")</f>
        <v>April</v>
      </c>
      <c r="C1564" t="str">
        <f>TEXT(Table1[[#This Row],[Date]],"DDDD")</f>
        <v>Saturday</v>
      </c>
      <c r="D1564" t="s">
        <v>27</v>
      </c>
      <c r="E1564" t="s">
        <v>53</v>
      </c>
      <c r="F1564" t="s">
        <v>41</v>
      </c>
      <c r="G1564" t="s">
        <v>37</v>
      </c>
      <c r="H1564" t="s">
        <v>54</v>
      </c>
      <c r="I1564" t="s">
        <v>39</v>
      </c>
      <c r="J1564" s="3">
        <v>180000</v>
      </c>
      <c r="K1564">
        <v>5</v>
      </c>
      <c r="L1564" t="s">
        <v>47</v>
      </c>
      <c r="M1564" s="3">
        <v>144000</v>
      </c>
      <c r="N1564" s="3">
        <f>Table1[[#This Row],[Unit Price]]*Table1[[#This Row],[Quantity]]</f>
        <v>900000</v>
      </c>
      <c r="O1564" s="3">
        <f>Table1[[#This Row],[Cost Price]]*Table1[[#This Row],[Quantity]]</f>
        <v>720000</v>
      </c>
      <c r="P1564" s="3">
        <f>Table1[[#This Row],[Revenue]]-Table1[[#This Row],[COGS]]</f>
        <v>180000</v>
      </c>
      <c r="Q1564" s="1">
        <v>1563</v>
      </c>
    </row>
    <row r="1565" spans="1:17">
      <c r="A1565" t="s">
        <v>82</v>
      </c>
      <c r="B1565" t="str">
        <f>TEXT(Table1[[#This Row],[Date]],"MMMM")</f>
        <v>March</v>
      </c>
      <c r="C1565" t="str">
        <f>TEXT(Table1[[#This Row],[Date]],"DDDD")</f>
        <v>Saturday</v>
      </c>
      <c r="D1565" t="s">
        <v>35</v>
      </c>
      <c r="E1565" t="s">
        <v>28</v>
      </c>
      <c r="F1565" t="s">
        <v>29</v>
      </c>
      <c r="G1565" t="s">
        <v>37</v>
      </c>
      <c r="H1565" t="s">
        <v>56</v>
      </c>
      <c r="I1565" t="s">
        <v>32</v>
      </c>
      <c r="J1565" s="3">
        <v>320000</v>
      </c>
      <c r="K1565">
        <v>6</v>
      </c>
      <c r="L1565" t="s">
        <v>47</v>
      </c>
      <c r="M1565" s="3">
        <v>256000</v>
      </c>
      <c r="N1565" s="3">
        <f>Table1[[#This Row],[Unit Price]]*Table1[[#This Row],[Quantity]]</f>
        <v>1920000</v>
      </c>
      <c r="O1565" s="3">
        <f>Table1[[#This Row],[Cost Price]]*Table1[[#This Row],[Quantity]]</f>
        <v>1536000</v>
      </c>
      <c r="P1565" s="3">
        <f>Table1[[#This Row],[Revenue]]-Table1[[#This Row],[COGS]]</f>
        <v>384000</v>
      </c>
      <c r="Q1565" s="1">
        <v>1564</v>
      </c>
    </row>
    <row r="1566" spans="1:17">
      <c r="A1566" t="s">
        <v>63</v>
      </c>
      <c r="B1566" t="str">
        <f>TEXT(Table1[[#This Row],[Date]],"MMMM")</f>
        <v>January</v>
      </c>
      <c r="C1566" t="str">
        <f>TEXT(Table1[[#This Row],[Date]],"DDDD")</f>
        <v>Monday</v>
      </c>
      <c r="D1566" t="s">
        <v>44</v>
      </c>
      <c r="E1566" t="s">
        <v>36</v>
      </c>
      <c r="F1566" t="s">
        <v>29</v>
      </c>
      <c r="G1566" t="s">
        <v>30</v>
      </c>
      <c r="H1566" t="s">
        <v>67</v>
      </c>
      <c r="I1566" t="s">
        <v>51</v>
      </c>
      <c r="J1566" s="3">
        <v>420000</v>
      </c>
      <c r="K1566">
        <v>3</v>
      </c>
      <c r="L1566" t="s">
        <v>47</v>
      </c>
      <c r="M1566" s="3">
        <v>336000</v>
      </c>
      <c r="N1566" s="3">
        <f>Table1[[#This Row],[Unit Price]]*Table1[[#This Row],[Quantity]]</f>
        <v>1260000</v>
      </c>
      <c r="O1566" s="3">
        <f>Table1[[#This Row],[Cost Price]]*Table1[[#This Row],[Quantity]]</f>
        <v>1008000</v>
      </c>
      <c r="P1566" s="3">
        <f>Table1[[#This Row],[Revenue]]-Table1[[#This Row],[COGS]]</f>
        <v>252000</v>
      </c>
      <c r="Q1566" s="1">
        <v>1565</v>
      </c>
    </row>
    <row r="1567" spans="1:17">
      <c r="A1567" t="s">
        <v>110</v>
      </c>
      <c r="B1567" t="str">
        <f>TEXT(Table1[[#This Row],[Date]],"MMMM")</f>
        <v>January</v>
      </c>
      <c r="C1567" t="str">
        <f>TEXT(Table1[[#This Row],[Date]],"DDDD")</f>
        <v>Thursday</v>
      </c>
      <c r="D1567" t="s">
        <v>49</v>
      </c>
      <c r="E1567" t="s">
        <v>53</v>
      </c>
      <c r="F1567" t="s">
        <v>41</v>
      </c>
      <c r="G1567" t="s">
        <v>30</v>
      </c>
      <c r="H1567" t="s">
        <v>62</v>
      </c>
      <c r="I1567" t="s">
        <v>51</v>
      </c>
      <c r="J1567" s="3">
        <v>150000</v>
      </c>
      <c r="K1567">
        <v>2</v>
      </c>
      <c r="L1567" t="s">
        <v>69</v>
      </c>
      <c r="M1567" s="3">
        <v>120000</v>
      </c>
      <c r="N1567" s="3">
        <f>Table1[[#This Row],[Unit Price]]*Table1[[#This Row],[Quantity]]</f>
        <v>300000</v>
      </c>
      <c r="O1567" s="3">
        <f>Table1[[#This Row],[Cost Price]]*Table1[[#This Row],[Quantity]]</f>
        <v>240000</v>
      </c>
      <c r="P1567" s="3">
        <f>Table1[[#This Row],[Revenue]]-Table1[[#This Row],[COGS]]</f>
        <v>60000</v>
      </c>
      <c r="Q1567" s="1">
        <v>1566</v>
      </c>
    </row>
    <row r="1568" spans="1:17">
      <c r="A1568" t="s">
        <v>116</v>
      </c>
      <c r="B1568" t="str">
        <f>TEXT(Table1[[#This Row],[Date]],"MMMM")</f>
        <v>April</v>
      </c>
      <c r="C1568" t="str">
        <f>TEXT(Table1[[#This Row],[Date]],"DDDD")</f>
        <v>Saturday</v>
      </c>
      <c r="D1568" t="s">
        <v>27</v>
      </c>
      <c r="E1568" t="s">
        <v>53</v>
      </c>
      <c r="F1568" t="s">
        <v>29</v>
      </c>
      <c r="G1568" t="s">
        <v>30</v>
      </c>
      <c r="H1568" t="s">
        <v>54</v>
      </c>
      <c r="I1568" t="s">
        <v>39</v>
      </c>
      <c r="J1568" s="3">
        <v>180000</v>
      </c>
      <c r="K1568">
        <v>8</v>
      </c>
      <c r="L1568" t="s">
        <v>58</v>
      </c>
      <c r="M1568" s="3">
        <v>144000</v>
      </c>
      <c r="N1568" s="3">
        <f>Table1[[#This Row],[Unit Price]]*Table1[[#This Row],[Quantity]]</f>
        <v>1440000</v>
      </c>
      <c r="O1568" s="3">
        <f>Table1[[#This Row],[Cost Price]]*Table1[[#This Row],[Quantity]]</f>
        <v>1152000</v>
      </c>
      <c r="P1568" s="3">
        <f>Table1[[#This Row],[Revenue]]-Table1[[#This Row],[COGS]]</f>
        <v>288000</v>
      </c>
      <c r="Q1568" s="1">
        <v>1567</v>
      </c>
    </row>
    <row r="1569" spans="1:17">
      <c r="A1569" t="s">
        <v>128</v>
      </c>
      <c r="B1569" t="str">
        <f>TEXT(Table1[[#This Row],[Date]],"MMMM")</f>
        <v>March</v>
      </c>
      <c r="C1569" t="str">
        <f>TEXT(Table1[[#This Row],[Date]],"DDDD")</f>
        <v>Friday</v>
      </c>
      <c r="D1569" t="s">
        <v>49</v>
      </c>
      <c r="E1569" t="s">
        <v>36</v>
      </c>
      <c r="F1569" t="s">
        <v>29</v>
      </c>
      <c r="G1569" t="s">
        <v>30</v>
      </c>
      <c r="H1569" t="s">
        <v>62</v>
      </c>
      <c r="I1569" t="s">
        <v>51</v>
      </c>
      <c r="J1569" s="3">
        <v>150000</v>
      </c>
      <c r="K1569">
        <v>4</v>
      </c>
      <c r="L1569" t="s">
        <v>58</v>
      </c>
      <c r="M1569" s="3">
        <v>120000</v>
      </c>
      <c r="N1569" s="3">
        <f>Table1[[#This Row],[Unit Price]]*Table1[[#This Row],[Quantity]]</f>
        <v>600000</v>
      </c>
      <c r="O1569" s="3">
        <f>Table1[[#This Row],[Cost Price]]*Table1[[#This Row],[Quantity]]</f>
        <v>480000</v>
      </c>
      <c r="P1569" s="3">
        <f>Table1[[#This Row],[Revenue]]-Table1[[#This Row],[COGS]]</f>
        <v>120000</v>
      </c>
      <c r="Q1569" s="1">
        <v>1568</v>
      </c>
    </row>
    <row r="1570" spans="1:17">
      <c r="A1570" t="s">
        <v>79</v>
      </c>
      <c r="B1570" t="str">
        <f>TEXT(Table1[[#This Row],[Date]],"MMMM")</f>
        <v>February</v>
      </c>
      <c r="C1570" t="str">
        <f>TEXT(Table1[[#This Row],[Date]],"DDDD")</f>
        <v>Wednesday</v>
      </c>
      <c r="D1570" t="s">
        <v>49</v>
      </c>
      <c r="E1570" t="s">
        <v>45</v>
      </c>
      <c r="F1570" t="s">
        <v>41</v>
      </c>
      <c r="G1570" t="s">
        <v>37</v>
      </c>
      <c r="H1570" t="s">
        <v>46</v>
      </c>
      <c r="I1570" t="s">
        <v>39</v>
      </c>
      <c r="J1570" s="3">
        <v>60000</v>
      </c>
      <c r="K1570">
        <v>8</v>
      </c>
      <c r="L1570" t="s">
        <v>47</v>
      </c>
      <c r="M1570" s="3">
        <v>48000</v>
      </c>
      <c r="N1570" s="3">
        <f>Table1[[#This Row],[Unit Price]]*Table1[[#This Row],[Quantity]]</f>
        <v>480000</v>
      </c>
      <c r="O1570" s="3">
        <f>Table1[[#This Row],[Cost Price]]*Table1[[#This Row],[Quantity]]</f>
        <v>384000</v>
      </c>
      <c r="P1570" s="3">
        <f>Table1[[#This Row],[Revenue]]-Table1[[#This Row],[COGS]]</f>
        <v>96000</v>
      </c>
      <c r="Q1570" s="1">
        <v>1569</v>
      </c>
    </row>
    <row r="1571" spans="1:17">
      <c r="A1571" t="s">
        <v>155</v>
      </c>
      <c r="B1571" t="str">
        <f>TEXT(Table1[[#This Row],[Date]],"MMMM")</f>
        <v>April</v>
      </c>
      <c r="C1571" t="str">
        <f>TEXT(Table1[[#This Row],[Date]],"DDDD")</f>
        <v>Thursday</v>
      </c>
      <c r="D1571" t="s">
        <v>49</v>
      </c>
      <c r="E1571" t="s">
        <v>28</v>
      </c>
      <c r="F1571" t="s">
        <v>41</v>
      </c>
      <c r="G1571" t="s">
        <v>37</v>
      </c>
      <c r="H1571" t="s">
        <v>67</v>
      </c>
      <c r="I1571" t="s">
        <v>51</v>
      </c>
      <c r="J1571" s="3">
        <v>420000</v>
      </c>
      <c r="K1571">
        <v>5</v>
      </c>
      <c r="L1571" t="s">
        <v>65</v>
      </c>
      <c r="M1571" s="3">
        <v>336000</v>
      </c>
      <c r="N1571" s="3">
        <f>Table1[[#This Row],[Unit Price]]*Table1[[#This Row],[Quantity]]</f>
        <v>2100000</v>
      </c>
      <c r="O1571" s="3">
        <f>Table1[[#This Row],[Cost Price]]*Table1[[#This Row],[Quantity]]</f>
        <v>1680000</v>
      </c>
      <c r="P1571" s="3">
        <f>Table1[[#This Row],[Revenue]]-Table1[[#This Row],[COGS]]</f>
        <v>420000</v>
      </c>
      <c r="Q1571" s="1">
        <v>1570</v>
      </c>
    </row>
    <row r="1572" spans="1:17">
      <c r="A1572" t="s">
        <v>105</v>
      </c>
      <c r="B1572" t="str">
        <f>TEXT(Table1[[#This Row],[Date]],"MMMM")</f>
        <v>March</v>
      </c>
      <c r="C1572" t="str">
        <f>TEXT(Table1[[#This Row],[Date]],"DDDD")</f>
        <v>Friday</v>
      </c>
      <c r="D1572" t="s">
        <v>49</v>
      </c>
      <c r="E1572" t="s">
        <v>28</v>
      </c>
      <c r="F1572" t="s">
        <v>29</v>
      </c>
      <c r="G1572" t="s">
        <v>37</v>
      </c>
      <c r="H1572" t="s">
        <v>67</v>
      </c>
      <c r="I1572" t="s">
        <v>51</v>
      </c>
      <c r="J1572" s="3">
        <v>420000</v>
      </c>
      <c r="K1572">
        <v>6</v>
      </c>
      <c r="L1572" t="s">
        <v>69</v>
      </c>
      <c r="M1572" s="3">
        <v>336000</v>
      </c>
      <c r="N1572" s="3">
        <f>Table1[[#This Row],[Unit Price]]*Table1[[#This Row],[Quantity]]</f>
        <v>2520000</v>
      </c>
      <c r="O1572" s="3">
        <f>Table1[[#This Row],[Cost Price]]*Table1[[#This Row],[Quantity]]</f>
        <v>2016000</v>
      </c>
      <c r="P1572" s="3">
        <f>Table1[[#This Row],[Revenue]]-Table1[[#This Row],[COGS]]</f>
        <v>504000</v>
      </c>
      <c r="Q1572" s="1">
        <v>1571</v>
      </c>
    </row>
    <row r="1573" spans="1:17">
      <c r="A1573" t="s">
        <v>134</v>
      </c>
      <c r="B1573" t="str">
        <f>TEXT(Table1[[#This Row],[Date]],"MMMM")</f>
        <v>January</v>
      </c>
      <c r="C1573" t="str">
        <f>TEXT(Table1[[#This Row],[Date]],"DDDD")</f>
        <v>Wednesday</v>
      </c>
      <c r="D1573" t="s">
        <v>44</v>
      </c>
      <c r="E1573" t="s">
        <v>28</v>
      </c>
      <c r="F1573" t="s">
        <v>29</v>
      </c>
      <c r="G1573" t="s">
        <v>37</v>
      </c>
      <c r="H1573" t="s">
        <v>50</v>
      </c>
      <c r="I1573" t="s">
        <v>51</v>
      </c>
      <c r="J1573" s="3">
        <v>300000</v>
      </c>
      <c r="K1573">
        <v>4</v>
      </c>
      <c r="L1573" t="s">
        <v>42</v>
      </c>
      <c r="M1573" s="3">
        <v>240000</v>
      </c>
      <c r="N1573" s="3">
        <f>Table1[[#This Row],[Unit Price]]*Table1[[#This Row],[Quantity]]</f>
        <v>1200000</v>
      </c>
      <c r="O1573" s="3">
        <f>Table1[[#This Row],[Cost Price]]*Table1[[#This Row],[Quantity]]</f>
        <v>960000</v>
      </c>
      <c r="P1573" s="3">
        <f>Table1[[#This Row],[Revenue]]-Table1[[#This Row],[COGS]]</f>
        <v>240000</v>
      </c>
      <c r="Q1573" s="1">
        <v>1572</v>
      </c>
    </row>
    <row r="1574" spans="1:17">
      <c r="A1574" t="s">
        <v>88</v>
      </c>
      <c r="B1574" t="str">
        <f>TEXT(Table1[[#This Row],[Date]],"MMMM")</f>
        <v>February</v>
      </c>
      <c r="C1574" t="str">
        <f>TEXT(Table1[[#This Row],[Date]],"DDDD")</f>
        <v>Monday</v>
      </c>
      <c r="D1574" t="s">
        <v>35</v>
      </c>
      <c r="E1574" t="s">
        <v>53</v>
      </c>
      <c r="F1574" t="s">
        <v>29</v>
      </c>
      <c r="G1574" t="s">
        <v>30</v>
      </c>
      <c r="H1574" t="s">
        <v>54</v>
      </c>
      <c r="I1574" t="s">
        <v>39</v>
      </c>
      <c r="J1574" s="3">
        <v>180000</v>
      </c>
      <c r="K1574">
        <v>1</v>
      </c>
      <c r="L1574" t="s">
        <v>69</v>
      </c>
      <c r="M1574" s="3">
        <v>144000</v>
      </c>
      <c r="N1574" s="3">
        <f>Table1[[#This Row],[Unit Price]]*Table1[[#This Row],[Quantity]]</f>
        <v>180000</v>
      </c>
      <c r="O1574" s="3">
        <f>Table1[[#This Row],[Cost Price]]*Table1[[#This Row],[Quantity]]</f>
        <v>144000</v>
      </c>
      <c r="P1574" s="3">
        <f>Table1[[#This Row],[Revenue]]-Table1[[#This Row],[COGS]]</f>
        <v>36000</v>
      </c>
      <c r="Q1574" s="1">
        <v>1573</v>
      </c>
    </row>
    <row r="1575" spans="1:17">
      <c r="A1575" t="s">
        <v>60</v>
      </c>
      <c r="B1575" t="str">
        <f>TEXT(Table1[[#This Row],[Date]],"MMMM")</f>
        <v>March</v>
      </c>
      <c r="C1575" t="str">
        <f>TEXT(Table1[[#This Row],[Date]],"DDDD")</f>
        <v>Wednesday</v>
      </c>
      <c r="D1575" t="s">
        <v>49</v>
      </c>
      <c r="E1575" t="s">
        <v>53</v>
      </c>
      <c r="F1575" t="s">
        <v>41</v>
      </c>
      <c r="G1575" t="s">
        <v>30</v>
      </c>
      <c r="H1575" t="s">
        <v>67</v>
      </c>
      <c r="I1575" t="s">
        <v>51</v>
      </c>
      <c r="J1575" s="3">
        <v>420000</v>
      </c>
      <c r="K1575">
        <v>5</v>
      </c>
      <c r="L1575" t="s">
        <v>65</v>
      </c>
      <c r="M1575" s="3">
        <v>336000</v>
      </c>
      <c r="N1575" s="3">
        <f>Table1[[#This Row],[Unit Price]]*Table1[[#This Row],[Quantity]]</f>
        <v>2100000</v>
      </c>
      <c r="O1575" s="3">
        <f>Table1[[#This Row],[Cost Price]]*Table1[[#This Row],[Quantity]]</f>
        <v>1680000</v>
      </c>
      <c r="P1575" s="3">
        <f>Table1[[#This Row],[Revenue]]-Table1[[#This Row],[COGS]]</f>
        <v>420000</v>
      </c>
      <c r="Q1575" s="1">
        <v>1574</v>
      </c>
    </row>
    <row r="1576" spans="1:17">
      <c r="A1576" t="s">
        <v>60</v>
      </c>
      <c r="B1576" t="str">
        <f>TEXT(Table1[[#This Row],[Date]],"MMMM")</f>
        <v>March</v>
      </c>
      <c r="C1576" t="str">
        <f>TEXT(Table1[[#This Row],[Date]],"DDDD")</f>
        <v>Wednesday</v>
      </c>
      <c r="D1576" t="s">
        <v>27</v>
      </c>
      <c r="E1576" t="s">
        <v>36</v>
      </c>
      <c r="F1576" t="s">
        <v>41</v>
      </c>
      <c r="G1576" t="s">
        <v>37</v>
      </c>
      <c r="H1576" t="s">
        <v>71</v>
      </c>
      <c r="I1576" t="s">
        <v>51</v>
      </c>
      <c r="J1576" s="3">
        <v>250000</v>
      </c>
      <c r="K1576">
        <v>7</v>
      </c>
      <c r="L1576" t="s">
        <v>69</v>
      </c>
      <c r="M1576" s="3">
        <v>200000</v>
      </c>
      <c r="N1576" s="3">
        <f>Table1[[#This Row],[Unit Price]]*Table1[[#This Row],[Quantity]]</f>
        <v>1750000</v>
      </c>
      <c r="O1576" s="3">
        <f>Table1[[#This Row],[Cost Price]]*Table1[[#This Row],[Quantity]]</f>
        <v>1400000</v>
      </c>
      <c r="P1576" s="3">
        <f>Table1[[#This Row],[Revenue]]-Table1[[#This Row],[COGS]]</f>
        <v>350000</v>
      </c>
      <c r="Q1576" s="1">
        <v>1575</v>
      </c>
    </row>
    <row r="1577" spans="1:17">
      <c r="A1577" t="s">
        <v>106</v>
      </c>
      <c r="B1577" t="str">
        <f>TEXT(Table1[[#This Row],[Date]],"MMMM")</f>
        <v>April</v>
      </c>
      <c r="C1577" t="str">
        <f>TEXT(Table1[[#This Row],[Date]],"DDDD")</f>
        <v>Wednesday</v>
      </c>
      <c r="D1577" t="s">
        <v>44</v>
      </c>
      <c r="E1577" t="s">
        <v>53</v>
      </c>
      <c r="F1577" t="s">
        <v>41</v>
      </c>
      <c r="G1577" t="s">
        <v>30</v>
      </c>
      <c r="H1577" t="s">
        <v>38</v>
      </c>
      <c r="I1577" t="s">
        <v>39</v>
      </c>
      <c r="J1577" s="3">
        <v>30000</v>
      </c>
      <c r="K1577">
        <v>1</v>
      </c>
      <c r="L1577" t="s">
        <v>69</v>
      </c>
      <c r="M1577" s="3">
        <v>24000</v>
      </c>
      <c r="N1577" s="3">
        <f>Table1[[#This Row],[Unit Price]]*Table1[[#This Row],[Quantity]]</f>
        <v>30000</v>
      </c>
      <c r="O1577" s="3">
        <f>Table1[[#This Row],[Cost Price]]*Table1[[#This Row],[Quantity]]</f>
        <v>24000</v>
      </c>
      <c r="P1577" s="3">
        <f>Table1[[#This Row],[Revenue]]-Table1[[#This Row],[COGS]]</f>
        <v>6000</v>
      </c>
      <c r="Q1577" s="1">
        <v>1576</v>
      </c>
    </row>
    <row r="1578" spans="1:17">
      <c r="A1578" t="s">
        <v>128</v>
      </c>
      <c r="B1578" t="str">
        <f>TEXT(Table1[[#This Row],[Date]],"MMMM")</f>
        <v>March</v>
      </c>
      <c r="C1578" t="str">
        <f>TEXT(Table1[[#This Row],[Date]],"DDDD")</f>
        <v>Friday</v>
      </c>
      <c r="D1578" t="s">
        <v>44</v>
      </c>
      <c r="E1578" t="s">
        <v>36</v>
      </c>
      <c r="F1578" t="s">
        <v>41</v>
      </c>
      <c r="G1578" t="s">
        <v>30</v>
      </c>
      <c r="H1578" t="s">
        <v>54</v>
      </c>
      <c r="I1578" t="s">
        <v>39</v>
      </c>
      <c r="J1578" s="3">
        <v>180000</v>
      </c>
      <c r="K1578">
        <v>9</v>
      </c>
      <c r="L1578" t="s">
        <v>58</v>
      </c>
      <c r="M1578" s="3">
        <v>144000</v>
      </c>
      <c r="N1578" s="3">
        <f>Table1[[#This Row],[Unit Price]]*Table1[[#This Row],[Quantity]]</f>
        <v>1620000</v>
      </c>
      <c r="O1578" s="3">
        <f>Table1[[#This Row],[Cost Price]]*Table1[[#This Row],[Quantity]]</f>
        <v>1296000</v>
      </c>
      <c r="P1578" s="3">
        <f>Table1[[#This Row],[Revenue]]-Table1[[#This Row],[COGS]]</f>
        <v>324000</v>
      </c>
      <c r="Q1578" s="1">
        <v>1577</v>
      </c>
    </row>
    <row r="1579" spans="1:17">
      <c r="A1579" t="s">
        <v>149</v>
      </c>
      <c r="B1579" t="str">
        <f>TEXT(Table1[[#This Row],[Date]],"MMMM")</f>
        <v>April</v>
      </c>
      <c r="C1579" t="str">
        <f>TEXT(Table1[[#This Row],[Date]],"DDDD")</f>
        <v>Saturday</v>
      </c>
      <c r="D1579" t="s">
        <v>49</v>
      </c>
      <c r="E1579" t="s">
        <v>36</v>
      </c>
      <c r="F1579" t="s">
        <v>41</v>
      </c>
      <c r="G1579" t="s">
        <v>30</v>
      </c>
      <c r="H1579" t="s">
        <v>50</v>
      </c>
      <c r="I1579" t="s">
        <v>51</v>
      </c>
      <c r="J1579" s="3">
        <v>300000</v>
      </c>
      <c r="K1579">
        <v>7</v>
      </c>
      <c r="L1579" t="s">
        <v>69</v>
      </c>
      <c r="M1579" s="3">
        <v>240000</v>
      </c>
      <c r="N1579" s="3">
        <f>Table1[[#This Row],[Unit Price]]*Table1[[#This Row],[Quantity]]</f>
        <v>2100000</v>
      </c>
      <c r="O1579" s="3">
        <f>Table1[[#This Row],[Cost Price]]*Table1[[#This Row],[Quantity]]</f>
        <v>1680000</v>
      </c>
      <c r="P1579" s="3">
        <f>Table1[[#This Row],[Revenue]]-Table1[[#This Row],[COGS]]</f>
        <v>420000</v>
      </c>
      <c r="Q1579" s="1">
        <v>1578</v>
      </c>
    </row>
    <row r="1580" spans="1:17">
      <c r="A1580" t="s">
        <v>64</v>
      </c>
      <c r="B1580" t="str">
        <f>TEXT(Table1[[#This Row],[Date]],"MMMM")</f>
        <v>April</v>
      </c>
      <c r="C1580" t="str">
        <f>TEXT(Table1[[#This Row],[Date]],"DDDD")</f>
        <v>Saturday</v>
      </c>
      <c r="D1580" t="s">
        <v>35</v>
      </c>
      <c r="E1580" t="s">
        <v>36</v>
      </c>
      <c r="F1580" t="s">
        <v>29</v>
      </c>
      <c r="G1580" t="s">
        <v>30</v>
      </c>
      <c r="H1580" t="s">
        <v>46</v>
      </c>
      <c r="I1580" t="s">
        <v>39</v>
      </c>
      <c r="J1580" s="3">
        <v>60000</v>
      </c>
      <c r="K1580">
        <v>2</v>
      </c>
      <c r="L1580" t="s">
        <v>69</v>
      </c>
      <c r="M1580" s="3">
        <v>48000</v>
      </c>
      <c r="N1580" s="3">
        <f>Table1[[#This Row],[Unit Price]]*Table1[[#This Row],[Quantity]]</f>
        <v>120000</v>
      </c>
      <c r="O1580" s="3">
        <f>Table1[[#This Row],[Cost Price]]*Table1[[#This Row],[Quantity]]</f>
        <v>96000</v>
      </c>
      <c r="P1580" s="3">
        <f>Table1[[#This Row],[Revenue]]-Table1[[#This Row],[COGS]]</f>
        <v>24000</v>
      </c>
      <c r="Q1580" s="1">
        <v>1579</v>
      </c>
    </row>
    <row r="1581" spans="1:17">
      <c r="A1581" t="s">
        <v>122</v>
      </c>
      <c r="B1581" t="str">
        <f>TEXT(Table1[[#This Row],[Date]],"MMMM")</f>
        <v>March</v>
      </c>
      <c r="C1581" t="str">
        <f>TEXT(Table1[[#This Row],[Date]],"DDDD")</f>
        <v>Thursday</v>
      </c>
      <c r="D1581" t="s">
        <v>27</v>
      </c>
      <c r="E1581" t="s">
        <v>53</v>
      </c>
      <c r="F1581" t="s">
        <v>41</v>
      </c>
      <c r="G1581" t="s">
        <v>30</v>
      </c>
      <c r="H1581" t="s">
        <v>71</v>
      </c>
      <c r="I1581" t="s">
        <v>51</v>
      </c>
      <c r="J1581" s="3">
        <v>250000</v>
      </c>
      <c r="K1581">
        <v>5</v>
      </c>
      <c r="L1581" t="s">
        <v>47</v>
      </c>
      <c r="M1581" s="3">
        <v>200000</v>
      </c>
      <c r="N1581" s="3">
        <f>Table1[[#This Row],[Unit Price]]*Table1[[#This Row],[Quantity]]</f>
        <v>1250000</v>
      </c>
      <c r="O1581" s="3">
        <f>Table1[[#This Row],[Cost Price]]*Table1[[#This Row],[Quantity]]</f>
        <v>1000000</v>
      </c>
      <c r="P1581" s="3">
        <f>Table1[[#This Row],[Revenue]]-Table1[[#This Row],[COGS]]</f>
        <v>250000</v>
      </c>
      <c r="Q1581" s="1">
        <v>1580</v>
      </c>
    </row>
    <row r="1582" spans="1:17">
      <c r="A1582" t="s">
        <v>128</v>
      </c>
      <c r="B1582" t="str">
        <f>TEXT(Table1[[#This Row],[Date]],"MMMM")</f>
        <v>March</v>
      </c>
      <c r="C1582" t="str">
        <f>TEXT(Table1[[#This Row],[Date]],"DDDD")</f>
        <v>Friday</v>
      </c>
      <c r="D1582" t="s">
        <v>49</v>
      </c>
      <c r="E1582" t="s">
        <v>53</v>
      </c>
      <c r="F1582" t="s">
        <v>41</v>
      </c>
      <c r="G1582" t="s">
        <v>37</v>
      </c>
      <c r="H1582" t="s">
        <v>31</v>
      </c>
      <c r="I1582" t="s">
        <v>32</v>
      </c>
      <c r="J1582" s="3">
        <v>85000</v>
      </c>
      <c r="K1582">
        <v>9</v>
      </c>
      <c r="L1582" t="s">
        <v>58</v>
      </c>
      <c r="M1582" s="3">
        <v>68000</v>
      </c>
      <c r="N1582" s="3">
        <f>Table1[[#This Row],[Unit Price]]*Table1[[#This Row],[Quantity]]</f>
        <v>765000</v>
      </c>
      <c r="O1582" s="3">
        <f>Table1[[#This Row],[Cost Price]]*Table1[[#This Row],[Quantity]]</f>
        <v>612000</v>
      </c>
      <c r="P1582" s="3">
        <f>Table1[[#This Row],[Revenue]]-Table1[[#This Row],[COGS]]</f>
        <v>153000</v>
      </c>
      <c r="Q1582" s="1">
        <v>1581</v>
      </c>
    </row>
    <row r="1583" spans="1:17">
      <c r="A1583" t="s">
        <v>142</v>
      </c>
      <c r="B1583" t="str">
        <f>TEXT(Table1[[#This Row],[Date]],"MMMM")</f>
        <v>April</v>
      </c>
      <c r="C1583" t="str">
        <f>TEXT(Table1[[#This Row],[Date]],"DDDD")</f>
        <v>Monday</v>
      </c>
      <c r="D1583" t="s">
        <v>49</v>
      </c>
      <c r="E1583" t="s">
        <v>45</v>
      </c>
      <c r="F1583" t="s">
        <v>29</v>
      </c>
      <c r="G1583" t="s">
        <v>30</v>
      </c>
      <c r="H1583" t="s">
        <v>67</v>
      </c>
      <c r="I1583" t="s">
        <v>51</v>
      </c>
      <c r="J1583" s="3">
        <v>420000</v>
      </c>
      <c r="K1583">
        <v>5</v>
      </c>
      <c r="L1583" t="s">
        <v>47</v>
      </c>
      <c r="M1583" s="3">
        <v>336000</v>
      </c>
      <c r="N1583" s="3">
        <f>Table1[[#This Row],[Unit Price]]*Table1[[#This Row],[Quantity]]</f>
        <v>2100000</v>
      </c>
      <c r="O1583" s="3">
        <f>Table1[[#This Row],[Cost Price]]*Table1[[#This Row],[Quantity]]</f>
        <v>1680000</v>
      </c>
      <c r="P1583" s="3">
        <f>Table1[[#This Row],[Revenue]]-Table1[[#This Row],[COGS]]</f>
        <v>420000</v>
      </c>
      <c r="Q1583" s="1">
        <v>1582</v>
      </c>
    </row>
    <row r="1584" spans="1:17">
      <c r="A1584" t="s">
        <v>113</v>
      </c>
      <c r="B1584" t="str">
        <f>TEXT(Table1[[#This Row],[Date]],"MMMM")</f>
        <v>April</v>
      </c>
      <c r="C1584" t="str">
        <f>TEXT(Table1[[#This Row],[Date]],"DDDD")</f>
        <v>Monday</v>
      </c>
      <c r="D1584" t="s">
        <v>35</v>
      </c>
      <c r="E1584" t="s">
        <v>53</v>
      </c>
      <c r="F1584" t="s">
        <v>29</v>
      </c>
      <c r="G1584" t="s">
        <v>30</v>
      </c>
      <c r="H1584" t="s">
        <v>67</v>
      </c>
      <c r="I1584" t="s">
        <v>51</v>
      </c>
      <c r="J1584" s="3">
        <v>420000</v>
      </c>
      <c r="K1584">
        <v>7</v>
      </c>
      <c r="L1584" t="s">
        <v>47</v>
      </c>
      <c r="M1584" s="3">
        <v>336000</v>
      </c>
      <c r="N1584" s="3">
        <f>Table1[[#This Row],[Unit Price]]*Table1[[#This Row],[Quantity]]</f>
        <v>2940000</v>
      </c>
      <c r="O1584" s="3">
        <f>Table1[[#This Row],[Cost Price]]*Table1[[#This Row],[Quantity]]</f>
        <v>2352000</v>
      </c>
      <c r="P1584" s="3">
        <f>Table1[[#This Row],[Revenue]]-Table1[[#This Row],[COGS]]</f>
        <v>588000</v>
      </c>
      <c r="Q1584" s="1">
        <v>1583</v>
      </c>
    </row>
    <row r="1585" spans="1:17">
      <c r="A1585" t="s">
        <v>85</v>
      </c>
      <c r="B1585" t="str">
        <f>TEXT(Table1[[#This Row],[Date]],"MMMM")</f>
        <v>February</v>
      </c>
      <c r="C1585" t="str">
        <f>TEXT(Table1[[#This Row],[Date]],"DDDD")</f>
        <v>Thursday</v>
      </c>
      <c r="D1585" t="s">
        <v>49</v>
      </c>
      <c r="E1585" t="s">
        <v>28</v>
      </c>
      <c r="F1585" t="s">
        <v>29</v>
      </c>
      <c r="G1585" t="s">
        <v>37</v>
      </c>
      <c r="H1585" t="s">
        <v>56</v>
      </c>
      <c r="I1585" t="s">
        <v>32</v>
      </c>
      <c r="J1585" s="3">
        <v>320000</v>
      </c>
      <c r="K1585">
        <v>3</v>
      </c>
      <c r="L1585" t="s">
        <v>47</v>
      </c>
      <c r="M1585" s="3">
        <v>256000</v>
      </c>
      <c r="N1585" s="3">
        <f>Table1[[#This Row],[Unit Price]]*Table1[[#This Row],[Quantity]]</f>
        <v>960000</v>
      </c>
      <c r="O1585" s="3">
        <f>Table1[[#This Row],[Cost Price]]*Table1[[#This Row],[Quantity]]</f>
        <v>768000</v>
      </c>
      <c r="P1585" s="3">
        <f>Table1[[#This Row],[Revenue]]-Table1[[#This Row],[COGS]]</f>
        <v>192000</v>
      </c>
      <c r="Q1585" s="1">
        <v>1584</v>
      </c>
    </row>
    <row r="1586" spans="1:17">
      <c r="A1586" t="s">
        <v>136</v>
      </c>
      <c r="B1586" t="str">
        <f>TEXT(Table1[[#This Row],[Date]],"MMMM")</f>
        <v>February</v>
      </c>
      <c r="C1586" t="str">
        <f>TEXT(Table1[[#This Row],[Date]],"DDDD")</f>
        <v>Saturday</v>
      </c>
      <c r="D1586" t="s">
        <v>44</v>
      </c>
      <c r="E1586" t="s">
        <v>28</v>
      </c>
      <c r="F1586" t="s">
        <v>41</v>
      </c>
      <c r="G1586" t="s">
        <v>37</v>
      </c>
      <c r="H1586" t="s">
        <v>71</v>
      </c>
      <c r="I1586" t="s">
        <v>51</v>
      </c>
      <c r="J1586" s="3">
        <v>250000</v>
      </c>
      <c r="K1586">
        <v>10</v>
      </c>
      <c r="L1586" t="s">
        <v>47</v>
      </c>
      <c r="M1586" s="3">
        <v>200000</v>
      </c>
      <c r="N1586" s="3">
        <f>Table1[[#This Row],[Unit Price]]*Table1[[#This Row],[Quantity]]</f>
        <v>2500000</v>
      </c>
      <c r="O1586" s="3">
        <f>Table1[[#This Row],[Cost Price]]*Table1[[#This Row],[Quantity]]</f>
        <v>2000000</v>
      </c>
      <c r="P1586" s="3">
        <f>Table1[[#This Row],[Revenue]]-Table1[[#This Row],[COGS]]</f>
        <v>500000</v>
      </c>
      <c r="Q1586" s="1">
        <v>1585</v>
      </c>
    </row>
    <row r="1587" spans="1:17">
      <c r="A1587" t="s">
        <v>43</v>
      </c>
      <c r="B1587" t="str">
        <f>TEXT(Table1[[#This Row],[Date]],"MMMM")</f>
        <v>April</v>
      </c>
      <c r="C1587" t="str">
        <f>TEXT(Table1[[#This Row],[Date]],"DDDD")</f>
        <v>Friday</v>
      </c>
      <c r="D1587" t="s">
        <v>35</v>
      </c>
      <c r="E1587" t="s">
        <v>45</v>
      </c>
      <c r="F1587" t="s">
        <v>29</v>
      </c>
      <c r="G1587" t="s">
        <v>30</v>
      </c>
      <c r="H1587" t="s">
        <v>62</v>
      </c>
      <c r="I1587" t="s">
        <v>51</v>
      </c>
      <c r="J1587" s="3">
        <v>150000</v>
      </c>
      <c r="K1587">
        <v>9</v>
      </c>
      <c r="L1587" t="s">
        <v>69</v>
      </c>
      <c r="M1587" s="3">
        <v>120000</v>
      </c>
      <c r="N1587" s="3">
        <f>Table1[[#This Row],[Unit Price]]*Table1[[#This Row],[Quantity]]</f>
        <v>1350000</v>
      </c>
      <c r="O1587" s="3">
        <f>Table1[[#This Row],[Cost Price]]*Table1[[#This Row],[Quantity]]</f>
        <v>1080000</v>
      </c>
      <c r="P1587" s="3">
        <f>Table1[[#This Row],[Revenue]]-Table1[[#This Row],[COGS]]</f>
        <v>270000</v>
      </c>
      <c r="Q1587" s="1">
        <v>1586</v>
      </c>
    </row>
    <row r="1588" spans="1:17">
      <c r="A1588" t="s">
        <v>89</v>
      </c>
      <c r="B1588" t="str">
        <f>TEXT(Table1[[#This Row],[Date]],"MMMM")</f>
        <v>February</v>
      </c>
      <c r="C1588" t="str">
        <f>TEXT(Table1[[#This Row],[Date]],"DDDD")</f>
        <v>Tuesday</v>
      </c>
      <c r="D1588" t="s">
        <v>27</v>
      </c>
      <c r="E1588" t="s">
        <v>28</v>
      </c>
      <c r="F1588" t="s">
        <v>41</v>
      </c>
      <c r="G1588" t="s">
        <v>30</v>
      </c>
      <c r="H1588" t="s">
        <v>50</v>
      </c>
      <c r="I1588" t="s">
        <v>51</v>
      </c>
      <c r="J1588" s="3">
        <v>300000</v>
      </c>
      <c r="K1588">
        <v>10</v>
      </c>
      <c r="L1588" t="s">
        <v>33</v>
      </c>
      <c r="M1588" s="3">
        <v>240000</v>
      </c>
      <c r="N1588" s="3">
        <f>Table1[[#This Row],[Unit Price]]*Table1[[#This Row],[Quantity]]</f>
        <v>3000000</v>
      </c>
      <c r="O1588" s="3">
        <f>Table1[[#This Row],[Cost Price]]*Table1[[#This Row],[Quantity]]</f>
        <v>2400000</v>
      </c>
      <c r="P1588" s="3">
        <f>Table1[[#This Row],[Revenue]]-Table1[[#This Row],[COGS]]</f>
        <v>600000</v>
      </c>
      <c r="Q1588" s="1">
        <v>1587</v>
      </c>
    </row>
    <row r="1589" spans="1:17">
      <c r="A1589" t="s">
        <v>89</v>
      </c>
      <c r="B1589" t="str">
        <f>TEXT(Table1[[#This Row],[Date]],"MMMM")</f>
        <v>February</v>
      </c>
      <c r="C1589" t="str">
        <f>TEXT(Table1[[#This Row],[Date]],"DDDD")</f>
        <v>Tuesday</v>
      </c>
      <c r="D1589" t="s">
        <v>35</v>
      </c>
      <c r="E1589" t="s">
        <v>28</v>
      </c>
      <c r="F1589" t="s">
        <v>41</v>
      </c>
      <c r="G1589" t="s">
        <v>37</v>
      </c>
      <c r="H1589" t="s">
        <v>50</v>
      </c>
      <c r="I1589" t="s">
        <v>51</v>
      </c>
      <c r="J1589" s="3">
        <v>300000</v>
      </c>
      <c r="K1589">
        <v>2</v>
      </c>
      <c r="L1589" t="s">
        <v>58</v>
      </c>
      <c r="M1589" s="3">
        <v>240000</v>
      </c>
      <c r="N1589" s="3">
        <f>Table1[[#This Row],[Unit Price]]*Table1[[#This Row],[Quantity]]</f>
        <v>600000</v>
      </c>
      <c r="O1589" s="3">
        <f>Table1[[#This Row],[Cost Price]]*Table1[[#This Row],[Quantity]]</f>
        <v>480000</v>
      </c>
      <c r="P1589" s="3">
        <f>Table1[[#This Row],[Revenue]]-Table1[[#This Row],[COGS]]</f>
        <v>120000</v>
      </c>
      <c r="Q1589" s="1">
        <v>1588</v>
      </c>
    </row>
    <row r="1590" spans="1:17">
      <c r="A1590" t="s">
        <v>126</v>
      </c>
      <c r="B1590" t="str">
        <f>TEXT(Table1[[#This Row],[Date]],"MMMM")</f>
        <v>January</v>
      </c>
      <c r="C1590" t="str">
        <f>TEXT(Table1[[#This Row],[Date]],"DDDD")</f>
        <v>Thursday</v>
      </c>
      <c r="D1590" t="s">
        <v>35</v>
      </c>
      <c r="E1590" t="s">
        <v>53</v>
      </c>
      <c r="F1590" t="s">
        <v>29</v>
      </c>
      <c r="G1590" t="s">
        <v>37</v>
      </c>
      <c r="H1590" t="s">
        <v>54</v>
      </c>
      <c r="I1590" t="s">
        <v>39</v>
      </c>
      <c r="J1590" s="3">
        <v>180000</v>
      </c>
      <c r="K1590">
        <v>2</v>
      </c>
      <c r="L1590" t="s">
        <v>58</v>
      </c>
      <c r="M1590" s="3">
        <v>144000</v>
      </c>
      <c r="N1590" s="3">
        <f>Table1[[#This Row],[Unit Price]]*Table1[[#This Row],[Quantity]]</f>
        <v>360000</v>
      </c>
      <c r="O1590" s="3">
        <f>Table1[[#This Row],[Cost Price]]*Table1[[#This Row],[Quantity]]</f>
        <v>288000</v>
      </c>
      <c r="P1590" s="3">
        <f>Table1[[#This Row],[Revenue]]-Table1[[#This Row],[COGS]]</f>
        <v>72000</v>
      </c>
      <c r="Q1590" s="1">
        <v>1589</v>
      </c>
    </row>
    <row r="1591" spans="1:17">
      <c r="A1591" t="s">
        <v>131</v>
      </c>
      <c r="B1591" t="str">
        <f>TEXT(Table1[[#This Row],[Date]],"MMMM")</f>
        <v>March</v>
      </c>
      <c r="C1591" t="str">
        <f>TEXT(Table1[[#This Row],[Date]],"DDDD")</f>
        <v>Friday</v>
      </c>
      <c r="D1591" t="s">
        <v>27</v>
      </c>
      <c r="E1591" t="s">
        <v>53</v>
      </c>
      <c r="F1591" t="s">
        <v>41</v>
      </c>
      <c r="G1591" t="s">
        <v>37</v>
      </c>
      <c r="H1591" t="s">
        <v>56</v>
      </c>
      <c r="I1591" t="s">
        <v>32</v>
      </c>
      <c r="J1591" s="3">
        <v>320000</v>
      </c>
      <c r="K1591">
        <v>10</v>
      </c>
      <c r="L1591" t="s">
        <v>69</v>
      </c>
      <c r="M1591" s="3">
        <v>256000</v>
      </c>
      <c r="N1591" s="3">
        <f>Table1[[#This Row],[Unit Price]]*Table1[[#This Row],[Quantity]]</f>
        <v>3200000</v>
      </c>
      <c r="O1591" s="3">
        <f>Table1[[#This Row],[Cost Price]]*Table1[[#This Row],[Quantity]]</f>
        <v>2560000</v>
      </c>
      <c r="P1591" s="3">
        <f>Table1[[#This Row],[Revenue]]-Table1[[#This Row],[COGS]]</f>
        <v>640000</v>
      </c>
      <c r="Q1591" s="1">
        <v>1590</v>
      </c>
    </row>
    <row r="1592" spans="1:17">
      <c r="A1592" t="s">
        <v>163</v>
      </c>
      <c r="B1592" t="str">
        <f>TEXT(Table1[[#This Row],[Date]],"MMMM")</f>
        <v>April</v>
      </c>
      <c r="C1592" t="str">
        <f>TEXT(Table1[[#This Row],[Date]],"DDDD")</f>
        <v>Tuesday</v>
      </c>
      <c r="D1592" t="s">
        <v>49</v>
      </c>
      <c r="E1592" t="s">
        <v>28</v>
      </c>
      <c r="F1592" t="s">
        <v>41</v>
      </c>
      <c r="G1592" t="s">
        <v>37</v>
      </c>
      <c r="H1592" t="s">
        <v>56</v>
      </c>
      <c r="I1592" t="s">
        <v>32</v>
      </c>
      <c r="J1592" s="3">
        <v>320000</v>
      </c>
      <c r="K1592">
        <v>1</v>
      </c>
      <c r="L1592" t="s">
        <v>65</v>
      </c>
      <c r="M1592" s="3">
        <v>256000</v>
      </c>
      <c r="N1592" s="3">
        <f>Table1[[#This Row],[Unit Price]]*Table1[[#This Row],[Quantity]]</f>
        <v>320000</v>
      </c>
      <c r="O1592" s="3">
        <f>Table1[[#This Row],[Cost Price]]*Table1[[#This Row],[Quantity]]</f>
        <v>256000</v>
      </c>
      <c r="P1592" s="3">
        <f>Table1[[#This Row],[Revenue]]-Table1[[#This Row],[COGS]]</f>
        <v>64000</v>
      </c>
      <c r="Q1592" s="1">
        <v>1591</v>
      </c>
    </row>
    <row r="1593" spans="1:17">
      <c r="A1593" t="s">
        <v>81</v>
      </c>
      <c r="B1593" t="str">
        <f>TEXT(Table1[[#This Row],[Date]],"MMMM")</f>
        <v>March</v>
      </c>
      <c r="C1593" t="str">
        <f>TEXT(Table1[[#This Row],[Date]],"DDDD")</f>
        <v>Sunday</v>
      </c>
      <c r="D1593" t="s">
        <v>49</v>
      </c>
      <c r="E1593" t="s">
        <v>53</v>
      </c>
      <c r="F1593" t="s">
        <v>29</v>
      </c>
      <c r="G1593" t="s">
        <v>37</v>
      </c>
      <c r="H1593" t="s">
        <v>62</v>
      </c>
      <c r="I1593" t="s">
        <v>51</v>
      </c>
      <c r="J1593" s="3">
        <v>150000</v>
      </c>
      <c r="K1593">
        <v>6</v>
      </c>
      <c r="L1593" t="s">
        <v>58</v>
      </c>
      <c r="M1593" s="3">
        <v>120000</v>
      </c>
      <c r="N1593" s="3">
        <f>Table1[[#This Row],[Unit Price]]*Table1[[#This Row],[Quantity]]</f>
        <v>900000</v>
      </c>
      <c r="O1593" s="3">
        <f>Table1[[#This Row],[Cost Price]]*Table1[[#This Row],[Quantity]]</f>
        <v>720000</v>
      </c>
      <c r="P1593" s="3">
        <f>Table1[[#This Row],[Revenue]]-Table1[[#This Row],[COGS]]</f>
        <v>180000</v>
      </c>
      <c r="Q1593" s="1">
        <v>1592</v>
      </c>
    </row>
    <row r="1594" spans="1:17">
      <c r="A1594" t="s">
        <v>108</v>
      </c>
      <c r="B1594" t="str">
        <f>TEXT(Table1[[#This Row],[Date]],"MMMM")</f>
        <v>April</v>
      </c>
      <c r="C1594" t="str">
        <f>TEXT(Table1[[#This Row],[Date]],"DDDD")</f>
        <v>Thursday</v>
      </c>
      <c r="D1594" t="s">
        <v>49</v>
      </c>
      <c r="E1594" t="s">
        <v>36</v>
      </c>
      <c r="F1594" t="s">
        <v>41</v>
      </c>
      <c r="G1594" t="s">
        <v>37</v>
      </c>
      <c r="H1594" t="s">
        <v>31</v>
      </c>
      <c r="I1594" t="s">
        <v>32</v>
      </c>
      <c r="J1594" s="3">
        <v>85000</v>
      </c>
      <c r="K1594">
        <v>9</v>
      </c>
      <c r="L1594" t="s">
        <v>58</v>
      </c>
      <c r="M1594" s="3">
        <v>68000</v>
      </c>
      <c r="N1594" s="3">
        <f>Table1[[#This Row],[Unit Price]]*Table1[[#This Row],[Quantity]]</f>
        <v>765000</v>
      </c>
      <c r="O1594" s="3">
        <f>Table1[[#This Row],[Cost Price]]*Table1[[#This Row],[Quantity]]</f>
        <v>612000</v>
      </c>
      <c r="P1594" s="3">
        <f>Table1[[#This Row],[Revenue]]-Table1[[#This Row],[COGS]]</f>
        <v>153000</v>
      </c>
      <c r="Q1594" s="1">
        <v>1593</v>
      </c>
    </row>
    <row r="1595" spans="1:17">
      <c r="A1595" t="s">
        <v>90</v>
      </c>
      <c r="B1595" t="str">
        <f>TEXT(Table1[[#This Row],[Date]],"MMMM")</f>
        <v>February</v>
      </c>
      <c r="C1595" t="str">
        <f>TEXT(Table1[[#This Row],[Date]],"DDDD")</f>
        <v>Tuesday</v>
      </c>
      <c r="D1595" t="s">
        <v>27</v>
      </c>
      <c r="E1595" t="s">
        <v>28</v>
      </c>
      <c r="F1595" t="s">
        <v>29</v>
      </c>
      <c r="G1595" t="s">
        <v>30</v>
      </c>
      <c r="H1595" t="s">
        <v>67</v>
      </c>
      <c r="I1595" t="s">
        <v>51</v>
      </c>
      <c r="J1595" s="3">
        <v>420000</v>
      </c>
      <c r="K1595">
        <v>7</v>
      </c>
      <c r="L1595" t="s">
        <v>33</v>
      </c>
      <c r="M1595" s="3">
        <v>336000</v>
      </c>
      <c r="N1595" s="3">
        <f>Table1[[#This Row],[Unit Price]]*Table1[[#This Row],[Quantity]]</f>
        <v>2940000</v>
      </c>
      <c r="O1595" s="3">
        <f>Table1[[#This Row],[Cost Price]]*Table1[[#This Row],[Quantity]]</f>
        <v>2352000</v>
      </c>
      <c r="P1595" s="3">
        <f>Table1[[#This Row],[Revenue]]-Table1[[#This Row],[COGS]]</f>
        <v>588000</v>
      </c>
      <c r="Q1595" s="1">
        <v>1594</v>
      </c>
    </row>
    <row r="1596" spans="1:17">
      <c r="A1596" t="s">
        <v>97</v>
      </c>
      <c r="B1596" t="str">
        <f>TEXT(Table1[[#This Row],[Date]],"MMMM")</f>
        <v>January</v>
      </c>
      <c r="C1596" t="str">
        <f>TEXT(Table1[[#This Row],[Date]],"DDDD")</f>
        <v>Sunday</v>
      </c>
      <c r="D1596" t="s">
        <v>35</v>
      </c>
      <c r="E1596" t="s">
        <v>28</v>
      </c>
      <c r="F1596" t="s">
        <v>29</v>
      </c>
      <c r="G1596" t="s">
        <v>30</v>
      </c>
      <c r="H1596" t="s">
        <v>38</v>
      </c>
      <c r="I1596" t="s">
        <v>39</v>
      </c>
      <c r="J1596" s="3">
        <v>30000</v>
      </c>
      <c r="K1596">
        <v>3</v>
      </c>
      <c r="L1596" t="s">
        <v>58</v>
      </c>
      <c r="M1596" s="3">
        <v>24000</v>
      </c>
      <c r="N1596" s="3">
        <f>Table1[[#This Row],[Unit Price]]*Table1[[#This Row],[Quantity]]</f>
        <v>90000</v>
      </c>
      <c r="O1596" s="3">
        <f>Table1[[#This Row],[Cost Price]]*Table1[[#This Row],[Quantity]]</f>
        <v>72000</v>
      </c>
      <c r="P1596" s="3">
        <f>Table1[[#This Row],[Revenue]]-Table1[[#This Row],[COGS]]</f>
        <v>18000</v>
      </c>
      <c r="Q1596" s="1">
        <v>1595</v>
      </c>
    </row>
    <row r="1597" spans="1:17">
      <c r="A1597" t="s">
        <v>121</v>
      </c>
      <c r="B1597" t="str">
        <f>TEXT(Table1[[#This Row],[Date]],"MMMM")</f>
        <v>April</v>
      </c>
      <c r="C1597" t="str">
        <f>TEXT(Table1[[#This Row],[Date]],"DDDD")</f>
        <v>Wednesday</v>
      </c>
      <c r="D1597" t="s">
        <v>35</v>
      </c>
      <c r="E1597" t="s">
        <v>36</v>
      </c>
      <c r="F1597" t="s">
        <v>41</v>
      </c>
      <c r="G1597" t="s">
        <v>37</v>
      </c>
      <c r="H1597" t="s">
        <v>38</v>
      </c>
      <c r="I1597" t="s">
        <v>39</v>
      </c>
      <c r="J1597" s="3">
        <v>30000</v>
      </c>
      <c r="K1597">
        <v>9</v>
      </c>
      <c r="L1597" t="s">
        <v>33</v>
      </c>
      <c r="M1597" s="3">
        <v>24000</v>
      </c>
      <c r="N1597" s="3">
        <f>Table1[[#This Row],[Unit Price]]*Table1[[#This Row],[Quantity]]</f>
        <v>270000</v>
      </c>
      <c r="O1597" s="3">
        <f>Table1[[#This Row],[Cost Price]]*Table1[[#This Row],[Quantity]]</f>
        <v>216000</v>
      </c>
      <c r="P1597" s="3">
        <f>Table1[[#This Row],[Revenue]]-Table1[[#This Row],[COGS]]</f>
        <v>54000</v>
      </c>
      <c r="Q1597" s="1">
        <v>1596</v>
      </c>
    </row>
    <row r="1598" spans="1:17">
      <c r="A1598" t="s">
        <v>26</v>
      </c>
      <c r="B1598" t="str">
        <f>TEXT(Table1[[#This Row],[Date]],"MMMM")</f>
        <v>January</v>
      </c>
      <c r="C1598" t="str">
        <f>TEXT(Table1[[#This Row],[Date]],"DDDD")</f>
        <v>Sunday</v>
      </c>
      <c r="D1598" t="s">
        <v>44</v>
      </c>
      <c r="E1598" t="s">
        <v>28</v>
      </c>
      <c r="F1598" t="s">
        <v>41</v>
      </c>
      <c r="G1598" t="s">
        <v>37</v>
      </c>
      <c r="H1598" t="s">
        <v>46</v>
      </c>
      <c r="I1598" t="s">
        <v>39</v>
      </c>
      <c r="J1598" s="3">
        <v>60000</v>
      </c>
      <c r="K1598">
        <v>1</v>
      </c>
      <c r="L1598" t="s">
        <v>65</v>
      </c>
      <c r="M1598" s="3">
        <v>48000</v>
      </c>
      <c r="N1598" s="3">
        <f>Table1[[#This Row],[Unit Price]]*Table1[[#This Row],[Quantity]]</f>
        <v>60000</v>
      </c>
      <c r="O1598" s="3">
        <f>Table1[[#This Row],[Cost Price]]*Table1[[#This Row],[Quantity]]</f>
        <v>48000</v>
      </c>
      <c r="P1598" s="3">
        <f>Table1[[#This Row],[Revenue]]-Table1[[#This Row],[COGS]]</f>
        <v>12000</v>
      </c>
      <c r="Q1598" s="1">
        <v>1597</v>
      </c>
    </row>
    <row r="1599" spans="1:17">
      <c r="A1599" t="s">
        <v>159</v>
      </c>
      <c r="B1599" t="str">
        <f>TEXT(Table1[[#This Row],[Date]],"MMMM")</f>
        <v>February</v>
      </c>
      <c r="C1599" t="str">
        <f>TEXT(Table1[[#This Row],[Date]],"DDDD")</f>
        <v>Sunday</v>
      </c>
      <c r="D1599" t="s">
        <v>49</v>
      </c>
      <c r="E1599" t="s">
        <v>28</v>
      </c>
      <c r="F1599" t="s">
        <v>41</v>
      </c>
      <c r="G1599" t="s">
        <v>30</v>
      </c>
      <c r="H1599" t="s">
        <v>71</v>
      </c>
      <c r="I1599" t="s">
        <v>51</v>
      </c>
      <c r="J1599" s="3">
        <v>250000</v>
      </c>
      <c r="K1599">
        <v>1</v>
      </c>
      <c r="L1599" t="s">
        <v>69</v>
      </c>
      <c r="M1599" s="3">
        <v>200000</v>
      </c>
      <c r="N1599" s="3">
        <f>Table1[[#This Row],[Unit Price]]*Table1[[#This Row],[Quantity]]</f>
        <v>250000</v>
      </c>
      <c r="O1599" s="3">
        <f>Table1[[#This Row],[Cost Price]]*Table1[[#This Row],[Quantity]]</f>
        <v>200000</v>
      </c>
      <c r="P1599" s="3">
        <f>Table1[[#This Row],[Revenue]]-Table1[[#This Row],[COGS]]</f>
        <v>50000</v>
      </c>
      <c r="Q1599" s="1">
        <v>1598</v>
      </c>
    </row>
    <row r="1600" spans="1:17">
      <c r="A1600" t="s">
        <v>156</v>
      </c>
      <c r="B1600" t="str">
        <f>TEXT(Table1[[#This Row],[Date]],"MMMM")</f>
        <v>February</v>
      </c>
      <c r="C1600" t="str">
        <f>TEXT(Table1[[#This Row],[Date]],"DDDD")</f>
        <v>Friday</v>
      </c>
      <c r="D1600" t="s">
        <v>49</v>
      </c>
      <c r="E1600" t="s">
        <v>36</v>
      </c>
      <c r="F1600" t="s">
        <v>41</v>
      </c>
      <c r="G1600" t="s">
        <v>30</v>
      </c>
      <c r="H1600" t="s">
        <v>62</v>
      </c>
      <c r="I1600" t="s">
        <v>51</v>
      </c>
      <c r="J1600" s="3">
        <v>150000</v>
      </c>
      <c r="K1600">
        <v>9</v>
      </c>
      <c r="L1600" t="s">
        <v>33</v>
      </c>
      <c r="M1600" s="3">
        <v>120000</v>
      </c>
      <c r="N1600" s="3">
        <f>Table1[[#This Row],[Unit Price]]*Table1[[#This Row],[Quantity]]</f>
        <v>1350000</v>
      </c>
      <c r="O1600" s="3">
        <f>Table1[[#This Row],[Cost Price]]*Table1[[#This Row],[Quantity]]</f>
        <v>1080000</v>
      </c>
      <c r="P1600" s="3">
        <f>Table1[[#This Row],[Revenue]]-Table1[[#This Row],[COGS]]</f>
        <v>270000</v>
      </c>
      <c r="Q1600" s="1">
        <v>1599</v>
      </c>
    </row>
    <row r="1601" spans="1:17">
      <c r="A1601" t="s">
        <v>168</v>
      </c>
      <c r="B1601" t="str">
        <f>TEXT(Table1[[#This Row],[Date]],"MMMM")</f>
        <v>April</v>
      </c>
      <c r="C1601" t="str">
        <f>TEXT(Table1[[#This Row],[Date]],"DDDD")</f>
        <v>Wednesday</v>
      </c>
      <c r="D1601" t="s">
        <v>27</v>
      </c>
      <c r="E1601" t="s">
        <v>45</v>
      </c>
      <c r="F1601" t="s">
        <v>41</v>
      </c>
      <c r="G1601" t="s">
        <v>30</v>
      </c>
      <c r="H1601" t="s">
        <v>62</v>
      </c>
      <c r="I1601" t="s">
        <v>51</v>
      </c>
      <c r="J1601" s="3">
        <v>150000</v>
      </c>
      <c r="K1601">
        <v>8</v>
      </c>
      <c r="L1601" t="s">
        <v>42</v>
      </c>
      <c r="M1601" s="3">
        <v>120000</v>
      </c>
      <c r="N1601" s="3">
        <f>Table1[[#This Row],[Unit Price]]*Table1[[#This Row],[Quantity]]</f>
        <v>1200000</v>
      </c>
      <c r="O1601" s="3">
        <f>Table1[[#This Row],[Cost Price]]*Table1[[#This Row],[Quantity]]</f>
        <v>960000</v>
      </c>
      <c r="P1601" s="3">
        <f>Table1[[#This Row],[Revenue]]-Table1[[#This Row],[COGS]]</f>
        <v>240000</v>
      </c>
      <c r="Q1601" s="1">
        <v>1600</v>
      </c>
    </row>
    <row r="1602" spans="1:17">
      <c r="A1602" t="s">
        <v>111</v>
      </c>
      <c r="B1602" t="str">
        <f>TEXT(Table1[[#This Row],[Date]],"MMMM")</f>
        <v>February</v>
      </c>
      <c r="C1602" t="str">
        <f>TEXT(Table1[[#This Row],[Date]],"DDDD")</f>
        <v>Wednesday</v>
      </c>
      <c r="D1602" t="s">
        <v>44</v>
      </c>
      <c r="E1602" t="s">
        <v>28</v>
      </c>
      <c r="F1602" t="s">
        <v>29</v>
      </c>
      <c r="G1602" t="s">
        <v>37</v>
      </c>
      <c r="H1602" t="s">
        <v>46</v>
      </c>
      <c r="I1602" t="s">
        <v>39</v>
      </c>
      <c r="J1602" s="3">
        <v>60000</v>
      </c>
      <c r="K1602">
        <v>4</v>
      </c>
      <c r="L1602" t="s">
        <v>42</v>
      </c>
      <c r="M1602" s="3">
        <v>48000</v>
      </c>
      <c r="N1602" s="3">
        <f>Table1[[#This Row],[Unit Price]]*Table1[[#This Row],[Quantity]]</f>
        <v>240000</v>
      </c>
      <c r="O1602" s="3">
        <f>Table1[[#This Row],[Cost Price]]*Table1[[#This Row],[Quantity]]</f>
        <v>192000</v>
      </c>
      <c r="P1602" s="3">
        <f>Table1[[#This Row],[Revenue]]-Table1[[#This Row],[COGS]]</f>
        <v>48000</v>
      </c>
      <c r="Q1602" s="1">
        <v>1601</v>
      </c>
    </row>
    <row r="1603" spans="1:17">
      <c r="A1603" t="s">
        <v>75</v>
      </c>
      <c r="B1603" t="str">
        <f>TEXT(Table1[[#This Row],[Date]],"MMMM")</f>
        <v>March</v>
      </c>
      <c r="C1603" t="str">
        <f>TEXT(Table1[[#This Row],[Date]],"DDDD")</f>
        <v>Monday</v>
      </c>
      <c r="D1603" t="s">
        <v>27</v>
      </c>
      <c r="E1603" t="s">
        <v>53</v>
      </c>
      <c r="F1603" t="s">
        <v>29</v>
      </c>
      <c r="G1603" t="s">
        <v>37</v>
      </c>
      <c r="H1603" t="s">
        <v>38</v>
      </c>
      <c r="I1603" t="s">
        <v>39</v>
      </c>
      <c r="J1603" s="3">
        <v>30000</v>
      </c>
      <c r="K1603">
        <v>3</v>
      </c>
      <c r="L1603" t="s">
        <v>58</v>
      </c>
      <c r="M1603" s="3">
        <v>24000</v>
      </c>
      <c r="N1603" s="3">
        <f>Table1[[#This Row],[Unit Price]]*Table1[[#This Row],[Quantity]]</f>
        <v>90000</v>
      </c>
      <c r="O1603" s="3">
        <f>Table1[[#This Row],[Cost Price]]*Table1[[#This Row],[Quantity]]</f>
        <v>72000</v>
      </c>
      <c r="P1603" s="3">
        <f>Table1[[#This Row],[Revenue]]-Table1[[#This Row],[COGS]]</f>
        <v>18000</v>
      </c>
      <c r="Q1603" s="1">
        <v>1602</v>
      </c>
    </row>
    <row r="1604" spans="1:17">
      <c r="A1604" t="s">
        <v>99</v>
      </c>
      <c r="B1604" t="str">
        <f>TEXT(Table1[[#This Row],[Date]],"MMMM")</f>
        <v>April</v>
      </c>
      <c r="C1604" t="str">
        <f>TEXT(Table1[[#This Row],[Date]],"DDDD")</f>
        <v>Sunday</v>
      </c>
      <c r="D1604" t="s">
        <v>27</v>
      </c>
      <c r="E1604" t="s">
        <v>28</v>
      </c>
      <c r="F1604" t="s">
        <v>29</v>
      </c>
      <c r="G1604" t="s">
        <v>37</v>
      </c>
      <c r="H1604" t="s">
        <v>56</v>
      </c>
      <c r="I1604" t="s">
        <v>32</v>
      </c>
      <c r="J1604" s="3">
        <v>320000</v>
      </c>
      <c r="K1604">
        <v>4</v>
      </c>
      <c r="L1604" t="s">
        <v>58</v>
      </c>
      <c r="M1604" s="3">
        <v>256000</v>
      </c>
      <c r="N1604" s="3">
        <f>Table1[[#This Row],[Unit Price]]*Table1[[#This Row],[Quantity]]</f>
        <v>1280000</v>
      </c>
      <c r="O1604" s="3">
        <f>Table1[[#This Row],[Cost Price]]*Table1[[#This Row],[Quantity]]</f>
        <v>1024000</v>
      </c>
      <c r="P1604" s="3">
        <f>Table1[[#This Row],[Revenue]]-Table1[[#This Row],[COGS]]</f>
        <v>256000</v>
      </c>
      <c r="Q1604" s="1">
        <v>1603</v>
      </c>
    </row>
    <row r="1605" spans="1:17">
      <c r="A1605" t="s">
        <v>75</v>
      </c>
      <c r="B1605" t="str">
        <f>TEXT(Table1[[#This Row],[Date]],"MMMM")</f>
        <v>March</v>
      </c>
      <c r="C1605" t="str">
        <f>TEXT(Table1[[#This Row],[Date]],"DDDD")</f>
        <v>Monday</v>
      </c>
      <c r="D1605" t="s">
        <v>49</v>
      </c>
      <c r="E1605" t="s">
        <v>45</v>
      </c>
      <c r="F1605" t="s">
        <v>41</v>
      </c>
      <c r="G1605" t="s">
        <v>30</v>
      </c>
      <c r="H1605" t="s">
        <v>54</v>
      </c>
      <c r="I1605" t="s">
        <v>39</v>
      </c>
      <c r="J1605" s="3">
        <v>180000</v>
      </c>
      <c r="K1605">
        <v>8</v>
      </c>
      <c r="L1605" t="s">
        <v>47</v>
      </c>
      <c r="M1605" s="3">
        <v>144000</v>
      </c>
      <c r="N1605" s="3">
        <f>Table1[[#This Row],[Unit Price]]*Table1[[#This Row],[Quantity]]</f>
        <v>1440000</v>
      </c>
      <c r="O1605" s="3">
        <f>Table1[[#This Row],[Cost Price]]*Table1[[#This Row],[Quantity]]</f>
        <v>1152000</v>
      </c>
      <c r="P1605" s="3">
        <f>Table1[[#This Row],[Revenue]]-Table1[[#This Row],[COGS]]</f>
        <v>288000</v>
      </c>
      <c r="Q1605" s="1">
        <v>1604</v>
      </c>
    </row>
    <row r="1606" spans="1:17">
      <c r="A1606" t="s">
        <v>121</v>
      </c>
      <c r="B1606" t="str">
        <f>TEXT(Table1[[#This Row],[Date]],"MMMM")</f>
        <v>April</v>
      </c>
      <c r="C1606" t="str">
        <f>TEXT(Table1[[#This Row],[Date]],"DDDD")</f>
        <v>Wednesday</v>
      </c>
      <c r="D1606" t="s">
        <v>35</v>
      </c>
      <c r="E1606" t="s">
        <v>53</v>
      </c>
      <c r="F1606" t="s">
        <v>29</v>
      </c>
      <c r="G1606" t="s">
        <v>37</v>
      </c>
      <c r="H1606" t="s">
        <v>31</v>
      </c>
      <c r="I1606" t="s">
        <v>32</v>
      </c>
      <c r="J1606" s="3">
        <v>85000</v>
      </c>
      <c r="K1606">
        <v>4</v>
      </c>
      <c r="L1606" t="s">
        <v>42</v>
      </c>
      <c r="M1606" s="3">
        <v>68000</v>
      </c>
      <c r="N1606" s="3">
        <f>Table1[[#This Row],[Unit Price]]*Table1[[#This Row],[Quantity]]</f>
        <v>340000</v>
      </c>
      <c r="O1606" s="3">
        <f>Table1[[#This Row],[Cost Price]]*Table1[[#This Row],[Quantity]]</f>
        <v>272000</v>
      </c>
      <c r="P1606" s="3">
        <f>Table1[[#This Row],[Revenue]]-Table1[[#This Row],[COGS]]</f>
        <v>68000</v>
      </c>
      <c r="Q1606" s="1">
        <v>1605</v>
      </c>
    </row>
    <row r="1607" spans="1:17">
      <c r="A1607" t="s">
        <v>169</v>
      </c>
      <c r="B1607" t="str">
        <f>TEXT(Table1[[#This Row],[Date]],"MMMM")</f>
        <v>February</v>
      </c>
      <c r="C1607" t="str">
        <f>TEXT(Table1[[#This Row],[Date]],"DDDD")</f>
        <v>Saturday</v>
      </c>
      <c r="D1607" t="s">
        <v>49</v>
      </c>
      <c r="E1607" t="s">
        <v>36</v>
      </c>
      <c r="F1607" t="s">
        <v>41</v>
      </c>
      <c r="G1607" t="s">
        <v>37</v>
      </c>
      <c r="H1607" t="s">
        <v>73</v>
      </c>
      <c r="I1607" t="s">
        <v>39</v>
      </c>
      <c r="J1607" s="3">
        <v>220000</v>
      </c>
      <c r="K1607">
        <v>10</v>
      </c>
      <c r="L1607" t="s">
        <v>33</v>
      </c>
      <c r="M1607" s="3">
        <v>176000</v>
      </c>
      <c r="N1607" s="3">
        <f>Table1[[#This Row],[Unit Price]]*Table1[[#This Row],[Quantity]]</f>
        <v>2200000</v>
      </c>
      <c r="O1607" s="3">
        <f>Table1[[#This Row],[Cost Price]]*Table1[[#This Row],[Quantity]]</f>
        <v>1760000</v>
      </c>
      <c r="P1607" s="3">
        <f>Table1[[#This Row],[Revenue]]-Table1[[#This Row],[COGS]]</f>
        <v>440000</v>
      </c>
      <c r="Q1607" s="1">
        <v>1606</v>
      </c>
    </row>
    <row r="1608" spans="1:17">
      <c r="A1608" t="s">
        <v>97</v>
      </c>
      <c r="B1608" t="str">
        <f>TEXT(Table1[[#This Row],[Date]],"MMMM")</f>
        <v>January</v>
      </c>
      <c r="C1608" t="str">
        <f>TEXT(Table1[[#This Row],[Date]],"DDDD")</f>
        <v>Sunday</v>
      </c>
      <c r="D1608" t="s">
        <v>44</v>
      </c>
      <c r="E1608" t="s">
        <v>28</v>
      </c>
      <c r="F1608" t="s">
        <v>41</v>
      </c>
      <c r="G1608" t="s">
        <v>37</v>
      </c>
      <c r="H1608" t="s">
        <v>31</v>
      </c>
      <c r="I1608" t="s">
        <v>32</v>
      </c>
      <c r="J1608" s="3">
        <v>85000</v>
      </c>
      <c r="K1608">
        <v>5</v>
      </c>
      <c r="L1608" t="s">
        <v>58</v>
      </c>
      <c r="M1608" s="3">
        <v>68000</v>
      </c>
      <c r="N1608" s="3">
        <f>Table1[[#This Row],[Unit Price]]*Table1[[#This Row],[Quantity]]</f>
        <v>425000</v>
      </c>
      <c r="O1608" s="3">
        <f>Table1[[#This Row],[Cost Price]]*Table1[[#This Row],[Quantity]]</f>
        <v>340000</v>
      </c>
      <c r="P1608" s="3">
        <f>Table1[[#This Row],[Revenue]]-Table1[[#This Row],[COGS]]</f>
        <v>85000</v>
      </c>
      <c r="Q1608" s="1">
        <v>1607</v>
      </c>
    </row>
    <row r="1609" spans="1:17">
      <c r="A1609" t="s">
        <v>98</v>
      </c>
      <c r="B1609" t="str">
        <f>TEXT(Table1[[#This Row],[Date]],"MMMM")</f>
        <v>January</v>
      </c>
      <c r="C1609" t="str">
        <f>TEXT(Table1[[#This Row],[Date]],"DDDD")</f>
        <v>Friday</v>
      </c>
      <c r="D1609" t="s">
        <v>27</v>
      </c>
      <c r="E1609" t="s">
        <v>36</v>
      </c>
      <c r="F1609" t="s">
        <v>29</v>
      </c>
      <c r="G1609" t="s">
        <v>37</v>
      </c>
      <c r="H1609" t="s">
        <v>50</v>
      </c>
      <c r="I1609" t="s">
        <v>51</v>
      </c>
      <c r="J1609" s="3">
        <v>300000</v>
      </c>
      <c r="K1609">
        <v>2</v>
      </c>
      <c r="L1609" t="s">
        <v>65</v>
      </c>
      <c r="M1609" s="3">
        <v>240000</v>
      </c>
      <c r="N1609" s="3">
        <f>Table1[[#This Row],[Unit Price]]*Table1[[#This Row],[Quantity]]</f>
        <v>600000</v>
      </c>
      <c r="O1609" s="3">
        <f>Table1[[#This Row],[Cost Price]]*Table1[[#This Row],[Quantity]]</f>
        <v>480000</v>
      </c>
      <c r="P1609" s="3">
        <f>Table1[[#This Row],[Revenue]]-Table1[[#This Row],[COGS]]</f>
        <v>120000</v>
      </c>
      <c r="Q1609" s="1">
        <v>1608</v>
      </c>
    </row>
    <row r="1610" spans="1:17">
      <c r="A1610" t="s">
        <v>120</v>
      </c>
      <c r="B1610" t="str">
        <f>TEXT(Table1[[#This Row],[Date]],"MMMM")</f>
        <v>March</v>
      </c>
      <c r="C1610" t="str">
        <f>TEXT(Table1[[#This Row],[Date]],"DDDD")</f>
        <v>Thursday</v>
      </c>
      <c r="D1610" t="s">
        <v>35</v>
      </c>
      <c r="E1610" t="s">
        <v>53</v>
      </c>
      <c r="F1610" t="s">
        <v>41</v>
      </c>
      <c r="G1610" t="s">
        <v>30</v>
      </c>
      <c r="H1610" t="s">
        <v>54</v>
      </c>
      <c r="I1610" t="s">
        <v>39</v>
      </c>
      <c r="J1610" s="3">
        <v>180000</v>
      </c>
      <c r="K1610">
        <v>1</v>
      </c>
      <c r="L1610" t="s">
        <v>58</v>
      </c>
      <c r="M1610" s="3">
        <v>144000</v>
      </c>
      <c r="N1610" s="3">
        <f>Table1[[#This Row],[Unit Price]]*Table1[[#This Row],[Quantity]]</f>
        <v>180000</v>
      </c>
      <c r="O1610" s="3">
        <f>Table1[[#This Row],[Cost Price]]*Table1[[#This Row],[Quantity]]</f>
        <v>144000</v>
      </c>
      <c r="P1610" s="3">
        <f>Table1[[#This Row],[Revenue]]-Table1[[#This Row],[COGS]]</f>
        <v>36000</v>
      </c>
      <c r="Q1610" s="1">
        <v>1609</v>
      </c>
    </row>
    <row r="1611" spans="1:17">
      <c r="A1611" t="s">
        <v>61</v>
      </c>
      <c r="B1611" t="str">
        <f>TEXT(Table1[[#This Row],[Date]],"MMMM")</f>
        <v>January</v>
      </c>
      <c r="C1611" t="str">
        <f>TEXT(Table1[[#This Row],[Date]],"DDDD")</f>
        <v>Friday</v>
      </c>
      <c r="D1611" t="s">
        <v>44</v>
      </c>
      <c r="E1611" t="s">
        <v>53</v>
      </c>
      <c r="F1611" t="s">
        <v>29</v>
      </c>
      <c r="G1611" t="s">
        <v>30</v>
      </c>
      <c r="H1611" t="s">
        <v>62</v>
      </c>
      <c r="I1611" t="s">
        <v>51</v>
      </c>
      <c r="J1611" s="3">
        <v>150000</v>
      </c>
      <c r="K1611">
        <v>3</v>
      </c>
      <c r="L1611" t="s">
        <v>58</v>
      </c>
      <c r="M1611" s="3">
        <v>120000</v>
      </c>
      <c r="N1611" s="3">
        <f>Table1[[#This Row],[Unit Price]]*Table1[[#This Row],[Quantity]]</f>
        <v>450000</v>
      </c>
      <c r="O1611" s="3">
        <f>Table1[[#This Row],[Cost Price]]*Table1[[#This Row],[Quantity]]</f>
        <v>360000</v>
      </c>
      <c r="P1611" s="3">
        <f>Table1[[#This Row],[Revenue]]-Table1[[#This Row],[COGS]]</f>
        <v>90000</v>
      </c>
      <c r="Q1611" s="1">
        <v>1610</v>
      </c>
    </row>
    <row r="1612" spans="1:17">
      <c r="A1612" t="s">
        <v>167</v>
      </c>
      <c r="B1612" t="str">
        <f>TEXT(Table1[[#This Row],[Date]],"MMMM")</f>
        <v>April</v>
      </c>
      <c r="C1612" t="str">
        <f>TEXT(Table1[[#This Row],[Date]],"DDDD")</f>
        <v>Wednesday</v>
      </c>
      <c r="D1612" t="s">
        <v>44</v>
      </c>
      <c r="E1612" t="s">
        <v>45</v>
      </c>
      <c r="F1612" t="s">
        <v>41</v>
      </c>
      <c r="G1612" t="s">
        <v>37</v>
      </c>
      <c r="H1612" t="s">
        <v>54</v>
      </c>
      <c r="I1612" t="s">
        <v>39</v>
      </c>
      <c r="J1612" s="3">
        <v>180000</v>
      </c>
      <c r="K1612">
        <v>3</v>
      </c>
      <c r="L1612" t="s">
        <v>47</v>
      </c>
      <c r="M1612" s="3">
        <v>144000</v>
      </c>
      <c r="N1612" s="3">
        <f>Table1[[#This Row],[Unit Price]]*Table1[[#This Row],[Quantity]]</f>
        <v>540000</v>
      </c>
      <c r="O1612" s="3">
        <f>Table1[[#This Row],[Cost Price]]*Table1[[#This Row],[Quantity]]</f>
        <v>432000</v>
      </c>
      <c r="P1612" s="3">
        <f>Table1[[#This Row],[Revenue]]-Table1[[#This Row],[COGS]]</f>
        <v>108000</v>
      </c>
      <c r="Q1612" s="1">
        <v>1611</v>
      </c>
    </row>
    <row r="1613" spans="1:17">
      <c r="A1613" t="s">
        <v>80</v>
      </c>
      <c r="B1613" t="str">
        <f>TEXT(Table1[[#This Row],[Date]],"MMMM")</f>
        <v>February</v>
      </c>
      <c r="C1613" t="str">
        <f>TEXT(Table1[[#This Row],[Date]],"DDDD")</f>
        <v>Sunday</v>
      </c>
      <c r="D1613" t="s">
        <v>49</v>
      </c>
      <c r="E1613" t="s">
        <v>45</v>
      </c>
      <c r="F1613" t="s">
        <v>29</v>
      </c>
      <c r="G1613" t="s">
        <v>30</v>
      </c>
      <c r="H1613" t="s">
        <v>62</v>
      </c>
      <c r="I1613" t="s">
        <v>51</v>
      </c>
      <c r="J1613" s="3">
        <v>150000</v>
      </c>
      <c r="K1613">
        <v>5</v>
      </c>
      <c r="L1613" t="s">
        <v>42</v>
      </c>
      <c r="M1613" s="3">
        <v>120000</v>
      </c>
      <c r="N1613" s="3">
        <f>Table1[[#This Row],[Unit Price]]*Table1[[#This Row],[Quantity]]</f>
        <v>750000</v>
      </c>
      <c r="O1613" s="3">
        <f>Table1[[#This Row],[Cost Price]]*Table1[[#This Row],[Quantity]]</f>
        <v>600000</v>
      </c>
      <c r="P1613" s="3">
        <f>Table1[[#This Row],[Revenue]]-Table1[[#This Row],[COGS]]</f>
        <v>150000</v>
      </c>
      <c r="Q1613" s="1">
        <v>1612</v>
      </c>
    </row>
    <row r="1614" spans="1:17">
      <c r="A1614" t="s">
        <v>91</v>
      </c>
      <c r="B1614" t="str">
        <f>TEXT(Table1[[#This Row],[Date]],"MMMM")</f>
        <v>February</v>
      </c>
      <c r="C1614" t="str">
        <f>TEXT(Table1[[#This Row],[Date]],"DDDD")</f>
        <v>Friday</v>
      </c>
      <c r="D1614" t="s">
        <v>35</v>
      </c>
      <c r="E1614" t="s">
        <v>53</v>
      </c>
      <c r="F1614" t="s">
        <v>41</v>
      </c>
      <c r="G1614" t="s">
        <v>30</v>
      </c>
      <c r="H1614" t="s">
        <v>46</v>
      </c>
      <c r="I1614" t="s">
        <v>39</v>
      </c>
      <c r="J1614" s="3">
        <v>60000</v>
      </c>
      <c r="K1614">
        <v>8</v>
      </c>
      <c r="L1614" t="s">
        <v>42</v>
      </c>
      <c r="M1614" s="3">
        <v>48000</v>
      </c>
      <c r="N1614" s="3">
        <f>Table1[[#This Row],[Unit Price]]*Table1[[#This Row],[Quantity]]</f>
        <v>480000</v>
      </c>
      <c r="O1614" s="3">
        <f>Table1[[#This Row],[Cost Price]]*Table1[[#This Row],[Quantity]]</f>
        <v>384000</v>
      </c>
      <c r="P1614" s="3">
        <f>Table1[[#This Row],[Revenue]]-Table1[[#This Row],[COGS]]</f>
        <v>96000</v>
      </c>
      <c r="Q1614" s="1">
        <v>1613</v>
      </c>
    </row>
    <row r="1615" spans="1:17">
      <c r="A1615" t="s">
        <v>177</v>
      </c>
      <c r="B1615" t="str">
        <f>TEXT(Table1[[#This Row],[Date]],"MMMM")</f>
        <v>March</v>
      </c>
      <c r="C1615" t="str">
        <f>TEXT(Table1[[#This Row],[Date]],"DDDD")</f>
        <v>Wednesday</v>
      </c>
      <c r="D1615" t="s">
        <v>35</v>
      </c>
      <c r="E1615" t="s">
        <v>28</v>
      </c>
      <c r="F1615" t="s">
        <v>29</v>
      </c>
      <c r="G1615" t="s">
        <v>37</v>
      </c>
      <c r="H1615" t="s">
        <v>71</v>
      </c>
      <c r="I1615" t="s">
        <v>51</v>
      </c>
      <c r="J1615" s="3">
        <v>250000</v>
      </c>
      <c r="K1615">
        <v>5</v>
      </c>
      <c r="L1615" t="s">
        <v>42</v>
      </c>
      <c r="M1615" s="3">
        <v>200000</v>
      </c>
      <c r="N1615" s="3">
        <f>Table1[[#This Row],[Unit Price]]*Table1[[#This Row],[Quantity]]</f>
        <v>1250000</v>
      </c>
      <c r="O1615" s="3">
        <f>Table1[[#This Row],[Cost Price]]*Table1[[#This Row],[Quantity]]</f>
        <v>1000000</v>
      </c>
      <c r="P1615" s="3">
        <f>Table1[[#This Row],[Revenue]]-Table1[[#This Row],[COGS]]</f>
        <v>250000</v>
      </c>
      <c r="Q1615" s="1">
        <v>1614</v>
      </c>
    </row>
    <row r="1616" spans="1:17">
      <c r="A1616" t="s">
        <v>43</v>
      </c>
      <c r="B1616" t="str">
        <f>TEXT(Table1[[#This Row],[Date]],"MMMM")</f>
        <v>April</v>
      </c>
      <c r="C1616" t="str">
        <f>TEXT(Table1[[#This Row],[Date]],"DDDD")</f>
        <v>Friday</v>
      </c>
      <c r="D1616" t="s">
        <v>35</v>
      </c>
      <c r="E1616" t="s">
        <v>45</v>
      </c>
      <c r="F1616" t="s">
        <v>29</v>
      </c>
      <c r="G1616" t="s">
        <v>30</v>
      </c>
      <c r="H1616" t="s">
        <v>54</v>
      </c>
      <c r="I1616" t="s">
        <v>39</v>
      </c>
      <c r="J1616" s="3">
        <v>180000</v>
      </c>
      <c r="K1616">
        <v>3</v>
      </c>
      <c r="L1616" t="s">
        <v>33</v>
      </c>
      <c r="M1616" s="3">
        <v>144000</v>
      </c>
      <c r="N1616" s="3">
        <f>Table1[[#This Row],[Unit Price]]*Table1[[#This Row],[Quantity]]</f>
        <v>540000</v>
      </c>
      <c r="O1616" s="3">
        <f>Table1[[#This Row],[Cost Price]]*Table1[[#This Row],[Quantity]]</f>
        <v>432000</v>
      </c>
      <c r="P1616" s="3">
        <f>Table1[[#This Row],[Revenue]]-Table1[[#This Row],[COGS]]</f>
        <v>108000</v>
      </c>
      <c r="Q1616" s="1">
        <v>1615</v>
      </c>
    </row>
    <row r="1617" spans="1:17">
      <c r="A1617" t="s">
        <v>66</v>
      </c>
      <c r="B1617" t="str">
        <f>TEXT(Table1[[#This Row],[Date]],"MMMM")</f>
        <v>March</v>
      </c>
      <c r="C1617" t="str">
        <f>TEXT(Table1[[#This Row],[Date]],"DDDD")</f>
        <v>Saturday</v>
      </c>
      <c r="D1617" t="s">
        <v>49</v>
      </c>
      <c r="E1617" t="s">
        <v>28</v>
      </c>
      <c r="F1617" t="s">
        <v>41</v>
      </c>
      <c r="G1617" t="s">
        <v>30</v>
      </c>
      <c r="H1617" t="s">
        <v>56</v>
      </c>
      <c r="I1617" t="s">
        <v>32</v>
      </c>
      <c r="J1617" s="3">
        <v>320000</v>
      </c>
      <c r="K1617">
        <v>9</v>
      </c>
      <c r="L1617" t="s">
        <v>33</v>
      </c>
      <c r="M1617" s="3">
        <v>256000</v>
      </c>
      <c r="N1617" s="3">
        <f>Table1[[#This Row],[Unit Price]]*Table1[[#This Row],[Quantity]]</f>
        <v>2880000</v>
      </c>
      <c r="O1617" s="3">
        <f>Table1[[#This Row],[Cost Price]]*Table1[[#This Row],[Quantity]]</f>
        <v>2304000</v>
      </c>
      <c r="P1617" s="3">
        <f>Table1[[#This Row],[Revenue]]-Table1[[#This Row],[COGS]]</f>
        <v>576000</v>
      </c>
      <c r="Q1617" s="1">
        <v>1616</v>
      </c>
    </row>
    <row r="1618" spans="1:17">
      <c r="A1618" t="s">
        <v>111</v>
      </c>
      <c r="B1618" t="str">
        <f>TEXT(Table1[[#This Row],[Date]],"MMMM")</f>
        <v>February</v>
      </c>
      <c r="C1618" t="str">
        <f>TEXT(Table1[[#This Row],[Date]],"DDDD")</f>
        <v>Wednesday</v>
      </c>
      <c r="D1618" t="s">
        <v>27</v>
      </c>
      <c r="E1618" t="s">
        <v>28</v>
      </c>
      <c r="F1618" t="s">
        <v>41</v>
      </c>
      <c r="G1618" t="s">
        <v>37</v>
      </c>
      <c r="H1618" t="s">
        <v>31</v>
      </c>
      <c r="I1618" t="s">
        <v>32</v>
      </c>
      <c r="J1618" s="3">
        <v>85000</v>
      </c>
      <c r="K1618">
        <v>5</v>
      </c>
      <c r="L1618" t="s">
        <v>47</v>
      </c>
      <c r="M1618" s="3">
        <v>68000</v>
      </c>
      <c r="N1618" s="3">
        <f>Table1[[#This Row],[Unit Price]]*Table1[[#This Row],[Quantity]]</f>
        <v>425000</v>
      </c>
      <c r="O1618" s="3">
        <f>Table1[[#This Row],[Cost Price]]*Table1[[#This Row],[Quantity]]</f>
        <v>340000</v>
      </c>
      <c r="P1618" s="3">
        <f>Table1[[#This Row],[Revenue]]-Table1[[#This Row],[COGS]]</f>
        <v>85000</v>
      </c>
      <c r="Q1618" s="1">
        <v>1617</v>
      </c>
    </row>
    <row r="1619" spans="1:17">
      <c r="A1619" t="s">
        <v>160</v>
      </c>
      <c r="B1619" t="str">
        <f>TEXT(Table1[[#This Row],[Date]],"MMMM")</f>
        <v>January</v>
      </c>
      <c r="C1619" t="str">
        <f>TEXT(Table1[[#This Row],[Date]],"DDDD")</f>
        <v>Saturday</v>
      </c>
      <c r="D1619" t="s">
        <v>44</v>
      </c>
      <c r="E1619" t="s">
        <v>36</v>
      </c>
      <c r="F1619" t="s">
        <v>29</v>
      </c>
      <c r="G1619" t="s">
        <v>30</v>
      </c>
      <c r="H1619" t="s">
        <v>73</v>
      </c>
      <c r="I1619" t="s">
        <v>39</v>
      </c>
      <c r="J1619" s="3">
        <v>220000</v>
      </c>
      <c r="K1619">
        <v>1</v>
      </c>
      <c r="L1619" t="s">
        <v>65</v>
      </c>
      <c r="M1619" s="3">
        <v>176000</v>
      </c>
      <c r="N1619" s="3">
        <f>Table1[[#This Row],[Unit Price]]*Table1[[#This Row],[Quantity]]</f>
        <v>220000</v>
      </c>
      <c r="O1619" s="3">
        <f>Table1[[#This Row],[Cost Price]]*Table1[[#This Row],[Quantity]]</f>
        <v>176000</v>
      </c>
      <c r="P1619" s="3">
        <f>Table1[[#This Row],[Revenue]]-Table1[[#This Row],[COGS]]</f>
        <v>44000</v>
      </c>
      <c r="Q1619" s="1">
        <v>1618</v>
      </c>
    </row>
    <row r="1620" spans="1:17">
      <c r="A1620" t="s">
        <v>151</v>
      </c>
      <c r="B1620" t="str">
        <f>TEXT(Table1[[#This Row],[Date]],"MMMM")</f>
        <v>February</v>
      </c>
      <c r="C1620" t="str">
        <f>TEXT(Table1[[#This Row],[Date]],"DDDD")</f>
        <v>Tuesday</v>
      </c>
      <c r="D1620" t="s">
        <v>35</v>
      </c>
      <c r="E1620" t="s">
        <v>36</v>
      </c>
      <c r="F1620" t="s">
        <v>29</v>
      </c>
      <c r="G1620" t="s">
        <v>37</v>
      </c>
      <c r="H1620" t="s">
        <v>54</v>
      </c>
      <c r="I1620" t="s">
        <v>39</v>
      </c>
      <c r="J1620" s="3">
        <v>180000</v>
      </c>
      <c r="K1620">
        <v>2</v>
      </c>
      <c r="L1620" t="s">
        <v>47</v>
      </c>
      <c r="M1620" s="3">
        <v>144000</v>
      </c>
      <c r="N1620" s="3">
        <f>Table1[[#This Row],[Unit Price]]*Table1[[#This Row],[Quantity]]</f>
        <v>360000</v>
      </c>
      <c r="O1620" s="3">
        <f>Table1[[#This Row],[Cost Price]]*Table1[[#This Row],[Quantity]]</f>
        <v>288000</v>
      </c>
      <c r="P1620" s="3">
        <f>Table1[[#This Row],[Revenue]]-Table1[[#This Row],[COGS]]</f>
        <v>72000</v>
      </c>
      <c r="Q1620" s="1">
        <v>1619</v>
      </c>
    </row>
    <row r="1621" spans="1:17">
      <c r="A1621" t="s">
        <v>87</v>
      </c>
      <c r="B1621" t="str">
        <f>TEXT(Table1[[#This Row],[Date]],"MMMM")</f>
        <v>March</v>
      </c>
      <c r="C1621" t="str">
        <f>TEXT(Table1[[#This Row],[Date]],"DDDD")</f>
        <v>Thursday</v>
      </c>
      <c r="D1621" t="s">
        <v>35</v>
      </c>
      <c r="E1621" t="s">
        <v>36</v>
      </c>
      <c r="F1621" t="s">
        <v>41</v>
      </c>
      <c r="G1621" t="s">
        <v>37</v>
      </c>
      <c r="H1621" t="s">
        <v>62</v>
      </c>
      <c r="I1621" t="s">
        <v>51</v>
      </c>
      <c r="J1621" s="3">
        <v>150000</v>
      </c>
      <c r="K1621">
        <v>1</v>
      </c>
      <c r="L1621" t="s">
        <v>58</v>
      </c>
      <c r="M1621" s="3">
        <v>120000</v>
      </c>
      <c r="N1621" s="3">
        <f>Table1[[#This Row],[Unit Price]]*Table1[[#This Row],[Quantity]]</f>
        <v>150000</v>
      </c>
      <c r="O1621" s="3">
        <f>Table1[[#This Row],[Cost Price]]*Table1[[#This Row],[Quantity]]</f>
        <v>120000</v>
      </c>
      <c r="P1621" s="3">
        <f>Table1[[#This Row],[Revenue]]-Table1[[#This Row],[COGS]]</f>
        <v>30000</v>
      </c>
      <c r="Q1621" s="1">
        <v>1620</v>
      </c>
    </row>
    <row r="1622" spans="1:17">
      <c r="A1622" t="s">
        <v>105</v>
      </c>
      <c r="B1622" t="str">
        <f>TEXT(Table1[[#This Row],[Date]],"MMMM")</f>
        <v>March</v>
      </c>
      <c r="C1622" t="str">
        <f>TEXT(Table1[[#This Row],[Date]],"DDDD")</f>
        <v>Friday</v>
      </c>
      <c r="D1622" t="s">
        <v>27</v>
      </c>
      <c r="E1622" t="s">
        <v>45</v>
      </c>
      <c r="F1622" t="s">
        <v>29</v>
      </c>
      <c r="G1622" t="s">
        <v>37</v>
      </c>
      <c r="H1622" t="s">
        <v>54</v>
      </c>
      <c r="I1622" t="s">
        <v>39</v>
      </c>
      <c r="J1622" s="3">
        <v>180000</v>
      </c>
      <c r="K1622">
        <v>2</v>
      </c>
      <c r="L1622" t="s">
        <v>42</v>
      </c>
      <c r="M1622" s="3">
        <v>144000</v>
      </c>
      <c r="N1622" s="3">
        <f>Table1[[#This Row],[Unit Price]]*Table1[[#This Row],[Quantity]]</f>
        <v>360000</v>
      </c>
      <c r="O1622" s="3">
        <f>Table1[[#This Row],[Cost Price]]*Table1[[#This Row],[Quantity]]</f>
        <v>288000</v>
      </c>
      <c r="P1622" s="3">
        <f>Table1[[#This Row],[Revenue]]-Table1[[#This Row],[COGS]]</f>
        <v>72000</v>
      </c>
      <c r="Q1622" s="1">
        <v>1621</v>
      </c>
    </row>
    <row r="1623" spans="1:17">
      <c r="A1623" t="s">
        <v>76</v>
      </c>
      <c r="B1623" t="str">
        <f>TEXT(Table1[[#This Row],[Date]],"MMMM")</f>
        <v>May</v>
      </c>
      <c r="C1623" t="str">
        <f>TEXT(Table1[[#This Row],[Date]],"DDDD")</f>
        <v>Thursday</v>
      </c>
      <c r="D1623" t="s">
        <v>49</v>
      </c>
      <c r="E1623" t="s">
        <v>53</v>
      </c>
      <c r="F1623" t="s">
        <v>41</v>
      </c>
      <c r="G1623" t="s">
        <v>30</v>
      </c>
      <c r="H1623" t="s">
        <v>56</v>
      </c>
      <c r="I1623" t="s">
        <v>32</v>
      </c>
      <c r="J1623" s="3">
        <v>320000</v>
      </c>
      <c r="K1623">
        <v>4</v>
      </c>
      <c r="L1623" t="s">
        <v>69</v>
      </c>
      <c r="M1623" s="3">
        <v>256000</v>
      </c>
      <c r="N1623" s="3">
        <f>Table1[[#This Row],[Unit Price]]*Table1[[#This Row],[Quantity]]</f>
        <v>1280000</v>
      </c>
      <c r="O1623" s="3">
        <f>Table1[[#This Row],[Cost Price]]*Table1[[#This Row],[Quantity]]</f>
        <v>1024000</v>
      </c>
      <c r="P1623" s="3">
        <f>Table1[[#This Row],[Revenue]]-Table1[[#This Row],[COGS]]</f>
        <v>256000</v>
      </c>
      <c r="Q1623" s="1">
        <v>1622</v>
      </c>
    </row>
    <row r="1624" spans="1:17">
      <c r="A1624" t="s">
        <v>126</v>
      </c>
      <c r="B1624" t="str">
        <f>TEXT(Table1[[#This Row],[Date]],"MMMM")</f>
        <v>January</v>
      </c>
      <c r="C1624" t="str">
        <f>TEXT(Table1[[#This Row],[Date]],"DDDD")</f>
        <v>Thursday</v>
      </c>
      <c r="D1624" t="s">
        <v>49</v>
      </c>
      <c r="E1624" t="s">
        <v>53</v>
      </c>
      <c r="F1624" t="s">
        <v>29</v>
      </c>
      <c r="G1624" t="s">
        <v>37</v>
      </c>
      <c r="H1624" t="s">
        <v>62</v>
      </c>
      <c r="I1624" t="s">
        <v>51</v>
      </c>
      <c r="J1624" s="3">
        <v>150000</v>
      </c>
      <c r="K1624">
        <v>10</v>
      </c>
      <c r="L1624" t="s">
        <v>33</v>
      </c>
      <c r="M1624" s="3">
        <v>120000</v>
      </c>
      <c r="N1624" s="3">
        <f>Table1[[#This Row],[Unit Price]]*Table1[[#This Row],[Quantity]]</f>
        <v>1500000</v>
      </c>
      <c r="O1624" s="3">
        <f>Table1[[#This Row],[Cost Price]]*Table1[[#This Row],[Quantity]]</f>
        <v>1200000</v>
      </c>
      <c r="P1624" s="3">
        <f>Table1[[#This Row],[Revenue]]-Table1[[#This Row],[COGS]]</f>
        <v>300000</v>
      </c>
      <c r="Q1624" s="1">
        <v>1623</v>
      </c>
    </row>
    <row r="1625" spans="1:17">
      <c r="A1625" t="s">
        <v>154</v>
      </c>
      <c r="B1625" t="str">
        <f>TEXT(Table1[[#This Row],[Date]],"MMMM")</f>
        <v>February</v>
      </c>
      <c r="C1625" t="str">
        <f>TEXT(Table1[[#This Row],[Date]],"DDDD")</f>
        <v>Saturday</v>
      </c>
      <c r="D1625" t="s">
        <v>44</v>
      </c>
      <c r="E1625" t="s">
        <v>45</v>
      </c>
      <c r="F1625" t="s">
        <v>41</v>
      </c>
      <c r="G1625" t="s">
        <v>37</v>
      </c>
      <c r="H1625" t="s">
        <v>38</v>
      </c>
      <c r="I1625" t="s">
        <v>39</v>
      </c>
      <c r="J1625" s="3">
        <v>30000</v>
      </c>
      <c r="K1625">
        <v>3</v>
      </c>
      <c r="L1625" t="s">
        <v>58</v>
      </c>
      <c r="M1625" s="3">
        <v>24000</v>
      </c>
      <c r="N1625" s="3">
        <f>Table1[[#This Row],[Unit Price]]*Table1[[#This Row],[Quantity]]</f>
        <v>90000</v>
      </c>
      <c r="O1625" s="3">
        <f>Table1[[#This Row],[Cost Price]]*Table1[[#This Row],[Quantity]]</f>
        <v>72000</v>
      </c>
      <c r="P1625" s="3">
        <f>Table1[[#This Row],[Revenue]]-Table1[[#This Row],[COGS]]</f>
        <v>18000</v>
      </c>
      <c r="Q1625" s="1">
        <v>1624</v>
      </c>
    </row>
    <row r="1626" spans="1:17">
      <c r="A1626" t="s">
        <v>59</v>
      </c>
      <c r="B1626" t="str">
        <f>TEXT(Table1[[#This Row],[Date]],"MMMM")</f>
        <v>March</v>
      </c>
      <c r="C1626" t="str">
        <f>TEXT(Table1[[#This Row],[Date]],"DDDD")</f>
        <v>Monday</v>
      </c>
      <c r="D1626" t="s">
        <v>44</v>
      </c>
      <c r="E1626" t="s">
        <v>45</v>
      </c>
      <c r="F1626" t="s">
        <v>29</v>
      </c>
      <c r="G1626" t="s">
        <v>37</v>
      </c>
      <c r="H1626" t="s">
        <v>31</v>
      </c>
      <c r="I1626" t="s">
        <v>32</v>
      </c>
      <c r="J1626" s="3">
        <v>85000</v>
      </c>
      <c r="K1626">
        <v>4</v>
      </c>
      <c r="L1626" t="s">
        <v>58</v>
      </c>
      <c r="M1626" s="3">
        <v>68000</v>
      </c>
      <c r="N1626" s="3">
        <f>Table1[[#This Row],[Unit Price]]*Table1[[#This Row],[Quantity]]</f>
        <v>340000</v>
      </c>
      <c r="O1626" s="3">
        <f>Table1[[#This Row],[Cost Price]]*Table1[[#This Row],[Quantity]]</f>
        <v>272000</v>
      </c>
      <c r="P1626" s="3">
        <f>Table1[[#This Row],[Revenue]]-Table1[[#This Row],[COGS]]</f>
        <v>68000</v>
      </c>
      <c r="Q1626" s="1">
        <v>1625</v>
      </c>
    </row>
    <row r="1627" spans="1:17">
      <c r="A1627" t="s">
        <v>64</v>
      </c>
      <c r="B1627" t="str">
        <f>TEXT(Table1[[#This Row],[Date]],"MMMM")</f>
        <v>April</v>
      </c>
      <c r="C1627" t="str">
        <f>TEXT(Table1[[#This Row],[Date]],"DDDD")</f>
        <v>Saturday</v>
      </c>
      <c r="D1627" t="s">
        <v>27</v>
      </c>
      <c r="E1627" t="s">
        <v>53</v>
      </c>
      <c r="F1627" t="s">
        <v>29</v>
      </c>
      <c r="G1627" t="s">
        <v>37</v>
      </c>
      <c r="H1627" t="s">
        <v>54</v>
      </c>
      <c r="I1627" t="s">
        <v>39</v>
      </c>
      <c r="J1627" s="3">
        <v>180000</v>
      </c>
      <c r="K1627">
        <v>10</v>
      </c>
      <c r="L1627" t="s">
        <v>58</v>
      </c>
      <c r="M1627" s="3">
        <v>144000</v>
      </c>
      <c r="N1627" s="3">
        <f>Table1[[#This Row],[Unit Price]]*Table1[[#This Row],[Quantity]]</f>
        <v>1800000</v>
      </c>
      <c r="O1627" s="3">
        <f>Table1[[#This Row],[Cost Price]]*Table1[[#This Row],[Quantity]]</f>
        <v>1440000</v>
      </c>
      <c r="P1627" s="3">
        <f>Table1[[#This Row],[Revenue]]-Table1[[#This Row],[COGS]]</f>
        <v>360000</v>
      </c>
      <c r="Q1627" s="1">
        <v>1626</v>
      </c>
    </row>
    <row r="1628" spans="1:17">
      <c r="A1628" t="s">
        <v>164</v>
      </c>
      <c r="B1628" t="str">
        <f>TEXT(Table1[[#This Row],[Date]],"MMMM")</f>
        <v>March</v>
      </c>
      <c r="C1628" t="str">
        <f>TEXT(Table1[[#This Row],[Date]],"DDDD")</f>
        <v>Tuesday</v>
      </c>
      <c r="D1628" t="s">
        <v>27</v>
      </c>
      <c r="E1628" t="s">
        <v>36</v>
      </c>
      <c r="F1628" t="s">
        <v>41</v>
      </c>
      <c r="G1628" t="s">
        <v>37</v>
      </c>
      <c r="H1628" t="s">
        <v>56</v>
      </c>
      <c r="I1628" t="s">
        <v>32</v>
      </c>
      <c r="J1628" s="3">
        <v>320000</v>
      </c>
      <c r="K1628">
        <v>9</v>
      </c>
      <c r="L1628" t="s">
        <v>65</v>
      </c>
      <c r="M1628" s="3">
        <v>256000</v>
      </c>
      <c r="N1628" s="3">
        <f>Table1[[#This Row],[Unit Price]]*Table1[[#This Row],[Quantity]]</f>
        <v>2880000</v>
      </c>
      <c r="O1628" s="3">
        <f>Table1[[#This Row],[Cost Price]]*Table1[[#This Row],[Quantity]]</f>
        <v>2304000</v>
      </c>
      <c r="P1628" s="3">
        <f>Table1[[#This Row],[Revenue]]-Table1[[#This Row],[COGS]]</f>
        <v>576000</v>
      </c>
      <c r="Q1628" s="1">
        <v>1627</v>
      </c>
    </row>
    <row r="1629" spans="1:17">
      <c r="A1629" t="s">
        <v>78</v>
      </c>
      <c r="B1629" t="str">
        <f>TEXT(Table1[[#This Row],[Date]],"MMMM")</f>
        <v>April</v>
      </c>
      <c r="C1629" t="str">
        <f>TEXT(Table1[[#This Row],[Date]],"DDDD")</f>
        <v>Tuesday</v>
      </c>
      <c r="D1629" t="s">
        <v>44</v>
      </c>
      <c r="E1629" t="s">
        <v>36</v>
      </c>
      <c r="F1629" t="s">
        <v>41</v>
      </c>
      <c r="G1629" t="s">
        <v>30</v>
      </c>
      <c r="H1629" t="s">
        <v>62</v>
      </c>
      <c r="I1629" t="s">
        <v>51</v>
      </c>
      <c r="J1629" s="3">
        <v>150000</v>
      </c>
      <c r="K1629">
        <v>3</v>
      </c>
      <c r="L1629" t="s">
        <v>69</v>
      </c>
      <c r="M1629" s="3">
        <v>120000</v>
      </c>
      <c r="N1629" s="3">
        <f>Table1[[#This Row],[Unit Price]]*Table1[[#This Row],[Quantity]]</f>
        <v>450000</v>
      </c>
      <c r="O1629" s="3">
        <f>Table1[[#This Row],[Cost Price]]*Table1[[#This Row],[Quantity]]</f>
        <v>360000</v>
      </c>
      <c r="P1629" s="3">
        <f>Table1[[#This Row],[Revenue]]-Table1[[#This Row],[COGS]]</f>
        <v>90000</v>
      </c>
      <c r="Q1629" s="1">
        <v>1628</v>
      </c>
    </row>
    <row r="1630" spans="1:17">
      <c r="A1630" t="s">
        <v>163</v>
      </c>
      <c r="B1630" t="str">
        <f>TEXT(Table1[[#This Row],[Date]],"MMMM")</f>
        <v>April</v>
      </c>
      <c r="C1630" t="str">
        <f>TEXT(Table1[[#This Row],[Date]],"DDDD")</f>
        <v>Tuesday</v>
      </c>
      <c r="D1630" t="s">
        <v>49</v>
      </c>
      <c r="E1630" t="s">
        <v>36</v>
      </c>
      <c r="F1630" t="s">
        <v>29</v>
      </c>
      <c r="G1630" t="s">
        <v>30</v>
      </c>
      <c r="H1630" t="s">
        <v>73</v>
      </c>
      <c r="I1630" t="s">
        <v>39</v>
      </c>
      <c r="J1630" s="3">
        <v>220000</v>
      </c>
      <c r="K1630">
        <v>5</v>
      </c>
      <c r="L1630" t="s">
        <v>69</v>
      </c>
      <c r="M1630" s="3">
        <v>176000</v>
      </c>
      <c r="N1630" s="3">
        <f>Table1[[#This Row],[Unit Price]]*Table1[[#This Row],[Quantity]]</f>
        <v>1100000</v>
      </c>
      <c r="O1630" s="3">
        <f>Table1[[#This Row],[Cost Price]]*Table1[[#This Row],[Quantity]]</f>
        <v>880000</v>
      </c>
      <c r="P1630" s="3">
        <f>Table1[[#This Row],[Revenue]]-Table1[[#This Row],[COGS]]</f>
        <v>220000</v>
      </c>
      <c r="Q1630" s="1">
        <v>1629</v>
      </c>
    </row>
    <row r="1631" spans="1:17">
      <c r="A1631" t="s">
        <v>176</v>
      </c>
      <c r="B1631" t="str">
        <f>TEXT(Table1[[#This Row],[Date]],"MMMM")</f>
        <v>January</v>
      </c>
      <c r="C1631" t="str">
        <f>TEXT(Table1[[#This Row],[Date]],"DDDD")</f>
        <v>Saturday</v>
      </c>
      <c r="D1631" t="s">
        <v>49</v>
      </c>
      <c r="E1631" t="s">
        <v>53</v>
      </c>
      <c r="F1631" t="s">
        <v>41</v>
      </c>
      <c r="G1631" t="s">
        <v>37</v>
      </c>
      <c r="H1631" t="s">
        <v>50</v>
      </c>
      <c r="I1631" t="s">
        <v>51</v>
      </c>
      <c r="J1631" s="3">
        <v>300000</v>
      </c>
      <c r="K1631">
        <v>2</v>
      </c>
      <c r="L1631" t="s">
        <v>33</v>
      </c>
      <c r="M1631" s="3">
        <v>240000</v>
      </c>
      <c r="N1631" s="3">
        <f>Table1[[#This Row],[Unit Price]]*Table1[[#This Row],[Quantity]]</f>
        <v>600000</v>
      </c>
      <c r="O1631" s="3">
        <f>Table1[[#This Row],[Cost Price]]*Table1[[#This Row],[Quantity]]</f>
        <v>480000</v>
      </c>
      <c r="P1631" s="3">
        <f>Table1[[#This Row],[Revenue]]-Table1[[#This Row],[COGS]]</f>
        <v>120000</v>
      </c>
      <c r="Q1631" s="1">
        <v>1630</v>
      </c>
    </row>
    <row r="1632" spans="1:17">
      <c r="A1632" t="s">
        <v>117</v>
      </c>
      <c r="B1632" t="str">
        <f>TEXT(Table1[[#This Row],[Date]],"MMMM")</f>
        <v>January</v>
      </c>
      <c r="C1632" t="str">
        <f>TEXT(Table1[[#This Row],[Date]],"DDDD")</f>
        <v>Wednesday</v>
      </c>
      <c r="D1632" t="s">
        <v>35</v>
      </c>
      <c r="E1632" t="s">
        <v>28</v>
      </c>
      <c r="F1632" t="s">
        <v>41</v>
      </c>
      <c r="G1632" t="s">
        <v>30</v>
      </c>
      <c r="H1632" t="s">
        <v>50</v>
      </c>
      <c r="I1632" t="s">
        <v>51</v>
      </c>
      <c r="J1632" s="3">
        <v>300000</v>
      </c>
      <c r="K1632">
        <v>6</v>
      </c>
      <c r="L1632" t="s">
        <v>69</v>
      </c>
      <c r="M1632" s="3">
        <v>240000</v>
      </c>
      <c r="N1632" s="3">
        <f>Table1[[#This Row],[Unit Price]]*Table1[[#This Row],[Quantity]]</f>
        <v>1800000</v>
      </c>
      <c r="O1632" s="3">
        <f>Table1[[#This Row],[Cost Price]]*Table1[[#This Row],[Quantity]]</f>
        <v>1440000</v>
      </c>
      <c r="P1632" s="3">
        <f>Table1[[#This Row],[Revenue]]-Table1[[#This Row],[COGS]]</f>
        <v>360000</v>
      </c>
      <c r="Q1632" s="1">
        <v>1631</v>
      </c>
    </row>
    <row r="1633" spans="1:17">
      <c r="A1633" t="s">
        <v>87</v>
      </c>
      <c r="B1633" t="str">
        <f>TEXT(Table1[[#This Row],[Date]],"MMMM")</f>
        <v>March</v>
      </c>
      <c r="C1633" t="str">
        <f>TEXT(Table1[[#This Row],[Date]],"DDDD")</f>
        <v>Thursday</v>
      </c>
      <c r="D1633" t="s">
        <v>49</v>
      </c>
      <c r="E1633" t="s">
        <v>53</v>
      </c>
      <c r="F1633" t="s">
        <v>41</v>
      </c>
      <c r="G1633" t="s">
        <v>30</v>
      </c>
      <c r="H1633" t="s">
        <v>54</v>
      </c>
      <c r="I1633" t="s">
        <v>39</v>
      </c>
      <c r="J1633" s="3">
        <v>180000</v>
      </c>
      <c r="K1633">
        <v>7</v>
      </c>
      <c r="L1633" t="s">
        <v>69</v>
      </c>
      <c r="M1633" s="3">
        <v>144000</v>
      </c>
      <c r="N1633" s="3">
        <f>Table1[[#This Row],[Unit Price]]*Table1[[#This Row],[Quantity]]</f>
        <v>1260000</v>
      </c>
      <c r="O1633" s="3">
        <f>Table1[[#This Row],[Cost Price]]*Table1[[#This Row],[Quantity]]</f>
        <v>1008000</v>
      </c>
      <c r="P1633" s="3">
        <f>Table1[[#This Row],[Revenue]]-Table1[[#This Row],[COGS]]</f>
        <v>252000</v>
      </c>
      <c r="Q1633" s="1">
        <v>1632</v>
      </c>
    </row>
    <row r="1634" spans="1:17">
      <c r="A1634" t="s">
        <v>120</v>
      </c>
      <c r="B1634" t="str">
        <f>TEXT(Table1[[#This Row],[Date]],"MMMM")</f>
        <v>March</v>
      </c>
      <c r="C1634" t="str">
        <f>TEXT(Table1[[#This Row],[Date]],"DDDD")</f>
        <v>Thursday</v>
      </c>
      <c r="D1634" t="s">
        <v>27</v>
      </c>
      <c r="E1634" t="s">
        <v>45</v>
      </c>
      <c r="F1634" t="s">
        <v>41</v>
      </c>
      <c r="G1634" t="s">
        <v>37</v>
      </c>
      <c r="H1634" t="s">
        <v>56</v>
      </c>
      <c r="I1634" t="s">
        <v>32</v>
      </c>
      <c r="J1634" s="3">
        <v>320000</v>
      </c>
      <c r="K1634">
        <v>6</v>
      </c>
      <c r="L1634" t="s">
        <v>33</v>
      </c>
      <c r="M1634" s="3">
        <v>256000</v>
      </c>
      <c r="N1634" s="3">
        <f>Table1[[#This Row],[Unit Price]]*Table1[[#This Row],[Quantity]]</f>
        <v>1920000</v>
      </c>
      <c r="O1634" s="3">
        <f>Table1[[#This Row],[Cost Price]]*Table1[[#This Row],[Quantity]]</f>
        <v>1536000</v>
      </c>
      <c r="P1634" s="3">
        <f>Table1[[#This Row],[Revenue]]-Table1[[#This Row],[COGS]]</f>
        <v>384000</v>
      </c>
      <c r="Q1634" s="1">
        <v>1633</v>
      </c>
    </row>
    <row r="1635" spans="1:17">
      <c r="A1635" t="s">
        <v>87</v>
      </c>
      <c r="B1635" t="str">
        <f>TEXT(Table1[[#This Row],[Date]],"MMMM")</f>
        <v>March</v>
      </c>
      <c r="C1635" t="str">
        <f>TEXT(Table1[[#This Row],[Date]],"DDDD")</f>
        <v>Thursday</v>
      </c>
      <c r="D1635" t="s">
        <v>49</v>
      </c>
      <c r="E1635" t="s">
        <v>36</v>
      </c>
      <c r="F1635" t="s">
        <v>29</v>
      </c>
      <c r="G1635" t="s">
        <v>37</v>
      </c>
      <c r="H1635" t="s">
        <v>71</v>
      </c>
      <c r="I1635" t="s">
        <v>51</v>
      </c>
      <c r="J1635" s="3">
        <v>250000</v>
      </c>
      <c r="K1635">
        <v>5</v>
      </c>
      <c r="L1635" t="s">
        <v>58</v>
      </c>
      <c r="M1635" s="3">
        <v>200000</v>
      </c>
      <c r="N1635" s="3">
        <f>Table1[[#This Row],[Unit Price]]*Table1[[#This Row],[Quantity]]</f>
        <v>1250000</v>
      </c>
      <c r="O1635" s="3">
        <f>Table1[[#This Row],[Cost Price]]*Table1[[#This Row],[Quantity]]</f>
        <v>1000000</v>
      </c>
      <c r="P1635" s="3">
        <f>Table1[[#This Row],[Revenue]]-Table1[[#This Row],[COGS]]</f>
        <v>250000</v>
      </c>
      <c r="Q1635" s="1">
        <v>1634</v>
      </c>
    </row>
    <row r="1636" spans="1:17">
      <c r="A1636" t="s">
        <v>139</v>
      </c>
      <c r="B1636" t="str">
        <f>TEXT(Table1[[#This Row],[Date]],"MMMM")</f>
        <v>January</v>
      </c>
      <c r="C1636" t="str">
        <f>TEXT(Table1[[#This Row],[Date]],"DDDD")</f>
        <v>Monday</v>
      </c>
      <c r="D1636" t="s">
        <v>27</v>
      </c>
      <c r="E1636" t="s">
        <v>36</v>
      </c>
      <c r="F1636" t="s">
        <v>29</v>
      </c>
      <c r="G1636" t="s">
        <v>30</v>
      </c>
      <c r="H1636" t="s">
        <v>50</v>
      </c>
      <c r="I1636" t="s">
        <v>51</v>
      </c>
      <c r="J1636" s="3">
        <v>300000</v>
      </c>
      <c r="K1636">
        <v>3</v>
      </c>
      <c r="L1636" t="s">
        <v>69</v>
      </c>
      <c r="M1636" s="3">
        <v>240000</v>
      </c>
      <c r="N1636" s="3">
        <f>Table1[[#This Row],[Unit Price]]*Table1[[#This Row],[Quantity]]</f>
        <v>900000</v>
      </c>
      <c r="O1636" s="3">
        <f>Table1[[#This Row],[Cost Price]]*Table1[[#This Row],[Quantity]]</f>
        <v>720000</v>
      </c>
      <c r="P1636" s="3">
        <f>Table1[[#This Row],[Revenue]]-Table1[[#This Row],[COGS]]</f>
        <v>180000</v>
      </c>
      <c r="Q1636" s="1">
        <v>1635</v>
      </c>
    </row>
    <row r="1637" spans="1:17">
      <c r="A1637" t="s">
        <v>26</v>
      </c>
      <c r="B1637" t="str">
        <f>TEXT(Table1[[#This Row],[Date]],"MMMM")</f>
        <v>January</v>
      </c>
      <c r="C1637" t="str">
        <f>TEXT(Table1[[#This Row],[Date]],"DDDD")</f>
        <v>Sunday</v>
      </c>
      <c r="D1637" t="s">
        <v>27</v>
      </c>
      <c r="E1637" t="s">
        <v>53</v>
      </c>
      <c r="F1637" t="s">
        <v>29</v>
      </c>
      <c r="G1637" t="s">
        <v>37</v>
      </c>
      <c r="H1637" t="s">
        <v>54</v>
      </c>
      <c r="I1637" t="s">
        <v>39</v>
      </c>
      <c r="J1637" s="3">
        <v>180000</v>
      </c>
      <c r="K1637">
        <v>8</v>
      </c>
      <c r="L1637" t="s">
        <v>69</v>
      </c>
      <c r="M1637" s="3">
        <v>144000</v>
      </c>
      <c r="N1637" s="3">
        <f>Table1[[#This Row],[Unit Price]]*Table1[[#This Row],[Quantity]]</f>
        <v>1440000</v>
      </c>
      <c r="O1637" s="3">
        <f>Table1[[#This Row],[Cost Price]]*Table1[[#This Row],[Quantity]]</f>
        <v>1152000</v>
      </c>
      <c r="P1637" s="3">
        <f>Table1[[#This Row],[Revenue]]-Table1[[#This Row],[COGS]]</f>
        <v>288000</v>
      </c>
      <c r="Q1637" s="1">
        <v>1636</v>
      </c>
    </row>
    <row r="1638" spans="1:17">
      <c r="A1638" t="s">
        <v>141</v>
      </c>
      <c r="B1638" t="str">
        <f>TEXT(Table1[[#This Row],[Date]],"MMMM")</f>
        <v>March</v>
      </c>
      <c r="C1638" t="str">
        <f>TEXT(Table1[[#This Row],[Date]],"DDDD")</f>
        <v>Sunday</v>
      </c>
      <c r="D1638" t="s">
        <v>35</v>
      </c>
      <c r="E1638" t="s">
        <v>53</v>
      </c>
      <c r="F1638" t="s">
        <v>29</v>
      </c>
      <c r="G1638" t="s">
        <v>37</v>
      </c>
      <c r="H1638" t="s">
        <v>56</v>
      </c>
      <c r="I1638" t="s">
        <v>32</v>
      </c>
      <c r="J1638" s="3">
        <v>320000</v>
      </c>
      <c r="K1638">
        <v>5</v>
      </c>
      <c r="L1638" t="s">
        <v>42</v>
      </c>
      <c r="M1638" s="3">
        <v>256000</v>
      </c>
      <c r="N1638" s="3">
        <f>Table1[[#This Row],[Unit Price]]*Table1[[#This Row],[Quantity]]</f>
        <v>1600000</v>
      </c>
      <c r="O1638" s="3">
        <f>Table1[[#This Row],[Cost Price]]*Table1[[#This Row],[Quantity]]</f>
        <v>1280000</v>
      </c>
      <c r="P1638" s="3">
        <f>Table1[[#This Row],[Revenue]]-Table1[[#This Row],[COGS]]</f>
        <v>320000</v>
      </c>
      <c r="Q1638" s="1">
        <v>1637</v>
      </c>
    </row>
    <row r="1639" spans="1:17">
      <c r="A1639" t="s">
        <v>52</v>
      </c>
      <c r="B1639" t="str">
        <f>TEXT(Table1[[#This Row],[Date]],"MMMM")</f>
        <v>March</v>
      </c>
      <c r="C1639" t="str">
        <f>TEXT(Table1[[#This Row],[Date]],"DDDD")</f>
        <v>Saturday</v>
      </c>
      <c r="D1639" t="s">
        <v>27</v>
      </c>
      <c r="E1639" t="s">
        <v>53</v>
      </c>
      <c r="F1639" t="s">
        <v>29</v>
      </c>
      <c r="G1639" t="s">
        <v>30</v>
      </c>
      <c r="H1639" t="s">
        <v>71</v>
      </c>
      <c r="I1639" t="s">
        <v>51</v>
      </c>
      <c r="J1639" s="3">
        <v>250000</v>
      </c>
      <c r="K1639">
        <v>7</v>
      </c>
      <c r="L1639" t="s">
        <v>42</v>
      </c>
      <c r="M1639" s="3">
        <v>200000</v>
      </c>
      <c r="N1639" s="3">
        <f>Table1[[#This Row],[Unit Price]]*Table1[[#This Row],[Quantity]]</f>
        <v>1750000</v>
      </c>
      <c r="O1639" s="3">
        <f>Table1[[#This Row],[Cost Price]]*Table1[[#This Row],[Quantity]]</f>
        <v>1400000</v>
      </c>
      <c r="P1639" s="3">
        <f>Table1[[#This Row],[Revenue]]-Table1[[#This Row],[COGS]]</f>
        <v>350000</v>
      </c>
      <c r="Q1639" s="1">
        <v>1638</v>
      </c>
    </row>
    <row r="1640" spans="1:17">
      <c r="A1640" t="s">
        <v>135</v>
      </c>
      <c r="B1640" t="str">
        <f>TEXT(Table1[[#This Row],[Date]],"MMMM")</f>
        <v>March</v>
      </c>
      <c r="C1640" t="str">
        <f>TEXT(Table1[[#This Row],[Date]],"DDDD")</f>
        <v>Sunday</v>
      </c>
      <c r="D1640" t="s">
        <v>27</v>
      </c>
      <c r="E1640" t="s">
        <v>36</v>
      </c>
      <c r="F1640" t="s">
        <v>29</v>
      </c>
      <c r="G1640" t="s">
        <v>37</v>
      </c>
      <c r="H1640" t="s">
        <v>50</v>
      </c>
      <c r="I1640" t="s">
        <v>51</v>
      </c>
      <c r="J1640" s="3">
        <v>300000</v>
      </c>
      <c r="K1640">
        <v>8</v>
      </c>
      <c r="L1640" t="s">
        <v>33</v>
      </c>
      <c r="M1640" s="3">
        <v>240000</v>
      </c>
      <c r="N1640" s="3">
        <f>Table1[[#This Row],[Unit Price]]*Table1[[#This Row],[Quantity]]</f>
        <v>2400000</v>
      </c>
      <c r="O1640" s="3">
        <f>Table1[[#This Row],[Cost Price]]*Table1[[#This Row],[Quantity]]</f>
        <v>1920000</v>
      </c>
      <c r="P1640" s="3">
        <f>Table1[[#This Row],[Revenue]]-Table1[[#This Row],[COGS]]</f>
        <v>480000</v>
      </c>
      <c r="Q1640" s="1">
        <v>1639</v>
      </c>
    </row>
    <row r="1641" spans="1:17">
      <c r="A1641" t="s">
        <v>98</v>
      </c>
      <c r="B1641" t="str">
        <f>TEXT(Table1[[#This Row],[Date]],"MMMM")</f>
        <v>January</v>
      </c>
      <c r="C1641" t="str">
        <f>TEXT(Table1[[#This Row],[Date]],"DDDD")</f>
        <v>Friday</v>
      </c>
      <c r="D1641" t="s">
        <v>27</v>
      </c>
      <c r="E1641" t="s">
        <v>36</v>
      </c>
      <c r="F1641" t="s">
        <v>41</v>
      </c>
      <c r="G1641" t="s">
        <v>30</v>
      </c>
      <c r="H1641" t="s">
        <v>67</v>
      </c>
      <c r="I1641" t="s">
        <v>51</v>
      </c>
      <c r="J1641" s="3">
        <v>420000</v>
      </c>
      <c r="K1641">
        <v>4</v>
      </c>
      <c r="L1641" t="s">
        <v>69</v>
      </c>
      <c r="M1641" s="3">
        <v>336000</v>
      </c>
      <c r="N1641" s="3">
        <f>Table1[[#This Row],[Unit Price]]*Table1[[#This Row],[Quantity]]</f>
        <v>1680000</v>
      </c>
      <c r="O1641" s="3">
        <f>Table1[[#This Row],[Cost Price]]*Table1[[#This Row],[Quantity]]</f>
        <v>1344000</v>
      </c>
      <c r="P1641" s="3">
        <f>Table1[[#This Row],[Revenue]]-Table1[[#This Row],[COGS]]</f>
        <v>336000</v>
      </c>
      <c r="Q1641" s="1">
        <v>1640</v>
      </c>
    </row>
    <row r="1642" spans="1:17">
      <c r="A1642" t="s">
        <v>151</v>
      </c>
      <c r="B1642" t="str">
        <f>TEXT(Table1[[#This Row],[Date]],"MMMM")</f>
        <v>February</v>
      </c>
      <c r="C1642" t="str">
        <f>TEXT(Table1[[#This Row],[Date]],"DDDD")</f>
        <v>Tuesday</v>
      </c>
      <c r="D1642" t="s">
        <v>27</v>
      </c>
      <c r="E1642" t="s">
        <v>28</v>
      </c>
      <c r="F1642" t="s">
        <v>41</v>
      </c>
      <c r="G1642" t="s">
        <v>37</v>
      </c>
      <c r="H1642" t="s">
        <v>71</v>
      </c>
      <c r="I1642" t="s">
        <v>51</v>
      </c>
      <c r="J1642" s="3">
        <v>250000</v>
      </c>
      <c r="K1642">
        <v>6</v>
      </c>
      <c r="L1642" t="s">
        <v>47</v>
      </c>
      <c r="M1642" s="3">
        <v>200000</v>
      </c>
      <c r="N1642" s="3">
        <f>Table1[[#This Row],[Unit Price]]*Table1[[#This Row],[Quantity]]</f>
        <v>1500000</v>
      </c>
      <c r="O1642" s="3">
        <f>Table1[[#This Row],[Cost Price]]*Table1[[#This Row],[Quantity]]</f>
        <v>1200000</v>
      </c>
      <c r="P1642" s="3">
        <f>Table1[[#This Row],[Revenue]]-Table1[[#This Row],[COGS]]</f>
        <v>300000</v>
      </c>
      <c r="Q1642" s="1">
        <v>1641</v>
      </c>
    </row>
    <row r="1643" spans="1:17">
      <c r="A1643" t="s">
        <v>95</v>
      </c>
      <c r="B1643" t="str">
        <f>TEXT(Table1[[#This Row],[Date]],"MMMM")</f>
        <v>February</v>
      </c>
      <c r="C1643" t="str">
        <f>TEXT(Table1[[#This Row],[Date]],"DDDD")</f>
        <v>Saturday</v>
      </c>
      <c r="D1643" t="s">
        <v>35</v>
      </c>
      <c r="E1643" t="s">
        <v>53</v>
      </c>
      <c r="F1643" t="s">
        <v>29</v>
      </c>
      <c r="G1643" t="s">
        <v>30</v>
      </c>
      <c r="H1643" t="s">
        <v>62</v>
      </c>
      <c r="I1643" t="s">
        <v>51</v>
      </c>
      <c r="J1643" s="3">
        <v>150000</v>
      </c>
      <c r="K1643">
        <v>3</v>
      </c>
      <c r="L1643" t="s">
        <v>47</v>
      </c>
      <c r="M1643" s="3">
        <v>120000</v>
      </c>
      <c r="N1643" s="3">
        <f>Table1[[#This Row],[Unit Price]]*Table1[[#This Row],[Quantity]]</f>
        <v>450000</v>
      </c>
      <c r="O1643" s="3">
        <f>Table1[[#This Row],[Cost Price]]*Table1[[#This Row],[Quantity]]</f>
        <v>360000</v>
      </c>
      <c r="P1643" s="3">
        <f>Table1[[#This Row],[Revenue]]-Table1[[#This Row],[COGS]]</f>
        <v>90000</v>
      </c>
      <c r="Q1643" s="1">
        <v>1642</v>
      </c>
    </row>
    <row r="1644" spans="1:17">
      <c r="A1644" t="s">
        <v>151</v>
      </c>
      <c r="B1644" t="str">
        <f>TEXT(Table1[[#This Row],[Date]],"MMMM")</f>
        <v>February</v>
      </c>
      <c r="C1644" t="str">
        <f>TEXT(Table1[[#This Row],[Date]],"DDDD")</f>
        <v>Tuesday</v>
      </c>
      <c r="D1644" t="s">
        <v>49</v>
      </c>
      <c r="E1644" t="s">
        <v>28</v>
      </c>
      <c r="F1644" t="s">
        <v>41</v>
      </c>
      <c r="G1644" t="s">
        <v>37</v>
      </c>
      <c r="H1644" t="s">
        <v>50</v>
      </c>
      <c r="I1644" t="s">
        <v>51</v>
      </c>
      <c r="J1644" s="3">
        <v>300000</v>
      </c>
      <c r="K1644">
        <v>6</v>
      </c>
      <c r="L1644" t="s">
        <v>65</v>
      </c>
      <c r="M1644" s="3">
        <v>240000</v>
      </c>
      <c r="N1644" s="3">
        <f>Table1[[#This Row],[Unit Price]]*Table1[[#This Row],[Quantity]]</f>
        <v>1800000</v>
      </c>
      <c r="O1644" s="3">
        <f>Table1[[#This Row],[Cost Price]]*Table1[[#This Row],[Quantity]]</f>
        <v>1440000</v>
      </c>
      <c r="P1644" s="3">
        <f>Table1[[#This Row],[Revenue]]-Table1[[#This Row],[COGS]]</f>
        <v>360000</v>
      </c>
      <c r="Q1644" s="1">
        <v>1643</v>
      </c>
    </row>
    <row r="1645" spans="1:17">
      <c r="A1645" t="s">
        <v>61</v>
      </c>
      <c r="B1645" t="str">
        <f>TEXT(Table1[[#This Row],[Date]],"MMMM")</f>
        <v>January</v>
      </c>
      <c r="C1645" t="str">
        <f>TEXT(Table1[[#This Row],[Date]],"DDDD")</f>
        <v>Friday</v>
      </c>
      <c r="D1645" t="s">
        <v>44</v>
      </c>
      <c r="E1645" t="s">
        <v>28</v>
      </c>
      <c r="F1645" t="s">
        <v>29</v>
      </c>
      <c r="G1645" t="s">
        <v>37</v>
      </c>
      <c r="H1645" t="s">
        <v>54</v>
      </c>
      <c r="I1645" t="s">
        <v>39</v>
      </c>
      <c r="J1645" s="3">
        <v>180000</v>
      </c>
      <c r="K1645">
        <v>2</v>
      </c>
      <c r="L1645" t="s">
        <v>47</v>
      </c>
      <c r="M1645" s="3">
        <v>144000</v>
      </c>
      <c r="N1645" s="3">
        <f>Table1[[#This Row],[Unit Price]]*Table1[[#This Row],[Quantity]]</f>
        <v>360000</v>
      </c>
      <c r="O1645" s="3">
        <f>Table1[[#This Row],[Cost Price]]*Table1[[#This Row],[Quantity]]</f>
        <v>288000</v>
      </c>
      <c r="P1645" s="3">
        <f>Table1[[#This Row],[Revenue]]-Table1[[#This Row],[COGS]]</f>
        <v>72000</v>
      </c>
      <c r="Q1645" s="1">
        <v>1644</v>
      </c>
    </row>
    <row r="1646" spans="1:17">
      <c r="A1646" t="s">
        <v>91</v>
      </c>
      <c r="B1646" t="str">
        <f>TEXT(Table1[[#This Row],[Date]],"MMMM")</f>
        <v>February</v>
      </c>
      <c r="C1646" t="str">
        <f>TEXT(Table1[[#This Row],[Date]],"DDDD")</f>
        <v>Friday</v>
      </c>
      <c r="D1646" t="s">
        <v>35</v>
      </c>
      <c r="E1646" t="s">
        <v>36</v>
      </c>
      <c r="F1646" t="s">
        <v>41</v>
      </c>
      <c r="G1646" t="s">
        <v>37</v>
      </c>
      <c r="H1646" t="s">
        <v>62</v>
      </c>
      <c r="I1646" t="s">
        <v>51</v>
      </c>
      <c r="J1646" s="3">
        <v>150000</v>
      </c>
      <c r="K1646">
        <v>6</v>
      </c>
      <c r="L1646" t="s">
        <v>42</v>
      </c>
      <c r="M1646" s="3">
        <v>120000</v>
      </c>
      <c r="N1646" s="3">
        <f>Table1[[#This Row],[Unit Price]]*Table1[[#This Row],[Quantity]]</f>
        <v>900000</v>
      </c>
      <c r="O1646" s="3">
        <f>Table1[[#This Row],[Cost Price]]*Table1[[#This Row],[Quantity]]</f>
        <v>720000</v>
      </c>
      <c r="P1646" s="3">
        <f>Table1[[#This Row],[Revenue]]-Table1[[#This Row],[COGS]]</f>
        <v>180000</v>
      </c>
      <c r="Q1646" s="1">
        <v>1645</v>
      </c>
    </row>
    <row r="1647" spans="1:17">
      <c r="A1647" t="s">
        <v>109</v>
      </c>
      <c r="B1647" t="str">
        <f>TEXT(Table1[[#This Row],[Date]],"MMMM")</f>
        <v>March</v>
      </c>
      <c r="C1647" t="str">
        <f>TEXT(Table1[[#This Row],[Date]],"DDDD")</f>
        <v>Monday</v>
      </c>
      <c r="D1647" t="s">
        <v>44</v>
      </c>
      <c r="E1647" t="s">
        <v>45</v>
      </c>
      <c r="F1647" t="s">
        <v>29</v>
      </c>
      <c r="G1647" t="s">
        <v>37</v>
      </c>
      <c r="H1647" t="s">
        <v>46</v>
      </c>
      <c r="I1647" t="s">
        <v>39</v>
      </c>
      <c r="J1647" s="3">
        <v>60000</v>
      </c>
      <c r="K1647">
        <v>8</v>
      </c>
      <c r="L1647" t="s">
        <v>65</v>
      </c>
      <c r="M1647" s="3">
        <v>48000</v>
      </c>
      <c r="N1647" s="3">
        <f>Table1[[#This Row],[Unit Price]]*Table1[[#This Row],[Quantity]]</f>
        <v>480000</v>
      </c>
      <c r="O1647" s="3">
        <f>Table1[[#This Row],[Cost Price]]*Table1[[#This Row],[Quantity]]</f>
        <v>384000</v>
      </c>
      <c r="P1647" s="3">
        <f>Table1[[#This Row],[Revenue]]-Table1[[#This Row],[COGS]]</f>
        <v>96000</v>
      </c>
      <c r="Q1647" s="1">
        <v>1646</v>
      </c>
    </row>
    <row r="1648" spans="1:17">
      <c r="A1648" t="s">
        <v>102</v>
      </c>
      <c r="B1648" t="str">
        <f>TEXT(Table1[[#This Row],[Date]],"MMMM")</f>
        <v>March</v>
      </c>
      <c r="C1648" t="str">
        <f>TEXT(Table1[[#This Row],[Date]],"DDDD")</f>
        <v>Wednesday</v>
      </c>
      <c r="D1648" t="s">
        <v>27</v>
      </c>
      <c r="E1648" t="s">
        <v>36</v>
      </c>
      <c r="F1648" t="s">
        <v>29</v>
      </c>
      <c r="G1648" t="s">
        <v>37</v>
      </c>
      <c r="H1648" t="s">
        <v>73</v>
      </c>
      <c r="I1648" t="s">
        <v>39</v>
      </c>
      <c r="J1648" s="3">
        <v>220000</v>
      </c>
      <c r="K1648">
        <v>9</v>
      </c>
      <c r="L1648" t="s">
        <v>47</v>
      </c>
      <c r="M1648" s="3">
        <v>176000</v>
      </c>
      <c r="N1648" s="3">
        <f>Table1[[#This Row],[Unit Price]]*Table1[[#This Row],[Quantity]]</f>
        <v>1980000</v>
      </c>
      <c r="O1648" s="3">
        <f>Table1[[#This Row],[Cost Price]]*Table1[[#This Row],[Quantity]]</f>
        <v>1584000</v>
      </c>
      <c r="P1648" s="3">
        <f>Table1[[#This Row],[Revenue]]-Table1[[#This Row],[COGS]]</f>
        <v>396000</v>
      </c>
      <c r="Q1648" s="1">
        <v>1647</v>
      </c>
    </row>
    <row r="1649" spans="1:17">
      <c r="A1649" t="s">
        <v>128</v>
      </c>
      <c r="B1649" t="str">
        <f>TEXT(Table1[[#This Row],[Date]],"MMMM")</f>
        <v>March</v>
      </c>
      <c r="C1649" t="str">
        <f>TEXT(Table1[[#This Row],[Date]],"DDDD")</f>
        <v>Friday</v>
      </c>
      <c r="D1649" t="s">
        <v>49</v>
      </c>
      <c r="E1649" t="s">
        <v>53</v>
      </c>
      <c r="F1649" t="s">
        <v>41</v>
      </c>
      <c r="G1649" t="s">
        <v>30</v>
      </c>
      <c r="H1649" t="s">
        <v>50</v>
      </c>
      <c r="I1649" t="s">
        <v>51</v>
      </c>
      <c r="J1649" s="3">
        <v>300000</v>
      </c>
      <c r="K1649">
        <v>9</v>
      </c>
      <c r="L1649" t="s">
        <v>58</v>
      </c>
      <c r="M1649" s="3">
        <v>240000</v>
      </c>
      <c r="N1649" s="3">
        <f>Table1[[#This Row],[Unit Price]]*Table1[[#This Row],[Quantity]]</f>
        <v>2700000</v>
      </c>
      <c r="O1649" s="3">
        <f>Table1[[#This Row],[Cost Price]]*Table1[[#This Row],[Quantity]]</f>
        <v>2160000</v>
      </c>
      <c r="P1649" s="3">
        <f>Table1[[#This Row],[Revenue]]-Table1[[#This Row],[COGS]]</f>
        <v>540000</v>
      </c>
      <c r="Q1649" s="1">
        <v>1648</v>
      </c>
    </row>
    <row r="1650" spans="1:17">
      <c r="A1650" t="s">
        <v>158</v>
      </c>
      <c r="B1650" t="str">
        <f>TEXT(Table1[[#This Row],[Date]],"MMMM")</f>
        <v>January</v>
      </c>
      <c r="C1650" t="str">
        <f>TEXT(Table1[[#This Row],[Date]],"DDDD")</f>
        <v>Saturday</v>
      </c>
      <c r="D1650" t="s">
        <v>27</v>
      </c>
      <c r="E1650" t="s">
        <v>53</v>
      </c>
      <c r="F1650" t="s">
        <v>29</v>
      </c>
      <c r="G1650" t="s">
        <v>30</v>
      </c>
      <c r="H1650" t="s">
        <v>67</v>
      </c>
      <c r="I1650" t="s">
        <v>51</v>
      </c>
      <c r="J1650" s="3">
        <v>420000</v>
      </c>
      <c r="K1650">
        <v>1</v>
      </c>
      <c r="L1650" t="s">
        <v>65</v>
      </c>
      <c r="M1650" s="3">
        <v>336000</v>
      </c>
      <c r="N1650" s="3">
        <f>Table1[[#This Row],[Unit Price]]*Table1[[#This Row],[Quantity]]</f>
        <v>420000</v>
      </c>
      <c r="O1650" s="3">
        <f>Table1[[#This Row],[Cost Price]]*Table1[[#This Row],[Quantity]]</f>
        <v>336000</v>
      </c>
      <c r="P1650" s="3">
        <f>Table1[[#This Row],[Revenue]]-Table1[[#This Row],[COGS]]</f>
        <v>84000</v>
      </c>
      <c r="Q1650" s="1">
        <v>1649</v>
      </c>
    </row>
    <row r="1651" spans="1:17">
      <c r="A1651" t="s">
        <v>105</v>
      </c>
      <c r="B1651" t="str">
        <f>TEXT(Table1[[#This Row],[Date]],"MMMM")</f>
        <v>March</v>
      </c>
      <c r="C1651" t="str">
        <f>TEXT(Table1[[#This Row],[Date]],"DDDD")</f>
        <v>Friday</v>
      </c>
      <c r="D1651" t="s">
        <v>44</v>
      </c>
      <c r="E1651" t="s">
        <v>53</v>
      </c>
      <c r="F1651" t="s">
        <v>29</v>
      </c>
      <c r="G1651" t="s">
        <v>37</v>
      </c>
      <c r="H1651" t="s">
        <v>73</v>
      </c>
      <c r="I1651" t="s">
        <v>39</v>
      </c>
      <c r="J1651" s="3">
        <v>220000</v>
      </c>
      <c r="K1651">
        <v>6</v>
      </c>
      <c r="L1651" t="s">
        <v>58</v>
      </c>
      <c r="M1651" s="3">
        <v>176000</v>
      </c>
      <c r="N1651" s="3">
        <f>Table1[[#This Row],[Unit Price]]*Table1[[#This Row],[Quantity]]</f>
        <v>1320000</v>
      </c>
      <c r="O1651" s="3">
        <f>Table1[[#This Row],[Cost Price]]*Table1[[#This Row],[Quantity]]</f>
        <v>1056000</v>
      </c>
      <c r="P1651" s="3">
        <f>Table1[[#This Row],[Revenue]]-Table1[[#This Row],[COGS]]</f>
        <v>264000</v>
      </c>
      <c r="Q1651" s="1">
        <v>1650</v>
      </c>
    </row>
    <row r="1652" spans="1:17">
      <c r="A1652" t="s">
        <v>87</v>
      </c>
      <c r="B1652" t="str">
        <f>TEXT(Table1[[#This Row],[Date]],"MMMM")</f>
        <v>March</v>
      </c>
      <c r="C1652" t="str">
        <f>TEXT(Table1[[#This Row],[Date]],"DDDD")</f>
        <v>Thursday</v>
      </c>
      <c r="D1652" t="s">
        <v>27</v>
      </c>
      <c r="E1652" t="s">
        <v>36</v>
      </c>
      <c r="F1652" t="s">
        <v>29</v>
      </c>
      <c r="G1652" t="s">
        <v>37</v>
      </c>
      <c r="H1652" t="s">
        <v>38</v>
      </c>
      <c r="I1652" t="s">
        <v>39</v>
      </c>
      <c r="J1652" s="3">
        <v>30000</v>
      </c>
      <c r="K1652">
        <v>5</v>
      </c>
      <c r="L1652" t="s">
        <v>47</v>
      </c>
      <c r="M1652" s="3">
        <v>24000</v>
      </c>
      <c r="N1652" s="3">
        <f>Table1[[#This Row],[Unit Price]]*Table1[[#This Row],[Quantity]]</f>
        <v>150000</v>
      </c>
      <c r="O1652" s="3">
        <f>Table1[[#This Row],[Cost Price]]*Table1[[#This Row],[Quantity]]</f>
        <v>120000</v>
      </c>
      <c r="P1652" s="3">
        <f>Table1[[#This Row],[Revenue]]-Table1[[#This Row],[COGS]]</f>
        <v>30000</v>
      </c>
      <c r="Q1652" s="1">
        <v>1651</v>
      </c>
    </row>
    <row r="1653" spans="1:17">
      <c r="A1653" t="s">
        <v>173</v>
      </c>
      <c r="B1653" t="str">
        <f>TEXT(Table1[[#This Row],[Date]],"MMMM")</f>
        <v>March</v>
      </c>
      <c r="C1653" t="str">
        <f>TEXT(Table1[[#This Row],[Date]],"DDDD")</f>
        <v>Saturday</v>
      </c>
      <c r="D1653" t="s">
        <v>49</v>
      </c>
      <c r="E1653" t="s">
        <v>45</v>
      </c>
      <c r="F1653" t="s">
        <v>41</v>
      </c>
      <c r="G1653" t="s">
        <v>30</v>
      </c>
      <c r="H1653" t="s">
        <v>38</v>
      </c>
      <c r="I1653" t="s">
        <v>39</v>
      </c>
      <c r="J1653" s="3">
        <v>30000</v>
      </c>
      <c r="K1653">
        <v>9</v>
      </c>
      <c r="L1653" t="s">
        <v>47</v>
      </c>
      <c r="M1653" s="3">
        <v>24000</v>
      </c>
      <c r="N1653" s="3">
        <f>Table1[[#This Row],[Unit Price]]*Table1[[#This Row],[Quantity]]</f>
        <v>270000</v>
      </c>
      <c r="O1653" s="3">
        <f>Table1[[#This Row],[Cost Price]]*Table1[[#This Row],[Quantity]]</f>
        <v>216000</v>
      </c>
      <c r="P1653" s="3">
        <f>Table1[[#This Row],[Revenue]]-Table1[[#This Row],[COGS]]</f>
        <v>54000</v>
      </c>
      <c r="Q1653" s="1">
        <v>1652</v>
      </c>
    </row>
    <row r="1654" spans="1:17">
      <c r="A1654" t="s">
        <v>91</v>
      </c>
      <c r="B1654" t="str">
        <f>TEXT(Table1[[#This Row],[Date]],"MMMM")</f>
        <v>February</v>
      </c>
      <c r="C1654" t="str">
        <f>TEXT(Table1[[#This Row],[Date]],"DDDD")</f>
        <v>Friday</v>
      </c>
      <c r="D1654" t="s">
        <v>44</v>
      </c>
      <c r="E1654" t="s">
        <v>28</v>
      </c>
      <c r="F1654" t="s">
        <v>29</v>
      </c>
      <c r="G1654" t="s">
        <v>30</v>
      </c>
      <c r="H1654" t="s">
        <v>71</v>
      </c>
      <c r="I1654" t="s">
        <v>51</v>
      </c>
      <c r="J1654" s="3">
        <v>250000</v>
      </c>
      <c r="K1654">
        <v>1</v>
      </c>
      <c r="L1654" t="s">
        <v>58</v>
      </c>
      <c r="M1654" s="3">
        <v>200000</v>
      </c>
      <c r="N1654" s="3">
        <f>Table1[[#This Row],[Unit Price]]*Table1[[#This Row],[Quantity]]</f>
        <v>250000</v>
      </c>
      <c r="O1654" s="3">
        <f>Table1[[#This Row],[Cost Price]]*Table1[[#This Row],[Quantity]]</f>
        <v>200000</v>
      </c>
      <c r="P1654" s="3">
        <f>Table1[[#This Row],[Revenue]]-Table1[[#This Row],[COGS]]</f>
        <v>50000</v>
      </c>
      <c r="Q1654" s="1">
        <v>1653</v>
      </c>
    </row>
    <row r="1655" spans="1:17">
      <c r="A1655" t="s">
        <v>81</v>
      </c>
      <c r="B1655" t="str">
        <f>TEXT(Table1[[#This Row],[Date]],"MMMM")</f>
        <v>March</v>
      </c>
      <c r="C1655" t="str">
        <f>TEXT(Table1[[#This Row],[Date]],"DDDD")</f>
        <v>Sunday</v>
      </c>
      <c r="D1655" t="s">
        <v>44</v>
      </c>
      <c r="E1655" t="s">
        <v>53</v>
      </c>
      <c r="F1655" t="s">
        <v>29</v>
      </c>
      <c r="G1655" t="s">
        <v>30</v>
      </c>
      <c r="H1655" t="s">
        <v>73</v>
      </c>
      <c r="I1655" t="s">
        <v>39</v>
      </c>
      <c r="J1655" s="3">
        <v>220000</v>
      </c>
      <c r="K1655">
        <v>8</v>
      </c>
      <c r="L1655" t="s">
        <v>42</v>
      </c>
      <c r="M1655" s="3">
        <v>176000</v>
      </c>
      <c r="N1655" s="3">
        <f>Table1[[#This Row],[Unit Price]]*Table1[[#This Row],[Quantity]]</f>
        <v>1760000</v>
      </c>
      <c r="O1655" s="3">
        <f>Table1[[#This Row],[Cost Price]]*Table1[[#This Row],[Quantity]]</f>
        <v>1408000</v>
      </c>
      <c r="P1655" s="3">
        <f>Table1[[#This Row],[Revenue]]-Table1[[#This Row],[COGS]]</f>
        <v>352000</v>
      </c>
      <c r="Q1655" s="1">
        <v>1654</v>
      </c>
    </row>
    <row r="1656" spans="1:17">
      <c r="A1656" t="s">
        <v>154</v>
      </c>
      <c r="B1656" t="str">
        <f>TEXT(Table1[[#This Row],[Date]],"MMMM")</f>
        <v>February</v>
      </c>
      <c r="C1656" t="str">
        <f>TEXT(Table1[[#This Row],[Date]],"DDDD")</f>
        <v>Saturday</v>
      </c>
      <c r="D1656" t="s">
        <v>35</v>
      </c>
      <c r="E1656" t="s">
        <v>36</v>
      </c>
      <c r="F1656" t="s">
        <v>29</v>
      </c>
      <c r="G1656" t="s">
        <v>30</v>
      </c>
      <c r="H1656" t="s">
        <v>67</v>
      </c>
      <c r="I1656" t="s">
        <v>51</v>
      </c>
      <c r="J1656" s="3">
        <v>420000</v>
      </c>
      <c r="K1656">
        <v>8</v>
      </c>
      <c r="L1656" t="s">
        <v>69</v>
      </c>
      <c r="M1656" s="3">
        <v>336000</v>
      </c>
      <c r="N1656" s="3">
        <f>Table1[[#This Row],[Unit Price]]*Table1[[#This Row],[Quantity]]</f>
        <v>3360000</v>
      </c>
      <c r="O1656" s="3">
        <f>Table1[[#This Row],[Cost Price]]*Table1[[#This Row],[Quantity]]</f>
        <v>2688000</v>
      </c>
      <c r="P1656" s="3">
        <f>Table1[[#This Row],[Revenue]]-Table1[[#This Row],[COGS]]</f>
        <v>672000</v>
      </c>
      <c r="Q1656" s="1">
        <v>1655</v>
      </c>
    </row>
    <row r="1657" spans="1:17">
      <c r="A1657" t="s">
        <v>171</v>
      </c>
      <c r="B1657" t="str">
        <f>TEXT(Table1[[#This Row],[Date]],"MMMM")</f>
        <v>March</v>
      </c>
      <c r="C1657" t="str">
        <f>TEXT(Table1[[#This Row],[Date]],"DDDD")</f>
        <v>Monday</v>
      </c>
      <c r="D1657" t="s">
        <v>49</v>
      </c>
      <c r="E1657" t="s">
        <v>45</v>
      </c>
      <c r="F1657" t="s">
        <v>29</v>
      </c>
      <c r="G1657" t="s">
        <v>30</v>
      </c>
      <c r="H1657" t="s">
        <v>50</v>
      </c>
      <c r="I1657" t="s">
        <v>51</v>
      </c>
      <c r="J1657" s="3">
        <v>300000</v>
      </c>
      <c r="K1657">
        <v>10</v>
      </c>
      <c r="L1657" t="s">
        <v>58</v>
      </c>
      <c r="M1657" s="3">
        <v>240000</v>
      </c>
      <c r="N1657" s="3">
        <f>Table1[[#This Row],[Unit Price]]*Table1[[#This Row],[Quantity]]</f>
        <v>3000000</v>
      </c>
      <c r="O1657" s="3">
        <f>Table1[[#This Row],[Cost Price]]*Table1[[#This Row],[Quantity]]</f>
        <v>2400000</v>
      </c>
      <c r="P1657" s="3">
        <f>Table1[[#This Row],[Revenue]]-Table1[[#This Row],[COGS]]</f>
        <v>600000</v>
      </c>
      <c r="Q1657" s="1">
        <v>1656</v>
      </c>
    </row>
    <row r="1658" spans="1:17">
      <c r="A1658" t="s">
        <v>138</v>
      </c>
      <c r="B1658" t="str">
        <f>TEXT(Table1[[#This Row],[Date]],"MMMM")</f>
        <v>April</v>
      </c>
      <c r="C1658" t="str">
        <f>TEXT(Table1[[#This Row],[Date]],"DDDD")</f>
        <v>Monday</v>
      </c>
      <c r="D1658" t="s">
        <v>49</v>
      </c>
      <c r="E1658" t="s">
        <v>53</v>
      </c>
      <c r="F1658" t="s">
        <v>29</v>
      </c>
      <c r="G1658" t="s">
        <v>30</v>
      </c>
      <c r="H1658" t="s">
        <v>62</v>
      </c>
      <c r="I1658" t="s">
        <v>51</v>
      </c>
      <c r="J1658" s="3">
        <v>150000</v>
      </c>
      <c r="K1658">
        <v>1</v>
      </c>
      <c r="L1658" t="s">
        <v>58</v>
      </c>
      <c r="M1658" s="3">
        <v>120000</v>
      </c>
      <c r="N1658" s="3">
        <f>Table1[[#This Row],[Unit Price]]*Table1[[#This Row],[Quantity]]</f>
        <v>150000</v>
      </c>
      <c r="O1658" s="3">
        <f>Table1[[#This Row],[Cost Price]]*Table1[[#This Row],[Quantity]]</f>
        <v>120000</v>
      </c>
      <c r="P1658" s="3">
        <f>Table1[[#This Row],[Revenue]]-Table1[[#This Row],[COGS]]</f>
        <v>30000</v>
      </c>
      <c r="Q1658" s="1">
        <v>1657</v>
      </c>
    </row>
    <row r="1659" spans="1:17">
      <c r="A1659" t="s">
        <v>139</v>
      </c>
      <c r="B1659" t="str">
        <f>TEXT(Table1[[#This Row],[Date]],"MMMM")</f>
        <v>January</v>
      </c>
      <c r="C1659" t="str">
        <f>TEXT(Table1[[#This Row],[Date]],"DDDD")</f>
        <v>Monday</v>
      </c>
      <c r="D1659" t="s">
        <v>49</v>
      </c>
      <c r="E1659" t="s">
        <v>53</v>
      </c>
      <c r="F1659" t="s">
        <v>29</v>
      </c>
      <c r="G1659" t="s">
        <v>37</v>
      </c>
      <c r="H1659" t="s">
        <v>73</v>
      </c>
      <c r="I1659" t="s">
        <v>39</v>
      </c>
      <c r="J1659" s="3">
        <v>220000</v>
      </c>
      <c r="K1659">
        <v>6</v>
      </c>
      <c r="L1659" t="s">
        <v>47</v>
      </c>
      <c r="M1659" s="3">
        <v>176000</v>
      </c>
      <c r="N1659" s="3">
        <f>Table1[[#This Row],[Unit Price]]*Table1[[#This Row],[Quantity]]</f>
        <v>1320000</v>
      </c>
      <c r="O1659" s="3">
        <f>Table1[[#This Row],[Cost Price]]*Table1[[#This Row],[Quantity]]</f>
        <v>1056000</v>
      </c>
      <c r="P1659" s="3">
        <f>Table1[[#This Row],[Revenue]]-Table1[[#This Row],[COGS]]</f>
        <v>264000</v>
      </c>
      <c r="Q1659" s="1">
        <v>1658</v>
      </c>
    </row>
    <row r="1660" spans="1:17">
      <c r="A1660" t="s">
        <v>100</v>
      </c>
      <c r="B1660" t="str">
        <f>TEXT(Table1[[#This Row],[Date]],"MMMM")</f>
        <v>January</v>
      </c>
      <c r="C1660" t="str">
        <f>TEXT(Table1[[#This Row],[Date]],"DDDD")</f>
        <v>Monday</v>
      </c>
      <c r="D1660" t="s">
        <v>49</v>
      </c>
      <c r="E1660" t="s">
        <v>36</v>
      </c>
      <c r="F1660" t="s">
        <v>41</v>
      </c>
      <c r="G1660" t="s">
        <v>30</v>
      </c>
      <c r="H1660" t="s">
        <v>54</v>
      </c>
      <c r="I1660" t="s">
        <v>39</v>
      </c>
      <c r="J1660" s="3">
        <v>180000</v>
      </c>
      <c r="K1660">
        <v>3</v>
      </c>
      <c r="L1660" t="s">
        <v>69</v>
      </c>
      <c r="M1660" s="3">
        <v>144000</v>
      </c>
      <c r="N1660" s="3">
        <f>Table1[[#This Row],[Unit Price]]*Table1[[#This Row],[Quantity]]</f>
        <v>540000</v>
      </c>
      <c r="O1660" s="3">
        <f>Table1[[#This Row],[Cost Price]]*Table1[[#This Row],[Quantity]]</f>
        <v>432000</v>
      </c>
      <c r="P1660" s="3">
        <f>Table1[[#This Row],[Revenue]]-Table1[[#This Row],[COGS]]</f>
        <v>108000</v>
      </c>
      <c r="Q1660" s="1">
        <v>1659</v>
      </c>
    </row>
    <row r="1661" spans="1:17">
      <c r="A1661" t="s">
        <v>63</v>
      </c>
      <c r="B1661" t="str">
        <f>TEXT(Table1[[#This Row],[Date]],"MMMM")</f>
        <v>January</v>
      </c>
      <c r="C1661" t="str">
        <f>TEXT(Table1[[#This Row],[Date]],"DDDD")</f>
        <v>Monday</v>
      </c>
      <c r="D1661" t="s">
        <v>49</v>
      </c>
      <c r="E1661" t="s">
        <v>28</v>
      </c>
      <c r="F1661" t="s">
        <v>29</v>
      </c>
      <c r="G1661" t="s">
        <v>37</v>
      </c>
      <c r="H1661" t="s">
        <v>46</v>
      </c>
      <c r="I1661" t="s">
        <v>39</v>
      </c>
      <c r="J1661" s="3">
        <v>60000</v>
      </c>
      <c r="K1661">
        <v>10</v>
      </c>
      <c r="L1661" t="s">
        <v>58</v>
      </c>
      <c r="M1661" s="3">
        <v>48000</v>
      </c>
      <c r="N1661" s="3">
        <f>Table1[[#This Row],[Unit Price]]*Table1[[#This Row],[Quantity]]</f>
        <v>600000</v>
      </c>
      <c r="O1661" s="3">
        <f>Table1[[#This Row],[Cost Price]]*Table1[[#This Row],[Quantity]]</f>
        <v>480000</v>
      </c>
      <c r="P1661" s="3">
        <f>Table1[[#This Row],[Revenue]]-Table1[[#This Row],[COGS]]</f>
        <v>120000</v>
      </c>
      <c r="Q1661" s="1">
        <v>1660</v>
      </c>
    </row>
    <row r="1662" spans="1:17">
      <c r="A1662" t="s">
        <v>106</v>
      </c>
      <c r="B1662" t="str">
        <f>TEXT(Table1[[#This Row],[Date]],"MMMM")</f>
        <v>April</v>
      </c>
      <c r="C1662" t="str">
        <f>TEXT(Table1[[#This Row],[Date]],"DDDD")</f>
        <v>Wednesday</v>
      </c>
      <c r="D1662" t="s">
        <v>44</v>
      </c>
      <c r="E1662" t="s">
        <v>28</v>
      </c>
      <c r="F1662" t="s">
        <v>41</v>
      </c>
      <c r="G1662" t="s">
        <v>30</v>
      </c>
      <c r="H1662" t="s">
        <v>73</v>
      </c>
      <c r="I1662" t="s">
        <v>39</v>
      </c>
      <c r="J1662" s="3">
        <v>220000</v>
      </c>
      <c r="K1662">
        <v>1</v>
      </c>
      <c r="L1662" t="s">
        <v>65</v>
      </c>
      <c r="M1662" s="3">
        <v>176000</v>
      </c>
      <c r="N1662" s="3">
        <f>Table1[[#This Row],[Unit Price]]*Table1[[#This Row],[Quantity]]</f>
        <v>220000</v>
      </c>
      <c r="O1662" s="3">
        <f>Table1[[#This Row],[Cost Price]]*Table1[[#This Row],[Quantity]]</f>
        <v>176000</v>
      </c>
      <c r="P1662" s="3">
        <f>Table1[[#This Row],[Revenue]]-Table1[[#This Row],[COGS]]</f>
        <v>44000</v>
      </c>
      <c r="Q1662" s="1">
        <v>1661</v>
      </c>
    </row>
    <row r="1663" spans="1:17">
      <c r="A1663" t="s">
        <v>116</v>
      </c>
      <c r="B1663" t="str">
        <f>TEXT(Table1[[#This Row],[Date]],"MMMM")</f>
        <v>April</v>
      </c>
      <c r="C1663" t="str">
        <f>TEXT(Table1[[#This Row],[Date]],"DDDD")</f>
        <v>Saturday</v>
      </c>
      <c r="D1663" t="s">
        <v>49</v>
      </c>
      <c r="E1663" t="s">
        <v>45</v>
      </c>
      <c r="F1663" t="s">
        <v>29</v>
      </c>
      <c r="G1663" t="s">
        <v>37</v>
      </c>
      <c r="H1663" t="s">
        <v>71</v>
      </c>
      <c r="I1663" t="s">
        <v>51</v>
      </c>
      <c r="J1663" s="3">
        <v>250000</v>
      </c>
      <c r="K1663">
        <v>5</v>
      </c>
      <c r="L1663" t="s">
        <v>47</v>
      </c>
      <c r="M1663" s="3">
        <v>200000</v>
      </c>
      <c r="N1663" s="3">
        <f>Table1[[#This Row],[Unit Price]]*Table1[[#This Row],[Quantity]]</f>
        <v>1250000</v>
      </c>
      <c r="O1663" s="3">
        <f>Table1[[#This Row],[Cost Price]]*Table1[[#This Row],[Quantity]]</f>
        <v>1000000</v>
      </c>
      <c r="P1663" s="3">
        <f>Table1[[#This Row],[Revenue]]-Table1[[#This Row],[COGS]]</f>
        <v>250000</v>
      </c>
      <c r="Q1663" s="1">
        <v>1662</v>
      </c>
    </row>
    <row r="1664" spans="1:17">
      <c r="A1664" t="s">
        <v>143</v>
      </c>
      <c r="B1664" t="str">
        <f>TEXT(Table1[[#This Row],[Date]],"MMMM")</f>
        <v>April</v>
      </c>
      <c r="C1664" t="str">
        <f>TEXT(Table1[[#This Row],[Date]],"DDDD")</f>
        <v>Thursday</v>
      </c>
      <c r="D1664" t="s">
        <v>44</v>
      </c>
      <c r="E1664" t="s">
        <v>36</v>
      </c>
      <c r="F1664" t="s">
        <v>41</v>
      </c>
      <c r="G1664" t="s">
        <v>37</v>
      </c>
      <c r="H1664" t="s">
        <v>71</v>
      </c>
      <c r="I1664" t="s">
        <v>51</v>
      </c>
      <c r="J1664" s="3">
        <v>250000</v>
      </c>
      <c r="K1664">
        <v>8</v>
      </c>
      <c r="L1664" t="s">
        <v>58</v>
      </c>
      <c r="M1664" s="3">
        <v>200000</v>
      </c>
      <c r="N1664" s="3">
        <f>Table1[[#This Row],[Unit Price]]*Table1[[#This Row],[Quantity]]</f>
        <v>2000000</v>
      </c>
      <c r="O1664" s="3">
        <f>Table1[[#This Row],[Cost Price]]*Table1[[#This Row],[Quantity]]</f>
        <v>1600000</v>
      </c>
      <c r="P1664" s="3">
        <f>Table1[[#This Row],[Revenue]]-Table1[[#This Row],[COGS]]</f>
        <v>400000</v>
      </c>
      <c r="Q1664" s="1">
        <v>1663</v>
      </c>
    </row>
    <row r="1665" spans="1:17">
      <c r="A1665" t="s">
        <v>130</v>
      </c>
      <c r="B1665" t="str">
        <f>TEXT(Table1[[#This Row],[Date]],"MMMM")</f>
        <v>January</v>
      </c>
      <c r="C1665" t="str">
        <f>TEXT(Table1[[#This Row],[Date]],"DDDD")</f>
        <v>Monday</v>
      </c>
      <c r="D1665" t="s">
        <v>27</v>
      </c>
      <c r="E1665" t="s">
        <v>53</v>
      </c>
      <c r="F1665" t="s">
        <v>41</v>
      </c>
      <c r="G1665" t="s">
        <v>30</v>
      </c>
      <c r="H1665" t="s">
        <v>62</v>
      </c>
      <c r="I1665" t="s">
        <v>51</v>
      </c>
      <c r="J1665" s="3">
        <v>150000</v>
      </c>
      <c r="K1665">
        <v>4</v>
      </c>
      <c r="L1665" t="s">
        <v>42</v>
      </c>
      <c r="M1665" s="3">
        <v>120000</v>
      </c>
      <c r="N1665" s="3">
        <f>Table1[[#This Row],[Unit Price]]*Table1[[#This Row],[Quantity]]</f>
        <v>600000</v>
      </c>
      <c r="O1665" s="3">
        <f>Table1[[#This Row],[Cost Price]]*Table1[[#This Row],[Quantity]]</f>
        <v>480000</v>
      </c>
      <c r="P1665" s="3">
        <f>Table1[[#This Row],[Revenue]]-Table1[[#This Row],[COGS]]</f>
        <v>120000</v>
      </c>
      <c r="Q1665" s="1">
        <v>1664</v>
      </c>
    </row>
    <row r="1666" spans="1:17">
      <c r="A1666" t="s">
        <v>153</v>
      </c>
      <c r="B1666" t="str">
        <f>TEXT(Table1[[#This Row],[Date]],"MMMM")</f>
        <v>March</v>
      </c>
      <c r="C1666" t="str">
        <f>TEXT(Table1[[#This Row],[Date]],"DDDD")</f>
        <v>Tuesday</v>
      </c>
      <c r="D1666" t="s">
        <v>44</v>
      </c>
      <c r="E1666" t="s">
        <v>36</v>
      </c>
      <c r="F1666" t="s">
        <v>29</v>
      </c>
      <c r="G1666" t="s">
        <v>30</v>
      </c>
      <c r="H1666" t="s">
        <v>73</v>
      </c>
      <c r="I1666" t="s">
        <v>39</v>
      </c>
      <c r="J1666" s="3">
        <v>220000</v>
      </c>
      <c r="K1666">
        <v>3</v>
      </c>
      <c r="L1666" t="s">
        <v>65</v>
      </c>
      <c r="M1666" s="3">
        <v>176000</v>
      </c>
      <c r="N1666" s="3">
        <f>Table1[[#This Row],[Unit Price]]*Table1[[#This Row],[Quantity]]</f>
        <v>660000</v>
      </c>
      <c r="O1666" s="3">
        <f>Table1[[#This Row],[Cost Price]]*Table1[[#This Row],[Quantity]]</f>
        <v>528000</v>
      </c>
      <c r="P1666" s="3">
        <f>Table1[[#This Row],[Revenue]]-Table1[[#This Row],[COGS]]</f>
        <v>132000</v>
      </c>
      <c r="Q1666" s="1">
        <v>1665</v>
      </c>
    </row>
    <row r="1667" spans="1:17">
      <c r="A1667" t="s">
        <v>63</v>
      </c>
      <c r="B1667" t="str">
        <f>TEXT(Table1[[#This Row],[Date]],"MMMM")</f>
        <v>January</v>
      </c>
      <c r="C1667" t="str">
        <f>TEXT(Table1[[#This Row],[Date]],"DDDD")</f>
        <v>Monday</v>
      </c>
      <c r="D1667" t="s">
        <v>44</v>
      </c>
      <c r="E1667" t="s">
        <v>45</v>
      </c>
      <c r="F1667" t="s">
        <v>29</v>
      </c>
      <c r="G1667" t="s">
        <v>30</v>
      </c>
      <c r="H1667" t="s">
        <v>54</v>
      </c>
      <c r="I1667" t="s">
        <v>39</v>
      </c>
      <c r="J1667" s="3">
        <v>180000</v>
      </c>
      <c r="K1667">
        <v>7</v>
      </c>
      <c r="L1667" t="s">
        <v>65</v>
      </c>
      <c r="M1667" s="3">
        <v>144000</v>
      </c>
      <c r="N1667" s="3">
        <f>Table1[[#This Row],[Unit Price]]*Table1[[#This Row],[Quantity]]</f>
        <v>1260000</v>
      </c>
      <c r="O1667" s="3">
        <f>Table1[[#This Row],[Cost Price]]*Table1[[#This Row],[Quantity]]</f>
        <v>1008000</v>
      </c>
      <c r="P1667" s="3">
        <f>Table1[[#This Row],[Revenue]]-Table1[[#This Row],[COGS]]</f>
        <v>252000</v>
      </c>
      <c r="Q1667" s="1">
        <v>1666</v>
      </c>
    </row>
    <row r="1668" spans="1:17">
      <c r="A1668" t="s">
        <v>175</v>
      </c>
      <c r="B1668" t="str">
        <f>TEXT(Table1[[#This Row],[Date]],"MMMM")</f>
        <v>January</v>
      </c>
      <c r="C1668" t="str">
        <f>TEXT(Table1[[#This Row],[Date]],"DDDD")</f>
        <v>Wednesday</v>
      </c>
      <c r="D1668" t="s">
        <v>44</v>
      </c>
      <c r="E1668" t="s">
        <v>36</v>
      </c>
      <c r="F1668" t="s">
        <v>41</v>
      </c>
      <c r="G1668" t="s">
        <v>37</v>
      </c>
      <c r="H1668" t="s">
        <v>62</v>
      </c>
      <c r="I1668" t="s">
        <v>51</v>
      </c>
      <c r="J1668" s="3">
        <v>150000</v>
      </c>
      <c r="K1668">
        <v>4</v>
      </c>
      <c r="L1668" t="s">
        <v>58</v>
      </c>
      <c r="M1668" s="3">
        <v>120000</v>
      </c>
      <c r="N1668" s="3">
        <f>Table1[[#This Row],[Unit Price]]*Table1[[#This Row],[Quantity]]</f>
        <v>600000</v>
      </c>
      <c r="O1668" s="3">
        <f>Table1[[#This Row],[Cost Price]]*Table1[[#This Row],[Quantity]]</f>
        <v>480000</v>
      </c>
      <c r="P1668" s="3">
        <f>Table1[[#This Row],[Revenue]]-Table1[[#This Row],[COGS]]</f>
        <v>120000</v>
      </c>
      <c r="Q1668" s="1">
        <v>1667</v>
      </c>
    </row>
    <row r="1669" spans="1:17">
      <c r="A1669" t="s">
        <v>124</v>
      </c>
      <c r="B1669" t="str">
        <f>TEXT(Table1[[#This Row],[Date]],"MMMM")</f>
        <v>February</v>
      </c>
      <c r="C1669" t="str">
        <f>TEXT(Table1[[#This Row],[Date]],"DDDD")</f>
        <v>Monday</v>
      </c>
      <c r="D1669" t="s">
        <v>35</v>
      </c>
      <c r="E1669" t="s">
        <v>45</v>
      </c>
      <c r="F1669" t="s">
        <v>41</v>
      </c>
      <c r="G1669" t="s">
        <v>30</v>
      </c>
      <c r="H1669" t="s">
        <v>62</v>
      </c>
      <c r="I1669" t="s">
        <v>51</v>
      </c>
      <c r="J1669" s="3">
        <v>150000</v>
      </c>
      <c r="K1669">
        <v>10</v>
      </c>
      <c r="L1669" t="s">
        <v>42</v>
      </c>
      <c r="M1669" s="3">
        <v>120000</v>
      </c>
      <c r="N1669" s="3">
        <f>Table1[[#This Row],[Unit Price]]*Table1[[#This Row],[Quantity]]</f>
        <v>1500000</v>
      </c>
      <c r="O1669" s="3">
        <f>Table1[[#This Row],[Cost Price]]*Table1[[#This Row],[Quantity]]</f>
        <v>1200000</v>
      </c>
      <c r="P1669" s="3">
        <f>Table1[[#This Row],[Revenue]]-Table1[[#This Row],[COGS]]</f>
        <v>300000</v>
      </c>
      <c r="Q1669" s="1">
        <v>1668</v>
      </c>
    </row>
    <row r="1670" spans="1:17">
      <c r="A1670" t="s">
        <v>79</v>
      </c>
      <c r="B1670" t="str">
        <f>TEXT(Table1[[#This Row],[Date]],"MMMM")</f>
        <v>February</v>
      </c>
      <c r="C1670" t="str">
        <f>TEXT(Table1[[#This Row],[Date]],"DDDD")</f>
        <v>Wednesday</v>
      </c>
      <c r="D1670" t="s">
        <v>27</v>
      </c>
      <c r="E1670" t="s">
        <v>36</v>
      </c>
      <c r="F1670" t="s">
        <v>29</v>
      </c>
      <c r="G1670" t="s">
        <v>30</v>
      </c>
      <c r="H1670" t="s">
        <v>62</v>
      </c>
      <c r="I1670" t="s">
        <v>51</v>
      </c>
      <c r="J1670" s="3">
        <v>150000</v>
      </c>
      <c r="K1670">
        <v>1</v>
      </c>
      <c r="L1670" t="s">
        <v>69</v>
      </c>
      <c r="M1670" s="3">
        <v>120000</v>
      </c>
      <c r="N1670" s="3">
        <f>Table1[[#This Row],[Unit Price]]*Table1[[#This Row],[Quantity]]</f>
        <v>150000</v>
      </c>
      <c r="O1670" s="3">
        <f>Table1[[#This Row],[Cost Price]]*Table1[[#This Row],[Quantity]]</f>
        <v>120000</v>
      </c>
      <c r="P1670" s="3">
        <f>Table1[[#This Row],[Revenue]]-Table1[[#This Row],[COGS]]</f>
        <v>30000</v>
      </c>
      <c r="Q1670" s="1">
        <v>1669</v>
      </c>
    </row>
    <row r="1671" spans="1:17">
      <c r="A1671" t="s">
        <v>124</v>
      </c>
      <c r="B1671" t="str">
        <f>TEXT(Table1[[#This Row],[Date]],"MMMM")</f>
        <v>February</v>
      </c>
      <c r="C1671" t="str">
        <f>TEXT(Table1[[#This Row],[Date]],"DDDD")</f>
        <v>Monday</v>
      </c>
      <c r="D1671" t="s">
        <v>49</v>
      </c>
      <c r="E1671" t="s">
        <v>45</v>
      </c>
      <c r="F1671" t="s">
        <v>41</v>
      </c>
      <c r="G1671" t="s">
        <v>37</v>
      </c>
      <c r="H1671" t="s">
        <v>62</v>
      </c>
      <c r="I1671" t="s">
        <v>51</v>
      </c>
      <c r="J1671" s="3">
        <v>150000</v>
      </c>
      <c r="K1671">
        <v>4</v>
      </c>
      <c r="L1671" t="s">
        <v>42</v>
      </c>
      <c r="M1671" s="3">
        <v>120000</v>
      </c>
      <c r="N1671" s="3">
        <f>Table1[[#This Row],[Unit Price]]*Table1[[#This Row],[Quantity]]</f>
        <v>600000</v>
      </c>
      <c r="O1671" s="3">
        <f>Table1[[#This Row],[Cost Price]]*Table1[[#This Row],[Quantity]]</f>
        <v>480000</v>
      </c>
      <c r="P1671" s="3">
        <f>Table1[[#This Row],[Revenue]]-Table1[[#This Row],[COGS]]</f>
        <v>120000</v>
      </c>
      <c r="Q1671" s="1">
        <v>1670</v>
      </c>
    </row>
    <row r="1672" spans="1:17">
      <c r="A1672" t="s">
        <v>60</v>
      </c>
      <c r="B1672" t="str">
        <f>TEXT(Table1[[#This Row],[Date]],"MMMM")</f>
        <v>March</v>
      </c>
      <c r="C1672" t="str">
        <f>TEXT(Table1[[#This Row],[Date]],"DDDD")</f>
        <v>Wednesday</v>
      </c>
      <c r="D1672" t="s">
        <v>27</v>
      </c>
      <c r="E1672" t="s">
        <v>45</v>
      </c>
      <c r="F1672" t="s">
        <v>41</v>
      </c>
      <c r="G1672" t="s">
        <v>30</v>
      </c>
      <c r="H1672" t="s">
        <v>46</v>
      </c>
      <c r="I1672" t="s">
        <v>39</v>
      </c>
      <c r="J1672" s="3">
        <v>60000</v>
      </c>
      <c r="K1672">
        <v>5</v>
      </c>
      <c r="L1672" t="s">
        <v>65</v>
      </c>
      <c r="M1672" s="3">
        <v>48000</v>
      </c>
      <c r="N1672" s="3">
        <f>Table1[[#This Row],[Unit Price]]*Table1[[#This Row],[Quantity]]</f>
        <v>300000</v>
      </c>
      <c r="O1672" s="3">
        <f>Table1[[#This Row],[Cost Price]]*Table1[[#This Row],[Quantity]]</f>
        <v>240000</v>
      </c>
      <c r="P1672" s="3">
        <f>Table1[[#This Row],[Revenue]]-Table1[[#This Row],[COGS]]</f>
        <v>60000</v>
      </c>
      <c r="Q1672" s="1">
        <v>1671</v>
      </c>
    </row>
    <row r="1673" spans="1:17">
      <c r="A1673" t="s">
        <v>169</v>
      </c>
      <c r="B1673" t="str">
        <f>TEXT(Table1[[#This Row],[Date]],"MMMM")</f>
        <v>February</v>
      </c>
      <c r="C1673" t="str">
        <f>TEXT(Table1[[#This Row],[Date]],"DDDD")</f>
        <v>Saturday</v>
      </c>
      <c r="D1673" t="s">
        <v>44</v>
      </c>
      <c r="E1673" t="s">
        <v>53</v>
      </c>
      <c r="F1673" t="s">
        <v>29</v>
      </c>
      <c r="G1673" t="s">
        <v>37</v>
      </c>
      <c r="H1673" t="s">
        <v>73</v>
      </c>
      <c r="I1673" t="s">
        <v>39</v>
      </c>
      <c r="J1673" s="3">
        <v>220000</v>
      </c>
      <c r="K1673">
        <v>7</v>
      </c>
      <c r="L1673" t="s">
        <v>33</v>
      </c>
      <c r="M1673" s="3">
        <v>176000</v>
      </c>
      <c r="N1673" s="3">
        <f>Table1[[#This Row],[Unit Price]]*Table1[[#This Row],[Quantity]]</f>
        <v>1540000</v>
      </c>
      <c r="O1673" s="3">
        <f>Table1[[#This Row],[Cost Price]]*Table1[[#This Row],[Quantity]]</f>
        <v>1232000</v>
      </c>
      <c r="P1673" s="3">
        <f>Table1[[#This Row],[Revenue]]-Table1[[#This Row],[COGS]]</f>
        <v>308000</v>
      </c>
      <c r="Q1673" s="1">
        <v>1672</v>
      </c>
    </row>
    <row r="1674" spans="1:17">
      <c r="A1674" t="s">
        <v>160</v>
      </c>
      <c r="B1674" t="str">
        <f>TEXT(Table1[[#This Row],[Date]],"MMMM")</f>
        <v>January</v>
      </c>
      <c r="C1674" t="str">
        <f>TEXT(Table1[[#This Row],[Date]],"DDDD")</f>
        <v>Saturday</v>
      </c>
      <c r="D1674" t="s">
        <v>49</v>
      </c>
      <c r="E1674" t="s">
        <v>36</v>
      </c>
      <c r="F1674" t="s">
        <v>29</v>
      </c>
      <c r="G1674" t="s">
        <v>37</v>
      </c>
      <c r="H1674" t="s">
        <v>62</v>
      </c>
      <c r="I1674" t="s">
        <v>51</v>
      </c>
      <c r="J1674" s="3">
        <v>150000</v>
      </c>
      <c r="K1674">
        <v>4</v>
      </c>
      <c r="L1674" t="s">
        <v>69</v>
      </c>
      <c r="M1674" s="3">
        <v>120000</v>
      </c>
      <c r="N1674" s="3">
        <f>Table1[[#This Row],[Unit Price]]*Table1[[#This Row],[Quantity]]</f>
        <v>600000</v>
      </c>
      <c r="O1674" s="3">
        <f>Table1[[#This Row],[Cost Price]]*Table1[[#This Row],[Quantity]]</f>
        <v>480000</v>
      </c>
      <c r="P1674" s="3">
        <f>Table1[[#This Row],[Revenue]]-Table1[[#This Row],[COGS]]</f>
        <v>120000</v>
      </c>
      <c r="Q1674" s="1">
        <v>1673</v>
      </c>
    </row>
    <row r="1675" spans="1:17">
      <c r="A1675" t="s">
        <v>116</v>
      </c>
      <c r="B1675" t="str">
        <f>TEXT(Table1[[#This Row],[Date]],"MMMM")</f>
        <v>April</v>
      </c>
      <c r="C1675" t="str">
        <f>TEXT(Table1[[#This Row],[Date]],"DDDD")</f>
        <v>Saturday</v>
      </c>
      <c r="D1675" t="s">
        <v>35</v>
      </c>
      <c r="E1675" t="s">
        <v>45</v>
      </c>
      <c r="F1675" t="s">
        <v>41</v>
      </c>
      <c r="G1675" t="s">
        <v>30</v>
      </c>
      <c r="H1675" t="s">
        <v>56</v>
      </c>
      <c r="I1675" t="s">
        <v>32</v>
      </c>
      <c r="J1675" s="3">
        <v>320000</v>
      </c>
      <c r="K1675">
        <v>6</v>
      </c>
      <c r="L1675" t="s">
        <v>33</v>
      </c>
      <c r="M1675" s="3">
        <v>256000</v>
      </c>
      <c r="N1675" s="3">
        <f>Table1[[#This Row],[Unit Price]]*Table1[[#This Row],[Quantity]]</f>
        <v>1920000</v>
      </c>
      <c r="O1675" s="3">
        <f>Table1[[#This Row],[Cost Price]]*Table1[[#This Row],[Quantity]]</f>
        <v>1536000</v>
      </c>
      <c r="P1675" s="3">
        <f>Table1[[#This Row],[Revenue]]-Table1[[#This Row],[COGS]]</f>
        <v>384000</v>
      </c>
      <c r="Q1675" s="1">
        <v>1674</v>
      </c>
    </row>
    <row r="1676" spans="1:17">
      <c r="A1676" t="s">
        <v>96</v>
      </c>
      <c r="B1676" t="str">
        <f>TEXT(Table1[[#This Row],[Date]],"MMMM")</f>
        <v>March</v>
      </c>
      <c r="C1676" t="str">
        <f>TEXT(Table1[[#This Row],[Date]],"DDDD")</f>
        <v>Sunday</v>
      </c>
      <c r="D1676" t="s">
        <v>44</v>
      </c>
      <c r="E1676" t="s">
        <v>28</v>
      </c>
      <c r="F1676" t="s">
        <v>29</v>
      </c>
      <c r="G1676" t="s">
        <v>37</v>
      </c>
      <c r="H1676" t="s">
        <v>56</v>
      </c>
      <c r="I1676" t="s">
        <v>32</v>
      </c>
      <c r="J1676" s="3">
        <v>320000</v>
      </c>
      <c r="K1676">
        <v>6</v>
      </c>
      <c r="L1676" t="s">
        <v>65</v>
      </c>
      <c r="M1676" s="3">
        <v>256000</v>
      </c>
      <c r="N1676" s="3">
        <f>Table1[[#This Row],[Unit Price]]*Table1[[#This Row],[Quantity]]</f>
        <v>1920000</v>
      </c>
      <c r="O1676" s="3">
        <f>Table1[[#This Row],[Cost Price]]*Table1[[#This Row],[Quantity]]</f>
        <v>1536000</v>
      </c>
      <c r="P1676" s="3">
        <f>Table1[[#This Row],[Revenue]]-Table1[[#This Row],[COGS]]</f>
        <v>384000</v>
      </c>
      <c r="Q1676" s="1">
        <v>1675</v>
      </c>
    </row>
    <row r="1677" spans="1:17">
      <c r="A1677" t="s">
        <v>40</v>
      </c>
      <c r="B1677" t="str">
        <f>TEXT(Table1[[#This Row],[Date]],"MMMM")</f>
        <v>February</v>
      </c>
      <c r="C1677" t="str">
        <f>TEXT(Table1[[#This Row],[Date]],"DDDD")</f>
        <v>Thursday</v>
      </c>
      <c r="D1677" t="s">
        <v>27</v>
      </c>
      <c r="E1677" t="s">
        <v>28</v>
      </c>
      <c r="F1677" t="s">
        <v>41</v>
      </c>
      <c r="G1677" t="s">
        <v>37</v>
      </c>
      <c r="H1677" t="s">
        <v>46</v>
      </c>
      <c r="I1677" t="s">
        <v>39</v>
      </c>
      <c r="J1677" s="3">
        <v>60000</v>
      </c>
      <c r="K1677">
        <v>4</v>
      </c>
      <c r="L1677" t="s">
        <v>65</v>
      </c>
      <c r="M1677" s="3">
        <v>48000</v>
      </c>
      <c r="N1677" s="3">
        <f>Table1[[#This Row],[Unit Price]]*Table1[[#This Row],[Quantity]]</f>
        <v>240000</v>
      </c>
      <c r="O1677" s="3">
        <f>Table1[[#This Row],[Cost Price]]*Table1[[#This Row],[Quantity]]</f>
        <v>192000</v>
      </c>
      <c r="P1677" s="3">
        <f>Table1[[#This Row],[Revenue]]-Table1[[#This Row],[COGS]]</f>
        <v>48000</v>
      </c>
      <c r="Q1677" s="1">
        <v>1676</v>
      </c>
    </row>
    <row r="1678" spans="1:17">
      <c r="A1678" t="s">
        <v>137</v>
      </c>
      <c r="B1678" t="str">
        <f>TEXT(Table1[[#This Row],[Date]],"MMMM")</f>
        <v>April</v>
      </c>
      <c r="C1678" t="str">
        <f>TEXT(Table1[[#This Row],[Date]],"DDDD")</f>
        <v>Wednesday</v>
      </c>
      <c r="D1678" t="s">
        <v>49</v>
      </c>
      <c r="E1678" t="s">
        <v>36</v>
      </c>
      <c r="F1678" t="s">
        <v>29</v>
      </c>
      <c r="G1678" t="s">
        <v>30</v>
      </c>
      <c r="H1678" t="s">
        <v>31</v>
      </c>
      <c r="I1678" t="s">
        <v>32</v>
      </c>
      <c r="J1678" s="3">
        <v>85000</v>
      </c>
      <c r="K1678">
        <v>8</v>
      </c>
      <c r="L1678" t="s">
        <v>42</v>
      </c>
      <c r="M1678" s="3">
        <v>68000</v>
      </c>
      <c r="N1678" s="3">
        <f>Table1[[#This Row],[Unit Price]]*Table1[[#This Row],[Quantity]]</f>
        <v>680000</v>
      </c>
      <c r="O1678" s="3">
        <f>Table1[[#This Row],[Cost Price]]*Table1[[#This Row],[Quantity]]</f>
        <v>544000</v>
      </c>
      <c r="P1678" s="3">
        <f>Table1[[#This Row],[Revenue]]-Table1[[#This Row],[COGS]]</f>
        <v>136000</v>
      </c>
      <c r="Q1678" s="1">
        <v>1677</v>
      </c>
    </row>
    <row r="1679" spans="1:17">
      <c r="A1679" t="s">
        <v>174</v>
      </c>
      <c r="B1679" t="str">
        <f>TEXT(Table1[[#This Row],[Date]],"MMMM")</f>
        <v>February</v>
      </c>
      <c r="C1679" t="str">
        <f>TEXT(Table1[[#This Row],[Date]],"DDDD")</f>
        <v>Friday</v>
      </c>
      <c r="D1679" t="s">
        <v>44</v>
      </c>
      <c r="E1679" t="s">
        <v>45</v>
      </c>
      <c r="F1679" t="s">
        <v>41</v>
      </c>
      <c r="G1679" t="s">
        <v>30</v>
      </c>
      <c r="H1679" t="s">
        <v>31</v>
      </c>
      <c r="I1679" t="s">
        <v>32</v>
      </c>
      <c r="J1679" s="3">
        <v>85000</v>
      </c>
      <c r="K1679">
        <v>2</v>
      </c>
      <c r="L1679" t="s">
        <v>69</v>
      </c>
      <c r="M1679" s="3">
        <v>68000</v>
      </c>
      <c r="N1679" s="3">
        <f>Table1[[#This Row],[Unit Price]]*Table1[[#This Row],[Quantity]]</f>
        <v>170000</v>
      </c>
      <c r="O1679" s="3">
        <f>Table1[[#This Row],[Cost Price]]*Table1[[#This Row],[Quantity]]</f>
        <v>136000</v>
      </c>
      <c r="P1679" s="3">
        <f>Table1[[#This Row],[Revenue]]-Table1[[#This Row],[COGS]]</f>
        <v>34000</v>
      </c>
      <c r="Q1679" s="1">
        <v>1678</v>
      </c>
    </row>
    <row r="1680" spans="1:17">
      <c r="A1680" t="s">
        <v>80</v>
      </c>
      <c r="B1680" t="str">
        <f>TEXT(Table1[[#This Row],[Date]],"MMMM")</f>
        <v>February</v>
      </c>
      <c r="C1680" t="str">
        <f>TEXT(Table1[[#This Row],[Date]],"DDDD")</f>
        <v>Sunday</v>
      </c>
      <c r="D1680" t="s">
        <v>49</v>
      </c>
      <c r="E1680" t="s">
        <v>45</v>
      </c>
      <c r="F1680" t="s">
        <v>41</v>
      </c>
      <c r="G1680" t="s">
        <v>37</v>
      </c>
      <c r="H1680" t="s">
        <v>31</v>
      </c>
      <c r="I1680" t="s">
        <v>32</v>
      </c>
      <c r="J1680" s="3">
        <v>85000</v>
      </c>
      <c r="K1680">
        <v>9</v>
      </c>
      <c r="L1680" t="s">
        <v>33</v>
      </c>
      <c r="M1680" s="3">
        <v>68000</v>
      </c>
      <c r="N1680" s="3">
        <f>Table1[[#This Row],[Unit Price]]*Table1[[#This Row],[Quantity]]</f>
        <v>765000</v>
      </c>
      <c r="O1680" s="3">
        <f>Table1[[#This Row],[Cost Price]]*Table1[[#This Row],[Quantity]]</f>
        <v>612000</v>
      </c>
      <c r="P1680" s="3">
        <f>Table1[[#This Row],[Revenue]]-Table1[[#This Row],[COGS]]</f>
        <v>153000</v>
      </c>
      <c r="Q1680" s="1">
        <v>1679</v>
      </c>
    </row>
    <row r="1681" spans="1:17">
      <c r="A1681" t="s">
        <v>129</v>
      </c>
      <c r="B1681" t="str">
        <f>TEXT(Table1[[#This Row],[Date]],"MMMM")</f>
        <v>March</v>
      </c>
      <c r="C1681" t="str">
        <f>TEXT(Table1[[#This Row],[Date]],"DDDD")</f>
        <v>Tuesday</v>
      </c>
      <c r="D1681" t="s">
        <v>44</v>
      </c>
      <c r="E1681" t="s">
        <v>45</v>
      </c>
      <c r="F1681" t="s">
        <v>29</v>
      </c>
      <c r="G1681" t="s">
        <v>37</v>
      </c>
      <c r="H1681" t="s">
        <v>67</v>
      </c>
      <c r="I1681" t="s">
        <v>51</v>
      </c>
      <c r="J1681" s="3">
        <v>420000</v>
      </c>
      <c r="K1681">
        <v>3</v>
      </c>
      <c r="L1681" t="s">
        <v>58</v>
      </c>
      <c r="M1681" s="3">
        <v>336000</v>
      </c>
      <c r="N1681" s="3">
        <f>Table1[[#This Row],[Unit Price]]*Table1[[#This Row],[Quantity]]</f>
        <v>1260000</v>
      </c>
      <c r="O1681" s="3">
        <f>Table1[[#This Row],[Cost Price]]*Table1[[#This Row],[Quantity]]</f>
        <v>1008000</v>
      </c>
      <c r="P1681" s="3">
        <f>Table1[[#This Row],[Revenue]]-Table1[[#This Row],[COGS]]</f>
        <v>252000</v>
      </c>
      <c r="Q1681" s="1">
        <v>1680</v>
      </c>
    </row>
    <row r="1682" spans="1:17">
      <c r="A1682" t="s">
        <v>141</v>
      </c>
      <c r="B1682" t="str">
        <f>TEXT(Table1[[#This Row],[Date]],"MMMM")</f>
        <v>March</v>
      </c>
      <c r="C1682" t="str">
        <f>TEXT(Table1[[#This Row],[Date]],"DDDD")</f>
        <v>Sunday</v>
      </c>
      <c r="D1682" t="s">
        <v>49</v>
      </c>
      <c r="E1682" t="s">
        <v>36</v>
      </c>
      <c r="F1682" t="s">
        <v>29</v>
      </c>
      <c r="G1682" t="s">
        <v>30</v>
      </c>
      <c r="H1682" t="s">
        <v>50</v>
      </c>
      <c r="I1682" t="s">
        <v>51</v>
      </c>
      <c r="J1682" s="3">
        <v>300000</v>
      </c>
      <c r="K1682">
        <v>5</v>
      </c>
      <c r="L1682" t="s">
        <v>58</v>
      </c>
      <c r="M1682" s="3">
        <v>240000</v>
      </c>
      <c r="N1682" s="3">
        <f>Table1[[#This Row],[Unit Price]]*Table1[[#This Row],[Quantity]]</f>
        <v>1500000</v>
      </c>
      <c r="O1682" s="3">
        <f>Table1[[#This Row],[Cost Price]]*Table1[[#This Row],[Quantity]]</f>
        <v>1200000</v>
      </c>
      <c r="P1682" s="3">
        <f>Table1[[#This Row],[Revenue]]-Table1[[#This Row],[COGS]]</f>
        <v>300000</v>
      </c>
      <c r="Q1682" s="1">
        <v>1681</v>
      </c>
    </row>
    <row r="1683" spans="1:17">
      <c r="A1683" t="s">
        <v>102</v>
      </c>
      <c r="B1683" t="str">
        <f>TEXT(Table1[[#This Row],[Date]],"MMMM")</f>
        <v>March</v>
      </c>
      <c r="C1683" t="str">
        <f>TEXT(Table1[[#This Row],[Date]],"DDDD")</f>
        <v>Wednesday</v>
      </c>
      <c r="D1683" t="s">
        <v>35</v>
      </c>
      <c r="E1683" t="s">
        <v>45</v>
      </c>
      <c r="F1683" t="s">
        <v>41</v>
      </c>
      <c r="G1683" t="s">
        <v>37</v>
      </c>
      <c r="H1683" t="s">
        <v>38</v>
      </c>
      <c r="I1683" t="s">
        <v>39</v>
      </c>
      <c r="J1683" s="3">
        <v>30000</v>
      </c>
      <c r="K1683">
        <v>1</v>
      </c>
      <c r="L1683" t="s">
        <v>33</v>
      </c>
      <c r="M1683" s="3">
        <v>24000</v>
      </c>
      <c r="N1683" s="3">
        <f>Table1[[#This Row],[Unit Price]]*Table1[[#This Row],[Quantity]]</f>
        <v>30000</v>
      </c>
      <c r="O1683" s="3">
        <f>Table1[[#This Row],[Cost Price]]*Table1[[#This Row],[Quantity]]</f>
        <v>24000</v>
      </c>
      <c r="P1683" s="3">
        <f>Table1[[#This Row],[Revenue]]-Table1[[#This Row],[COGS]]</f>
        <v>6000</v>
      </c>
      <c r="Q1683" s="1">
        <v>1682</v>
      </c>
    </row>
    <row r="1684" spans="1:17">
      <c r="A1684" t="s">
        <v>139</v>
      </c>
      <c r="B1684" t="str">
        <f>TEXT(Table1[[#This Row],[Date]],"MMMM")</f>
        <v>January</v>
      </c>
      <c r="C1684" t="str">
        <f>TEXT(Table1[[#This Row],[Date]],"DDDD")</f>
        <v>Monday</v>
      </c>
      <c r="D1684" t="s">
        <v>27</v>
      </c>
      <c r="E1684" t="s">
        <v>53</v>
      </c>
      <c r="F1684" t="s">
        <v>41</v>
      </c>
      <c r="G1684" t="s">
        <v>37</v>
      </c>
      <c r="H1684" t="s">
        <v>73</v>
      </c>
      <c r="I1684" t="s">
        <v>39</v>
      </c>
      <c r="J1684" s="3">
        <v>220000</v>
      </c>
      <c r="K1684">
        <v>8</v>
      </c>
      <c r="L1684" t="s">
        <v>65</v>
      </c>
      <c r="M1684" s="3">
        <v>176000</v>
      </c>
      <c r="N1684" s="3">
        <f>Table1[[#This Row],[Unit Price]]*Table1[[#This Row],[Quantity]]</f>
        <v>1760000</v>
      </c>
      <c r="O1684" s="3">
        <f>Table1[[#This Row],[Cost Price]]*Table1[[#This Row],[Quantity]]</f>
        <v>1408000</v>
      </c>
      <c r="P1684" s="3">
        <f>Table1[[#This Row],[Revenue]]-Table1[[#This Row],[COGS]]</f>
        <v>352000</v>
      </c>
      <c r="Q1684" s="1">
        <v>1683</v>
      </c>
    </row>
    <row r="1685" spans="1:17">
      <c r="A1685" t="s">
        <v>52</v>
      </c>
      <c r="B1685" t="str">
        <f>TEXT(Table1[[#This Row],[Date]],"MMMM")</f>
        <v>March</v>
      </c>
      <c r="C1685" t="str">
        <f>TEXT(Table1[[#This Row],[Date]],"DDDD")</f>
        <v>Saturday</v>
      </c>
      <c r="D1685" t="s">
        <v>49</v>
      </c>
      <c r="E1685" t="s">
        <v>28</v>
      </c>
      <c r="F1685" t="s">
        <v>41</v>
      </c>
      <c r="G1685" t="s">
        <v>30</v>
      </c>
      <c r="H1685" t="s">
        <v>56</v>
      </c>
      <c r="I1685" t="s">
        <v>32</v>
      </c>
      <c r="J1685" s="3">
        <v>320000</v>
      </c>
      <c r="K1685">
        <v>5</v>
      </c>
      <c r="L1685" t="s">
        <v>33</v>
      </c>
      <c r="M1685" s="3">
        <v>256000</v>
      </c>
      <c r="N1685" s="3">
        <f>Table1[[#This Row],[Unit Price]]*Table1[[#This Row],[Quantity]]</f>
        <v>1600000</v>
      </c>
      <c r="O1685" s="3">
        <f>Table1[[#This Row],[Cost Price]]*Table1[[#This Row],[Quantity]]</f>
        <v>1280000</v>
      </c>
      <c r="P1685" s="3">
        <f>Table1[[#This Row],[Revenue]]-Table1[[#This Row],[COGS]]</f>
        <v>320000</v>
      </c>
      <c r="Q1685" s="1">
        <v>1684</v>
      </c>
    </row>
    <row r="1686" spans="1:17">
      <c r="A1686" t="s">
        <v>104</v>
      </c>
      <c r="B1686" t="str">
        <f>TEXT(Table1[[#This Row],[Date]],"MMMM")</f>
        <v>March</v>
      </c>
      <c r="C1686" t="str">
        <f>TEXT(Table1[[#This Row],[Date]],"DDDD")</f>
        <v>Friday</v>
      </c>
      <c r="D1686" t="s">
        <v>35</v>
      </c>
      <c r="E1686" t="s">
        <v>36</v>
      </c>
      <c r="F1686" t="s">
        <v>41</v>
      </c>
      <c r="G1686" t="s">
        <v>30</v>
      </c>
      <c r="H1686" t="s">
        <v>50</v>
      </c>
      <c r="I1686" t="s">
        <v>51</v>
      </c>
      <c r="J1686" s="3">
        <v>300000</v>
      </c>
      <c r="K1686">
        <v>10</v>
      </c>
      <c r="L1686" t="s">
        <v>58</v>
      </c>
      <c r="M1686" s="3">
        <v>240000</v>
      </c>
      <c r="N1686" s="3">
        <f>Table1[[#This Row],[Unit Price]]*Table1[[#This Row],[Quantity]]</f>
        <v>3000000</v>
      </c>
      <c r="O1686" s="3">
        <f>Table1[[#This Row],[Cost Price]]*Table1[[#This Row],[Quantity]]</f>
        <v>2400000</v>
      </c>
      <c r="P1686" s="3">
        <f>Table1[[#This Row],[Revenue]]-Table1[[#This Row],[COGS]]</f>
        <v>600000</v>
      </c>
      <c r="Q1686" s="1">
        <v>1685</v>
      </c>
    </row>
    <row r="1687" spans="1:17">
      <c r="A1687" t="s">
        <v>81</v>
      </c>
      <c r="B1687" t="str">
        <f>TEXT(Table1[[#This Row],[Date]],"MMMM")</f>
        <v>March</v>
      </c>
      <c r="C1687" t="str">
        <f>TEXT(Table1[[#This Row],[Date]],"DDDD")</f>
        <v>Sunday</v>
      </c>
      <c r="D1687" t="s">
        <v>49</v>
      </c>
      <c r="E1687" t="s">
        <v>28</v>
      </c>
      <c r="F1687" t="s">
        <v>29</v>
      </c>
      <c r="G1687" t="s">
        <v>37</v>
      </c>
      <c r="H1687" t="s">
        <v>73</v>
      </c>
      <c r="I1687" t="s">
        <v>39</v>
      </c>
      <c r="J1687" s="3">
        <v>220000</v>
      </c>
      <c r="K1687">
        <v>1</v>
      </c>
      <c r="L1687" t="s">
        <v>33</v>
      </c>
      <c r="M1687" s="3">
        <v>176000</v>
      </c>
      <c r="N1687" s="3">
        <f>Table1[[#This Row],[Unit Price]]*Table1[[#This Row],[Quantity]]</f>
        <v>220000</v>
      </c>
      <c r="O1687" s="3">
        <f>Table1[[#This Row],[Cost Price]]*Table1[[#This Row],[Quantity]]</f>
        <v>176000</v>
      </c>
      <c r="P1687" s="3">
        <f>Table1[[#This Row],[Revenue]]-Table1[[#This Row],[COGS]]</f>
        <v>44000</v>
      </c>
      <c r="Q1687" s="1">
        <v>1686</v>
      </c>
    </row>
    <row r="1688" spans="1:17">
      <c r="A1688" t="s">
        <v>170</v>
      </c>
      <c r="B1688" t="str">
        <f>TEXT(Table1[[#This Row],[Date]],"MMMM")</f>
        <v>January</v>
      </c>
      <c r="C1688" t="str">
        <f>TEXT(Table1[[#This Row],[Date]],"DDDD")</f>
        <v>Sunday</v>
      </c>
      <c r="D1688" t="s">
        <v>44</v>
      </c>
      <c r="E1688" t="s">
        <v>45</v>
      </c>
      <c r="F1688" t="s">
        <v>41</v>
      </c>
      <c r="G1688" t="s">
        <v>30</v>
      </c>
      <c r="H1688" t="s">
        <v>38</v>
      </c>
      <c r="I1688" t="s">
        <v>39</v>
      </c>
      <c r="J1688" s="3">
        <v>30000</v>
      </c>
      <c r="K1688">
        <v>6</v>
      </c>
      <c r="L1688" t="s">
        <v>42</v>
      </c>
      <c r="M1688" s="3">
        <v>24000</v>
      </c>
      <c r="N1688" s="3">
        <f>Table1[[#This Row],[Unit Price]]*Table1[[#This Row],[Quantity]]</f>
        <v>180000</v>
      </c>
      <c r="O1688" s="3">
        <f>Table1[[#This Row],[Cost Price]]*Table1[[#This Row],[Quantity]]</f>
        <v>144000</v>
      </c>
      <c r="P1688" s="3">
        <f>Table1[[#This Row],[Revenue]]-Table1[[#This Row],[COGS]]</f>
        <v>36000</v>
      </c>
      <c r="Q1688" s="1">
        <v>1687</v>
      </c>
    </row>
    <row r="1689" spans="1:17">
      <c r="A1689" t="s">
        <v>112</v>
      </c>
      <c r="B1689" t="str">
        <f>TEXT(Table1[[#This Row],[Date]],"MMMM")</f>
        <v>February</v>
      </c>
      <c r="C1689" t="str">
        <f>TEXT(Table1[[#This Row],[Date]],"DDDD")</f>
        <v>Monday</v>
      </c>
      <c r="D1689" t="s">
        <v>49</v>
      </c>
      <c r="E1689" t="s">
        <v>36</v>
      </c>
      <c r="F1689" t="s">
        <v>29</v>
      </c>
      <c r="G1689" t="s">
        <v>30</v>
      </c>
      <c r="H1689" t="s">
        <v>67</v>
      </c>
      <c r="I1689" t="s">
        <v>51</v>
      </c>
      <c r="J1689" s="3">
        <v>420000</v>
      </c>
      <c r="K1689">
        <v>1</v>
      </c>
      <c r="L1689" t="s">
        <v>69</v>
      </c>
      <c r="M1689" s="3">
        <v>336000</v>
      </c>
      <c r="N1689" s="3">
        <f>Table1[[#This Row],[Unit Price]]*Table1[[#This Row],[Quantity]]</f>
        <v>420000</v>
      </c>
      <c r="O1689" s="3">
        <f>Table1[[#This Row],[Cost Price]]*Table1[[#This Row],[Quantity]]</f>
        <v>336000</v>
      </c>
      <c r="P1689" s="3">
        <f>Table1[[#This Row],[Revenue]]-Table1[[#This Row],[COGS]]</f>
        <v>84000</v>
      </c>
      <c r="Q1689" s="1">
        <v>1688</v>
      </c>
    </row>
    <row r="1690" spans="1:17">
      <c r="A1690" t="s">
        <v>175</v>
      </c>
      <c r="B1690" t="str">
        <f>TEXT(Table1[[#This Row],[Date]],"MMMM")</f>
        <v>January</v>
      </c>
      <c r="C1690" t="str">
        <f>TEXT(Table1[[#This Row],[Date]],"DDDD")</f>
        <v>Wednesday</v>
      </c>
      <c r="D1690" t="s">
        <v>44</v>
      </c>
      <c r="E1690" t="s">
        <v>53</v>
      </c>
      <c r="F1690" t="s">
        <v>41</v>
      </c>
      <c r="G1690" t="s">
        <v>37</v>
      </c>
      <c r="H1690" t="s">
        <v>67</v>
      </c>
      <c r="I1690" t="s">
        <v>51</v>
      </c>
      <c r="J1690" s="3">
        <v>420000</v>
      </c>
      <c r="K1690">
        <v>6</v>
      </c>
      <c r="L1690" t="s">
        <v>65</v>
      </c>
      <c r="M1690" s="3">
        <v>336000</v>
      </c>
      <c r="N1690" s="3">
        <f>Table1[[#This Row],[Unit Price]]*Table1[[#This Row],[Quantity]]</f>
        <v>2520000</v>
      </c>
      <c r="O1690" s="3">
        <f>Table1[[#This Row],[Cost Price]]*Table1[[#This Row],[Quantity]]</f>
        <v>2016000</v>
      </c>
      <c r="P1690" s="3">
        <f>Table1[[#This Row],[Revenue]]-Table1[[#This Row],[COGS]]</f>
        <v>504000</v>
      </c>
      <c r="Q1690" s="1">
        <v>1689</v>
      </c>
    </row>
    <row r="1691" spans="1:17">
      <c r="A1691" t="s">
        <v>153</v>
      </c>
      <c r="B1691" t="str">
        <f>TEXT(Table1[[#This Row],[Date]],"MMMM")</f>
        <v>March</v>
      </c>
      <c r="C1691" t="str">
        <f>TEXT(Table1[[#This Row],[Date]],"DDDD")</f>
        <v>Tuesday</v>
      </c>
      <c r="D1691" t="s">
        <v>44</v>
      </c>
      <c r="E1691" t="s">
        <v>53</v>
      </c>
      <c r="F1691" t="s">
        <v>29</v>
      </c>
      <c r="G1691" t="s">
        <v>37</v>
      </c>
      <c r="H1691" t="s">
        <v>31</v>
      </c>
      <c r="I1691" t="s">
        <v>32</v>
      </c>
      <c r="J1691" s="3">
        <v>85000</v>
      </c>
      <c r="K1691">
        <v>7</v>
      </c>
      <c r="L1691" t="s">
        <v>58</v>
      </c>
      <c r="M1691" s="3">
        <v>68000</v>
      </c>
      <c r="N1691" s="3">
        <f>Table1[[#This Row],[Unit Price]]*Table1[[#This Row],[Quantity]]</f>
        <v>595000</v>
      </c>
      <c r="O1691" s="3">
        <f>Table1[[#This Row],[Cost Price]]*Table1[[#This Row],[Quantity]]</f>
        <v>476000</v>
      </c>
      <c r="P1691" s="3">
        <f>Table1[[#This Row],[Revenue]]-Table1[[#This Row],[COGS]]</f>
        <v>119000</v>
      </c>
      <c r="Q1691" s="1">
        <v>1690</v>
      </c>
    </row>
    <row r="1692" spans="1:17">
      <c r="A1692" t="s">
        <v>94</v>
      </c>
      <c r="B1692" t="str">
        <f>TEXT(Table1[[#This Row],[Date]],"MMMM")</f>
        <v>January</v>
      </c>
      <c r="C1692" t="str">
        <f>TEXT(Table1[[#This Row],[Date]],"DDDD")</f>
        <v>Friday</v>
      </c>
      <c r="D1692" t="s">
        <v>44</v>
      </c>
      <c r="E1692" t="s">
        <v>36</v>
      </c>
      <c r="F1692" t="s">
        <v>41</v>
      </c>
      <c r="G1692" t="s">
        <v>37</v>
      </c>
      <c r="H1692" t="s">
        <v>62</v>
      </c>
      <c r="I1692" t="s">
        <v>51</v>
      </c>
      <c r="J1692" s="3">
        <v>150000</v>
      </c>
      <c r="K1692">
        <v>7</v>
      </c>
      <c r="L1692" t="s">
        <v>69</v>
      </c>
      <c r="M1692" s="3">
        <v>120000</v>
      </c>
      <c r="N1692" s="3">
        <f>Table1[[#This Row],[Unit Price]]*Table1[[#This Row],[Quantity]]</f>
        <v>1050000</v>
      </c>
      <c r="O1692" s="3">
        <f>Table1[[#This Row],[Cost Price]]*Table1[[#This Row],[Quantity]]</f>
        <v>840000</v>
      </c>
      <c r="P1692" s="3">
        <f>Table1[[#This Row],[Revenue]]-Table1[[#This Row],[COGS]]</f>
        <v>210000</v>
      </c>
      <c r="Q1692" s="1">
        <v>1691</v>
      </c>
    </row>
    <row r="1693" spans="1:17">
      <c r="A1693" t="s">
        <v>160</v>
      </c>
      <c r="B1693" t="str">
        <f>TEXT(Table1[[#This Row],[Date]],"MMMM")</f>
        <v>January</v>
      </c>
      <c r="C1693" t="str">
        <f>TEXT(Table1[[#This Row],[Date]],"DDDD")</f>
        <v>Saturday</v>
      </c>
      <c r="D1693" t="s">
        <v>27</v>
      </c>
      <c r="E1693" t="s">
        <v>36</v>
      </c>
      <c r="F1693" t="s">
        <v>29</v>
      </c>
      <c r="G1693" t="s">
        <v>37</v>
      </c>
      <c r="H1693" t="s">
        <v>62</v>
      </c>
      <c r="I1693" t="s">
        <v>51</v>
      </c>
      <c r="J1693" s="3">
        <v>150000</v>
      </c>
      <c r="K1693">
        <v>10</v>
      </c>
      <c r="L1693" t="s">
        <v>33</v>
      </c>
      <c r="M1693" s="3">
        <v>120000</v>
      </c>
      <c r="N1693" s="3">
        <f>Table1[[#This Row],[Unit Price]]*Table1[[#This Row],[Quantity]]</f>
        <v>1500000</v>
      </c>
      <c r="O1693" s="3">
        <f>Table1[[#This Row],[Cost Price]]*Table1[[#This Row],[Quantity]]</f>
        <v>1200000</v>
      </c>
      <c r="P1693" s="3">
        <f>Table1[[#This Row],[Revenue]]-Table1[[#This Row],[COGS]]</f>
        <v>300000</v>
      </c>
      <c r="Q1693" s="1">
        <v>1692</v>
      </c>
    </row>
    <row r="1694" spans="1:17">
      <c r="A1694" t="s">
        <v>104</v>
      </c>
      <c r="B1694" t="str">
        <f>TEXT(Table1[[#This Row],[Date]],"MMMM")</f>
        <v>March</v>
      </c>
      <c r="C1694" t="str">
        <f>TEXT(Table1[[#This Row],[Date]],"DDDD")</f>
        <v>Friday</v>
      </c>
      <c r="D1694" t="s">
        <v>35</v>
      </c>
      <c r="E1694" t="s">
        <v>28</v>
      </c>
      <c r="F1694" t="s">
        <v>29</v>
      </c>
      <c r="G1694" t="s">
        <v>37</v>
      </c>
      <c r="H1694" t="s">
        <v>38</v>
      </c>
      <c r="I1694" t="s">
        <v>39</v>
      </c>
      <c r="J1694" s="3">
        <v>30000</v>
      </c>
      <c r="K1694">
        <v>9</v>
      </c>
      <c r="L1694" t="s">
        <v>33</v>
      </c>
      <c r="M1694" s="3">
        <v>24000</v>
      </c>
      <c r="N1694" s="3">
        <f>Table1[[#This Row],[Unit Price]]*Table1[[#This Row],[Quantity]]</f>
        <v>270000</v>
      </c>
      <c r="O1694" s="3">
        <f>Table1[[#This Row],[Cost Price]]*Table1[[#This Row],[Quantity]]</f>
        <v>216000</v>
      </c>
      <c r="P1694" s="3">
        <f>Table1[[#This Row],[Revenue]]-Table1[[#This Row],[COGS]]</f>
        <v>54000</v>
      </c>
      <c r="Q1694" s="1">
        <v>1693</v>
      </c>
    </row>
    <row r="1695" spans="1:17">
      <c r="A1695" t="s">
        <v>157</v>
      </c>
      <c r="B1695" t="str">
        <f>TEXT(Table1[[#This Row],[Date]],"MMMM")</f>
        <v>April</v>
      </c>
      <c r="C1695" t="str">
        <f>TEXT(Table1[[#This Row],[Date]],"DDDD")</f>
        <v>Tuesday</v>
      </c>
      <c r="D1695" t="s">
        <v>44</v>
      </c>
      <c r="E1695" t="s">
        <v>45</v>
      </c>
      <c r="F1695" t="s">
        <v>41</v>
      </c>
      <c r="G1695" t="s">
        <v>30</v>
      </c>
      <c r="H1695" t="s">
        <v>56</v>
      </c>
      <c r="I1695" t="s">
        <v>32</v>
      </c>
      <c r="J1695" s="3">
        <v>320000</v>
      </c>
      <c r="K1695">
        <v>8</v>
      </c>
      <c r="L1695" t="s">
        <v>65</v>
      </c>
      <c r="M1695" s="3">
        <v>256000</v>
      </c>
      <c r="N1695" s="3">
        <f>Table1[[#This Row],[Unit Price]]*Table1[[#This Row],[Quantity]]</f>
        <v>2560000</v>
      </c>
      <c r="O1695" s="3">
        <f>Table1[[#This Row],[Cost Price]]*Table1[[#This Row],[Quantity]]</f>
        <v>2048000</v>
      </c>
      <c r="P1695" s="3">
        <f>Table1[[#This Row],[Revenue]]-Table1[[#This Row],[COGS]]</f>
        <v>512000</v>
      </c>
      <c r="Q1695" s="1">
        <v>1694</v>
      </c>
    </row>
    <row r="1696" spans="1:17">
      <c r="A1696" t="s">
        <v>75</v>
      </c>
      <c r="B1696" t="str">
        <f>TEXT(Table1[[#This Row],[Date]],"MMMM")</f>
        <v>March</v>
      </c>
      <c r="C1696" t="str">
        <f>TEXT(Table1[[#This Row],[Date]],"DDDD")</f>
        <v>Monday</v>
      </c>
      <c r="D1696" t="s">
        <v>35</v>
      </c>
      <c r="E1696" t="s">
        <v>53</v>
      </c>
      <c r="F1696" t="s">
        <v>29</v>
      </c>
      <c r="G1696" t="s">
        <v>37</v>
      </c>
      <c r="H1696" t="s">
        <v>38</v>
      </c>
      <c r="I1696" t="s">
        <v>39</v>
      </c>
      <c r="J1696" s="3">
        <v>30000</v>
      </c>
      <c r="K1696">
        <v>9</v>
      </c>
      <c r="L1696" t="s">
        <v>47</v>
      </c>
      <c r="M1696" s="3">
        <v>24000</v>
      </c>
      <c r="N1696" s="3">
        <f>Table1[[#This Row],[Unit Price]]*Table1[[#This Row],[Quantity]]</f>
        <v>270000</v>
      </c>
      <c r="O1696" s="3">
        <f>Table1[[#This Row],[Cost Price]]*Table1[[#This Row],[Quantity]]</f>
        <v>216000</v>
      </c>
      <c r="P1696" s="3">
        <f>Table1[[#This Row],[Revenue]]-Table1[[#This Row],[COGS]]</f>
        <v>54000</v>
      </c>
      <c r="Q1696" s="1">
        <v>1695</v>
      </c>
    </row>
    <row r="1697" spans="1:17">
      <c r="A1697" t="s">
        <v>143</v>
      </c>
      <c r="B1697" t="str">
        <f>TEXT(Table1[[#This Row],[Date]],"MMMM")</f>
        <v>April</v>
      </c>
      <c r="C1697" t="str">
        <f>TEXT(Table1[[#This Row],[Date]],"DDDD")</f>
        <v>Thursday</v>
      </c>
      <c r="D1697" t="s">
        <v>35</v>
      </c>
      <c r="E1697" t="s">
        <v>45</v>
      </c>
      <c r="F1697" t="s">
        <v>41</v>
      </c>
      <c r="G1697" t="s">
        <v>30</v>
      </c>
      <c r="H1697" t="s">
        <v>71</v>
      </c>
      <c r="I1697" t="s">
        <v>51</v>
      </c>
      <c r="J1697" s="3">
        <v>250000</v>
      </c>
      <c r="K1697">
        <v>3</v>
      </c>
      <c r="L1697" t="s">
        <v>42</v>
      </c>
      <c r="M1697" s="3">
        <v>200000</v>
      </c>
      <c r="N1697" s="3">
        <f>Table1[[#This Row],[Unit Price]]*Table1[[#This Row],[Quantity]]</f>
        <v>750000</v>
      </c>
      <c r="O1697" s="3">
        <f>Table1[[#This Row],[Cost Price]]*Table1[[#This Row],[Quantity]]</f>
        <v>600000</v>
      </c>
      <c r="P1697" s="3">
        <f>Table1[[#This Row],[Revenue]]-Table1[[#This Row],[COGS]]</f>
        <v>150000</v>
      </c>
      <c r="Q1697" s="1">
        <v>1696</v>
      </c>
    </row>
    <row r="1698" spans="1:17">
      <c r="A1698" t="s">
        <v>146</v>
      </c>
      <c r="B1698" t="str">
        <f>TEXT(Table1[[#This Row],[Date]],"MMMM")</f>
        <v>January</v>
      </c>
      <c r="C1698" t="str">
        <f>TEXT(Table1[[#This Row],[Date]],"DDDD")</f>
        <v>Tuesday</v>
      </c>
      <c r="D1698" t="s">
        <v>35</v>
      </c>
      <c r="E1698" t="s">
        <v>36</v>
      </c>
      <c r="F1698" t="s">
        <v>41</v>
      </c>
      <c r="G1698" t="s">
        <v>30</v>
      </c>
      <c r="H1698" t="s">
        <v>46</v>
      </c>
      <c r="I1698" t="s">
        <v>39</v>
      </c>
      <c r="J1698" s="3">
        <v>60000</v>
      </c>
      <c r="K1698">
        <v>2</v>
      </c>
      <c r="L1698" t="s">
        <v>42</v>
      </c>
      <c r="M1698" s="3">
        <v>48000</v>
      </c>
      <c r="N1698" s="3">
        <f>Table1[[#This Row],[Unit Price]]*Table1[[#This Row],[Quantity]]</f>
        <v>120000</v>
      </c>
      <c r="O1698" s="3">
        <f>Table1[[#This Row],[Cost Price]]*Table1[[#This Row],[Quantity]]</f>
        <v>96000</v>
      </c>
      <c r="P1698" s="3">
        <f>Table1[[#This Row],[Revenue]]-Table1[[#This Row],[COGS]]</f>
        <v>24000</v>
      </c>
      <c r="Q1698" s="1">
        <v>1697</v>
      </c>
    </row>
    <row r="1699" spans="1:17">
      <c r="A1699" t="s">
        <v>105</v>
      </c>
      <c r="B1699" t="str">
        <f>TEXT(Table1[[#This Row],[Date]],"MMMM")</f>
        <v>March</v>
      </c>
      <c r="C1699" t="str">
        <f>TEXT(Table1[[#This Row],[Date]],"DDDD")</f>
        <v>Friday</v>
      </c>
      <c r="D1699" t="s">
        <v>27</v>
      </c>
      <c r="E1699" t="s">
        <v>53</v>
      </c>
      <c r="F1699" t="s">
        <v>29</v>
      </c>
      <c r="G1699" t="s">
        <v>37</v>
      </c>
      <c r="H1699" t="s">
        <v>56</v>
      </c>
      <c r="I1699" t="s">
        <v>32</v>
      </c>
      <c r="J1699" s="3">
        <v>320000</v>
      </c>
      <c r="K1699">
        <v>3</v>
      </c>
      <c r="L1699" t="s">
        <v>47</v>
      </c>
      <c r="M1699" s="3">
        <v>256000</v>
      </c>
      <c r="N1699" s="3">
        <f>Table1[[#This Row],[Unit Price]]*Table1[[#This Row],[Quantity]]</f>
        <v>960000</v>
      </c>
      <c r="O1699" s="3">
        <f>Table1[[#This Row],[Cost Price]]*Table1[[#This Row],[Quantity]]</f>
        <v>768000</v>
      </c>
      <c r="P1699" s="3">
        <f>Table1[[#This Row],[Revenue]]-Table1[[#This Row],[COGS]]</f>
        <v>192000</v>
      </c>
      <c r="Q1699" s="1">
        <v>1698</v>
      </c>
    </row>
    <row r="1700" spans="1:17">
      <c r="A1700" t="s">
        <v>153</v>
      </c>
      <c r="B1700" t="str">
        <f>TEXT(Table1[[#This Row],[Date]],"MMMM")</f>
        <v>March</v>
      </c>
      <c r="C1700" t="str">
        <f>TEXT(Table1[[#This Row],[Date]],"DDDD")</f>
        <v>Tuesday</v>
      </c>
      <c r="D1700" t="s">
        <v>35</v>
      </c>
      <c r="E1700" t="s">
        <v>45</v>
      </c>
      <c r="F1700" t="s">
        <v>29</v>
      </c>
      <c r="G1700" t="s">
        <v>30</v>
      </c>
      <c r="H1700" t="s">
        <v>50</v>
      </c>
      <c r="I1700" t="s">
        <v>51</v>
      </c>
      <c r="J1700" s="3">
        <v>300000</v>
      </c>
      <c r="K1700">
        <v>9</v>
      </c>
      <c r="L1700" t="s">
        <v>42</v>
      </c>
      <c r="M1700" s="3">
        <v>240000</v>
      </c>
      <c r="N1700" s="3">
        <f>Table1[[#This Row],[Unit Price]]*Table1[[#This Row],[Quantity]]</f>
        <v>2700000</v>
      </c>
      <c r="O1700" s="3">
        <f>Table1[[#This Row],[Cost Price]]*Table1[[#This Row],[Quantity]]</f>
        <v>2160000</v>
      </c>
      <c r="P1700" s="3">
        <f>Table1[[#This Row],[Revenue]]-Table1[[#This Row],[COGS]]</f>
        <v>540000</v>
      </c>
      <c r="Q1700" s="1">
        <v>1699</v>
      </c>
    </row>
    <row r="1701" spans="1:17">
      <c r="A1701" t="s">
        <v>110</v>
      </c>
      <c r="B1701" t="str">
        <f>TEXT(Table1[[#This Row],[Date]],"MMMM")</f>
        <v>January</v>
      </c>
      <c r="C1701" t="str">
        <f>TEXT(Table1[[#This Row],[Date]],"DDDD")</f>
        <v>Thursday</v>
      </c>
      <c r="D1701" t="s">
        <v>35</v>
      </c>
      <c r="E1701" t="s">
        <v>53</v>
      </c>
      <c r="F1701" t="s">
        <v>29</v>
      </c>
      <c r="G1701" t="s">
        <v>30</v>
      </c>
      <c r="H1701" t="s">
        <v>67</v>
      </c>
      <c r="I1701" t="s">
        <v>51</v>
      </c>
      <c r="J1701" s="3">
        <v>420000</v>
      </c>
      <c r="K1701">
        <v>4</v>
      </c>
      <c r="L1701" t="s">
        <v>69</v>
      </c>
      <c r="M1701" s="3">
        <v>336000</v>
      </c>
      <c r="N1701" s="3">
        <f>Table1[[#This Row],[Unit Price]]*Table1[[#This Row],[Quantity]]</f>
        <v>1680000</v>
      </c>
      <c r="O1701" s="3">
        <f>Table1[[#This Row],[Cost Price]]*Table1[[#This Row],[Quantity]]</f>
        <v>1344000</v>
      </c>
      <c r="P1701" s="3">
        <f>Table1[[#This Row],[Revenue]]-Table1[[#This Row],[COGS]]</f>
        <v>336000</v>
      </c>
      <c r="Q1701" s="1">
        <v>1700</v>
      </c>
    </row>
    <row r="1702" spans="1:17">
      <c r="A1702" t="s">
        <v>82</v>
      </c>
      <c r="B1702" t="str">
        <f>TEXT(Table1[[#This Row],[Date]],"MMMM")</f>
        <v>March</v>
      </c>
      <c r="C1702" t="str">
        <f>TEXT(Table1[[#This Row],[Date]],"DDDD")</f>
        <v>Saturday</v>
      </c>
      <c r="D1702" t="s">
        <v>27</v>
      </c>
      <c r="E1702" t="s">
        <v>28</v>
      </c>
      <c r="F1702" t="s">
        <v>29</v>
      </c>
      <c r="G1702" t="s">
        <v>37</v>
      </c>
      <c r="H1702" t="s">
        <v>56</v>
      </c>
      <c r="I1702" t="s">
        <v>32</v>
      </c>
      <c r="J1702" s="3">
        <v>320000</v>
      </c>
      <c r="K1702">
        <v>6</v>
      </c>
      <c r="L1702" t="s">
        <v>58</v>
      </c>
      <c r="M1702" s="3">
        <v>256000</v>
      </c>
      <c r="N1702" s="3">
        <f>Table1[[#This Row],[Unit Price]]*Table1[[#This Row],[Quantity]]</f>
        <v>1920000</v>
      </c>
      <c r="O1702" s="3">
        <f>Table1[[#This Row],[Cost Price]]*Table1[[#This Row],[Quantity]]</f>
        <v>1536000</v>
      </c>
      <c r="P1702" s="3">
        <f>Table1[[#This Row],[Revenue]]-Table1[[#This Row],[COGS]]</f>
        <v>384000</v>
      </c>
      <c r="Q1702" s="1">
        <v>1701</v>
      </c>
    </row>
    <row r="1703" spans="1:17">
      <c r="A1703" t="s">
        <v>121</v>
      </c>
      <c r="B1703" t="str">
        <f>TEXT(Table1[[#This Row],[Date]],"MMMM")</f>
        <v>April</v>
      </c>
      <c r="C1703" t="str">
        <f>TEXT(Table1[[#This Row],[Date]],"DDDD")</f>
        <v>Wednesday</v>
      </c>
      <c r="D1703" t="s">
        <v>27</v>
      </c>
      <c r="E1703" t="s">
        <v>53</v>
      </c>
      <c r="F1703" t="s">
        <v>29</v>
      </c>
      <c r="G1703" t="s">
        <v>37</v>
      </c>
      <c r="H1703" t="s">
        <v>73</v>
      </c>
      <c r="I1703" t="s">
        <v>39</v>
      </c>
      <c r="J1703" s="3">
        <v>220000</v>
      </c>
      <c r="K1703">
        <v>4</v>
      </c>
      <c r="L1703" t="s">
        <v>69</v>
      </c>
      <c r="M1703" s="3">
        <v>176000</v>
      </c>
      <c r="N1703" s="3">
        <f>Table1[[#This Row],[Unit Price]]*Table1[[#This Row],[Quantity]]</f>
        <v>880000</v>
      </c>
      <c r="O1703" s="3">
        <f>Table1[[#This Row],[Cost Price]]*Table1[[#This Row],[Quantity]]</f>
        <v>704000</v>
      </c>
      <c r="P1703" s="3">
        <f>Table1[[#This Row],[Revenue]]-Table1[[#This Row],[COGS]]</f>
        <v>176000</v>
      </c>
      <c r="Q1703" s="1">
        <v>1702</v>
      </c>
    </row>
    <row r="1704" spans="1:17">
      <c r="A1704" t="s">
        <v>137</v>
      </c>
      <c r="B1704" t="str">
        <f>TEXT(Table1[[#This Row],[Date]],"MMMM")</f>
        <v>April</v>
      </c>
      <c r="C1704" t="str">
        <f>TEXT(Table1[[#This Row],[Date]],"DDDD")</f>
        <v>Wednesday</v>
      </c>
      <c r="D1704" t="s">
        <v>44</v>
      </c>
      <c r="E1704" t="s">
        <v>53</v>
      </c>
      <c r="F1704" t="s">
        <v>29</v>
      </c>
      <c r="G1704" t="s">
        <v>37</v>
      </c>
      <c r="H1704" t="s">
        <v>31</v>
      </c>
      <c r="I1704" t="s">
        <v>32</v>
      </c>
      <c r="J1704" s="3">
        <v>85000</v>
      </c>
      <c r="K1704">
        <v>8</v>
      </c>
      <c r="L1704" t="s">
        <v>42</v>
      </c>
      <c r="M1704" s="3">
        <v>68000</v>
      </c>
      <c r="N1704" s="3">
        <f>Table1[[#This Row],[Unit Price]]*Table1[[#This Row],[Quantity]]</f>
        <v>680000</v>
      </c>
      <c r="O1704" s="3">
        <f>Table1[[#This Row],[Cost Price]]*Table1[[#This Row],[Quantity]]</f>
        <v>544000</v>
      </c>
      <c r="P1704" s="3">
        <f>Table1[[#This Row],[Revenue]]-Table1[[#This Row],[COGS]]</f>
        <v>136000</v>
      </c>
      <c r="Q1704" s="1">
        <v>1703</v>
      </c>
    </row>
    <row r="1705" spans="1:17">
      <c r="A1705" t="s">
        <v>138</v>
      </c>
      <c r="B1705" t="str">
        <f>TEXT(Table1[[#This Row],[Date]],"MMMM")</f>
        <v>April</v>
      </c>
      <c r="C1705" t="str">
        <f>TEXT(Table1[[#This Row],[Date]],"DDDD")</f>
        <v>Monday</v>
      </c>
      <c r="D1705" t="s">
        <v>27</v>
      </c>
      <c r="E1705" t="s">
        <v>28</v>
      </c>
      <c r="F1705" t="s">
        <v>29</v>
      </c>
      <c r="G1705" t="s">
        <v>37</v>
      </c>
      <c r="H1705" t="s">
        <v>67</v>
      </c>
      <c r="I1705" t="s">
        <v>51</v>
      </c>
      <c r="J1705" s="3">
        <v>420000</v>
      </c>
      <c r="K1705">
        <v>7</v>
      </c>
      <c r="L1705" t="s">
        <v>47</v>
      </c>
      <c r="M1705" s="3">
        <v>336000</v>
      </c>
      <c r="N1705" s="3">
        <f>Table1[[#This Row],[Unit Price]]*Table1[[#This Row],[Quantity]]</f>
        <v>2940000</v>
      </c>
      <c r="O1705" s="3">
        <f>Table1[[#This Row],[Cost Price]]*Table1[[#This Row],[Quantity]]</f>
        <v>2352000</v>
      </c>
      <c r="P1705" s="3">
        <f>Table1[[#This Row],[Revenue]]-Table1[[#This Row],[COGS]]</f>
        <v>588000</v>
      </c>
      <c r="Q1705" s="1">
        <v>1704</v>
      </c>
    </row>
    <row r="1706" spans="1:17">
      <c r="A1706" t="s">
        <v>133</v>
      </c>
      <c r="B1706" t="str">
        <f>TEXT(Table1[[#This Row],[Date]],"MMMM")</f>
        <v>January</v>
      </c>
      <c r="C1706" t="str">
        <f>TEXT(Table1[[#This Row],[Date]],"DDDD")</f>
        <v>Wednesday</v>
      </c>
      <c r="D1706" t="s">
        <v>35</v>
      </c>
      <c r="E1706" t="s">
        <v>53</v>
      </c>
      <c r="F1706" t="s">
        <v>41</v>
      </c>
      <c r="G1706" t="s">
        <v>37</v>
      </c>
      <c r="H1706" t="s">
        <v>73</v>
      </c>
      <c r="I1706" t="s">
        <v>39</v>
      </c>
      <c r="J1706" s="3">
        <v>220000</v>
      </c>
      <c r="K1706">
        <v>2</v>
      </c>
      <c r="L1706" t="s">
        <v>33</v>
      </c>
      <c r="M1706" s="3">
        <v>176000</v>
      </c>
      <c r="N1706" s="3">
        <f>Table1[[#This Row],[Unit Price]]*Table1[[#This Row],[Quantity]]</f>
        <v>440000</v>
      </c>
      <c r="O1706" s="3">
        <f>Table1[[#This Row],[Cost Price]]*Table1[[#This Row],[Quantity]]</f>
        <v>352000</v>
      </c>
      <c r="P1706" s="3">
        <f>Table1[[#This Row],[Revenue]]-Table1[[#This Row],[COGS]]</f>
        <v>88000</v>
      </c>
      <c r="Q1706" s="1">
        <v>1705</v>
      </c>
    </row>
    <row r="1707" spans="1:17">
      <c r="A1707" t="s">
        <v>74</v>
      </c>
      <c r="B1707" t="str">
        <f>TEXT(Table1[[#This Row],[Date]],"MMMM")</f>
        <v>February</v>
      </c>
      <c r="C1707" t="str">
        <f>TEXT(Table1[[#This Row],[Date]],"DDDD")</f>
        <v>Monday</v>
      </c>
      <c r="D1707" t="s">
        <v>49</v>
      </c>
      <c r="E1707" t="s">
        <v>45</v>
      </c>
      <c r="F1707" t="s">
        <v>29</v>
      </c>
      <c r="G1707" t="s">
        <v>30</v>
      </c>
      <c r="H1707" t="s">
        <v>62</v>
      </c>
      <c r="I1707" t="s">
        <v>51</v>
      </c>
      <c r="J1707" s="3">
        <v>150000</v>
      </c>
      <c r="K1707">
        <v>1</v>
      </c>
      <c r="L1707" t="s">
        <v>58</v>
      </c>
      <c r="M1707" s="3">
        <v>120000</v>
      </c>
      <c r="N1707" s="3">
        <f>Table1[[#This Row],[Unit Price]]*Table1[[#This Row],[Quantity]]</f>
        <v>150000</v>
      </c>
      <c r="O1707" s="3">
        <f>Table1[[#This Row],[Cost Price]]*Table1[[#This Row],[Quantity]]</f>
        <v>120000</v>
      </c>
      <c r="P1707" s="3">
        <f>Table1[[#This Row],[Revenue]]-Table1[[#This Row],[COGS]]</f>
        <v>30000</v>
      </c>
      <c r="Q1707" s="1">
        <v>1706</v>
      </c>
    </row>
    <row r="1708" spans="1:17">
      <c r="A1708" t="s">
        <v>136</v>
      </c>
      <c r="B1708" t="str">
        <f>TEXT(Table1[[#This Row],[Date]],"MMMM")</f>
        <v>February</v>
      </c>
      <c r="C1708" t="str">
        <f>TEXT(Table1[[#This Row],[Date]],"DDDD")</f>
        <v>Saturday</v>
      </c>
      <c r="D1708" t="s">
        <v>49</v>
      </c>
      <c r="E1708" t="s">
        <v>28</v>
      </c>
      <c r="F1708" t="s">
        <v>41</v>
      </c>
      <c r="G1708" t="s">
        <v>37</v>
      </c>
      <c r="H1708" t="s">
        <v>67</v>
      </c>
      <c r="I1708" t="s">
        <v>51</v>
      </c>
      <c r="J1708" s="3">
        <v>420000</v>
      </c>
      <c r="K1708">
        <v>4</v>
      </c>
      <c r="L1708" t="s">
        <v>65</v>
      </c>
      <c r="M1708" s="3">
        <v>336000</v>
      </c>
      <c r="N1708" s="3">
        <f>Table1[[#This Row],[Unit Price]]*Table1[[#This Row],[Quantity]]</f>
        <v>1680000</v>
      </c>
      <c r="O1708" s="3">
        <f>Table1[[#This Row],[Cost Price]]*Table1[[#This Row],[Quantity]]</f>
        <v>1344000</v>
      </c>
      <c r="P1708" s="3">
        <f>Table1[[#This Row],[Revenue]]-Table1[[#This Row],[COGS]]</f>
        <v>336000</v>
      </c>
      <c r="Q1708" s="1">
        <v>1707</v>
      </c>
    </row>
    <row r="1709" spans="1:17">
      <c r="A1709" t="s">
        <v>117</v>
      </c>
      <c r="B1709" t="str">
        <f>TEXT(Table1[[#This Row],[Date]],"MMMM")</f>
        <v>January</v>
      </c>
      <c r="C1709" t="str">
        <f>TEXT(Table1[[#This Row],[Date]],"DDDD")</f>
        <v>Wednesday</v>
      </c>
      <c r="D1709" t="s">
        <v>44</v>
      </c>
      <c r="E1709" t="s">
        <v>36</v>
      </c>
      <c r="F1709" t="s">
        <v>41</v>
      </c>
      <c r="G1709" t="s">
        <v>30</v>
      </c>
      <c r="H1709" t="s">
        <v>50</v>
      </c>
      <c r="I1709" t="s">
        <v>51</v>
      </c>
      <c r="J1709" s="3">
        <v>300000</v>
      </c>
      <c r="K1709">
        <v>1</v>
      </c>
      <c r="L1709" t="s">
        <v>47</v>
      </c>
      <c r="M1709" s="3">
        <v>240000</v>
      </c>
      <c r="N1709" s="3">
        <f>Table1[[#This Row],[Unit Price]]*Table1[[#This Row],[Quantity]]</f>
        <v>300000</v>
      </c>
      <c r="O1709" s="3">
        <f>Table1[[#This Row],[Cost Price]]*Table1[[#This Row],[Quantity]]</f>
        <v>240000</v>
      </c>
      <c r="P1709" s="3">
        <f>Table1[[#This Row],[Revenue]]-Table1[[#This Row],[COGS]]</f>
        <v>60000</v>
      </c>
      <c r="Q1709" s="1">
        <v>1708</v>
      </c>
    </row>
    <row r="1710" spans="1:17">
      <c r="A1710" t="s">
        <v>107</v>
      </c>
      <c r="B1710" t="str">
        <f>TEXT(Table1[[#This Row],[Date]],"MMMM")</f>
        <v>February</v>
      </c>
      <c r="C1710" t="str">
        <f>TEXT(Table1[[#This Row],[Date]],"DDDD")</f>
        <v>Wednesday</v>
      </c>
      <c r="D1710" t="s">
        <v>27</v>
      </c>
      <c r="E1710" t="s">
        <v>36</v>
      </c>
      <c r="F1710" t="s">
        <v>29</v>
      </c>
      <c r="G1710" t="s">
        <v>37</v>
      </c>
      <c r="H1710" t="s">
        <v>50</v>
      </c>
      <c r="I1710" t="s">
        <v>51</v>
      </c>
      <c r="J1710" s="3">
        <v>300000</v>
      </c>
      <c r="K1710">
        <v>9</v>
      </c>
      <c r="L1710" t="s">
        <v>42</v>
      </c>
      <c r="M1710" s="3">
        <v>240000</v>
      </c>
      <c r="N1710" s="3">
        <f>Table1[[#This Row],[Unit Price]]*Table1[[#This Row],[Quantity]]</f>
        <v>2700000</v>
      </c>
      <c r="O1710" s="3">
        <f>Table1[[#This Row],[Cost Price]]*Table1[[#This Row],[Quantity]]</f>
        <v>2160000</v>
      </c>
      <c r="P1710" s="3">
        <f>Table1[[#This Row],[Revenue]]-Table1[[#This Row],[COGS]]</f>
        <v>540000</v>
      </c>
      <c r="Q1710" s="1">
        <v>1709</v>
      </c>
    </row>
    <row r="1711" spans="1:17">
      <c r="A1711" t="s">
        <v>111</v>
      </c>
      <c r="B1711" t="str">
        <f>TEXT(Table1[[#This Row],[Date]],"MMMM")</f>
        <v>February</v>
      </c>
      <c r="C1711" t="str">
        <f>TEXT(Table1[[#This Row],[Date]],"DDDD")</f>
        <v>Wednesday</v>
      </c>
      <c r="D1711" t="s">
        <v>44</v>
      </c>
      <c r="E1711" t="s">
        <v>53</v>
      </c>
      <c r="F1711" t="s">
        <v>29</v>
      </c>
      <c r="G1711" t="s">
        <v>30</v>
      </c>
      <c r="H1711" t="s">
        <v>71</v>
      </c>
      <c r="I1711" t="s">
        <v>51</v>
      </c>
      <c r="J1711" s="3">
        <v>250000</v>
      </c>
      <c r="K1711">
        <v>6</v>
      </c>
      <c r="L1711" t="s">
        <v>42</v>
      </c>
      <c r="M1711" s="3">
        <v>200000</v>
      </c>
      <c r="N1711" s="3">
        <f>Table1[[#This Row],[Unit Price]]*Table1[[#This Row],[Quantity]]</f>
        <v>1500000</v>
      </c>
      <c r="O1711" s="3">
        <f>Table1[[#This Row],[Cost Price]]*Table1[[#This Row],[Quantity]]</f>
        <v>1200000</v>
      </c>
      <c r="P1711" s="3">
        <f>Table1[[#This Row],[Revenue]]-Table1[[#This Row],[COGS]]</f>
        <v>300000</v>
      </c>
      <c r="Q1711" s="1">
        <v>1710</v>
      </c>
    </row>
    <row r="1712" spans="1:17">
      <c r="A1712" t="s">
        <v>169</v>
      </c>
      <c r="B1712" t="str">
        <f>TEXT(Table1[[#This Row],[Date]],"MMMM")</f>
        <v>February</v>
      </c>
      <c r="C1712" t="str">
        <f>TEXT(Table1[[#This Row],[Date]],"DDDD")</f>
        <v>Saturday</v>
      </c>
      <c r="D1712" t="s">
        <v>49</v>
      </c>
      <c r="E1712" t="s">
        <v>45</v>
      </c>
      <c r="F1712" t="s">
        <v>29</v>
      </c>
      <c r="G1712" t="s">
        <v>37</v>
      </c>
      <c r="H1712" t="s">
        <v>38</v>
      </c>
      <c r="I1712" t="s">
        <v>39</v>
      </c>
      <c r="J1712" s="3">
        <v>30000</v>
      </c>
      <c r="K1712">
        <v>7</v>
      </c>
      <c r="L1712" t="s">
        <v>47</v>
      </c>
      <c r="M1712" s="3">
        <v>24000</v>
      </c>
      <c r="N1712" s="3">
        <f>Table1[[#This Row],[Unit Price]]*Table1[[#This Row],[Quantity]]</f>
        <v>210000</v>
      </c>
      <c r="O1712" s="3">
        <f>Table1[[#This Row],[Cost Price]]*Table1[[#This Row],[Quantity]]</f>
        <v>168000</v>
      </c>
      <c r="P1712" s="3">
        <f>Table1[[#This Row],[Revenue]]-Table1[[#This Row],[COGS]]</f>
        <v>42000</v>
      </c>
      <c r="Q1712" s="1">
        <v>1711</v>
      </c>
    </row>
    <row r="1713" spans="1:17">
      <c r="A1713" t="s">
        <v>84</v>
      </c>
      <c r="B1713" t="str">
        <f>TEXT(Table1[[#This Row],[Date]],"MMMM")</f>
        <v>January</v>
      </c>
      <c r="C1713" t="str">
        <f>TEXT(Table1[[#This Row],[Date]],"DDDD")</f>
        <v>Wednesday</v>
      </c>
      <c r="D1713" t="s">
        <v>44</v>
      </c>
      <c r="E1713" t="s">
        <v>28</v>
      </c>
      <c r="F1713" t="s">
        <v>41</v>
      </c>
      <c r="G1713" t="s">
        <v>30</v>
      </c>
      <c r="H1713" t="s">
        <v>31</v>
      </c>
      <c r="I1713" t="s">
        <v>32</v>
      </c>
      <c r="J1713" s="3">
        <v>85000</v>
      </c>
      <c r="K1713">
        <v>7</v>
      </c>
      <c r="L1713" t="s">
        <v>69</v>
      </c>
      <c r="M1713" s="3">
        <v>68000</v>
      </c>
      <c r="N1713" s="3">
        <f>Table1[[#This Row],[Unit Price]]*Table1[[#This Row],[Quantity]]</f>
        <v>595000</v>
      </c>
      <c r="O1713" s="3">
        <f>Table1[[#This Row],[Cost Price]]*Table1[[#This Row],[Quantity]]</f>
        <v>476000</v>
      </c>
      <c r="P1713" s="3">
        <f>Table1[[#This Row],[Revenue]]-Table1[[#This Row],[COGS]]</f>
        <v>119000</v>
      </c>
      <c r="Q1713" s="1">
        <v>1712</v>
      </c>
    </row>
    <row r="1714" spans="1:17">
      <c r="A1714" t="s">
        <v>59</v>
      </c>
      <c r="B1714" t="str">
        <f>TEXT(Table1[[#This Row],[Date]],"MMMM")</f>
        <v>March</v>
      </c>
      <c r="C1714" t="str">
        <f>TEXT(Table1[[#This Row],[Date]],"DDDD")</f>
        <v>Monday</v>
      </c>
      <c r="D1714" t="s">
        <v>27</v>
      </c>
      <c r="E1714" t="s">
        <v>53</v>
      </c>
      <c r="F1714" t="s">
        <v>41</v>
      </c>
      <c r="G1714" t="s">
        <v>30</v>
      </c>
      <c r="H1714" t="s">
        <v>31</v>
      </c>
      <c r="I1714" t="s">
        <v>32</v>
      </c>
      <c r="J1714" s="3">
        <v>85000</v>
      </c>
      <c r="K1714">
        <v>7</v>
      </c>
      <c r="L1714" t="s">
        <v>69</v>
      </c>
      <c r="M1714" s="3">
        <v>68000</v>
      </c>
      <c r="N1714" s="3">
        <f>Table1[[#This Row],[Unit Price]]*Table1[[#This Row],[Quantity]]</f>
        <v>595000</v>
      </c>
      <c r="O1714" s="3">
        <f>Table1[[#This Row],[Cost Price]]*Table1[[#This Row],[Quantity]]</f>
        <v>476000</v>
      </c>
      <c r="P1714" s="3">
        <f>Table1[[#This Row],[Revenue]]-Table1[[#This Row],[COGS]]</f>
        <v>119000</v>
      </c>
      <c r="Q1714" s="1">
        <v>1713</v>
      </c>
    </row>
    <row r="1715" spans="1:17">
      <c r="A1715" t="s">
        <v>97</v>
      </c>
      <c r="B1715" t="str">
        <f>TEXT(Table1[[#This Row],[Date]],"MMMM")</f>
        <v>January</v>
      </c>
      <c r="C1715" t="str">
        <f>TEXT(Table1[[#This Row],[Date]],"DDDD")</f>
        <v>Sunday</v>
      </c>
      <c r="D1715" t="s">
        <v>44</v>
      </c>
      <c r="E1715" t="s">
        <v>45</v>
      </c>
      <c r="F1715" t="s">
        <v>29</v>
      </c>
      <c r="G1715" t="s">
        <v>30</v>
      </c>
      <c r="H1715" t="s">
        <v>38</v>
      </c>
      <c r="I1715" t="s">
        <v>39</v>
      </c>
      <c r="J1715" s="3">
        <v>30000</v>
      </c>
      <c r="K1715">
        <v>4</v>
      </c>
      <c r="L1715" t="s">
        <v>33</v>
      </c>
      <c r="M1715" s="3">
        <v>24000</v>
      </c>
      <c r="N1715" s="3">
        <f>Table1[[#This Row],[Unit Price]]*Table1[[#This Row],[Quantity]]</f>
        <v>120000</v>
      </c>
      <c r="O1715" s="3">
        <f>Table1[[#This Row],[Cost Price]]*Table1[[#This Row],[Quantity]]</f>
        <v>96000</v>
      </c>
      <c r="P1715" s="3">
        <f>Table1[[#This Row],[Revenue]]-Table1[[#This Row],[COGS]]</f>
        <v>24000</v>
      </c>
      <c r="Q1715" s="1">
        <v>1714</v>
      </c>
    </row>
    <row r="1716" spans="1:17">
      <c r="A1716" t="s">
        <v>161</v>
      </c>
      <c r="B1716" t="str">
        <f>TEXT(Table1[[#This Row],[Date]],"MMMM")</f>
        <v>March</v>
      </c>
      <c r="C1716" t="str">
        <f>TEXT(Table1[[#This Row],[Date]],"DDDD")</f>
        <v>Thursday</v>
      </c>
      <c r="D1716" t="s">
        <v>27</v>
      </c>
      <c r="E1716" t="s">
        <v>45</v>
      </c>
      <c r="F1716" t="s">
        <v>29</v>
      </c>
      <c r="G1716" t="s">
        <v>30</v>
      </c>
      <c r="H1716" t="s">
        <v>62</v>
      </c>
      <c r="I1716" t="s">
        <v>51</v>
      </c>
      <c r="J1716" s="3">
        <v>150000</v>
      </c>
      <c r="K1716">
        <v>9</v>
      </c>
      <c r="L1716" t="s">
        <v>42</v>
      </c>
      <c r="M1716" s="3">
        <v>120000</v>
      </c>
      <c r="N1716" s="3">
        <f>Table1[[#This Row],[Unit Price]]*Table1[[#This Row],[Quantity]]</f>
        <v>1350000</v>
      </c>
      <c r="O1716" s="3">
        <f>Table1[[#This Row],[Cost Price]]*Table1[[#This Row],[Quantity]]</f>
        <v>1080000</v>
      </c>
      <c r="P1716" s="3">
        <f>Table1[[#This Row],[Revenue]]-Table1[[#This Row],[COGS]]</f>
        <v>270000</v>
      </c>
      <c r="Q1716" s="1">
        <v>1715</v>
      </c>
    </row>
    <row r="1717" spans="1:17">
      <c r="A1717" t="s">
        <v>157</v>
      </c>
      <c r="B1717" t="str">
        <f>TEXT(Table1[[#This Row],[Date]],"MMMM")</f>
        <v>April</v>
      </c>
      <c r="C1717" t="str">
        <f>TEXT(Table1[[#This Row],[Date]],"DDDD")</f>
        <v>Tuesday</v>
      </c>
      <c r="D1717" t="s">
        <v>49</v>
      </c>
      <c r="E1717" t="s">
        <v>28</v>
      </c>
      <c r="F1717" t="s">
        <v>41</v>
      </c>
      <c r="G1717" t="s">
        <v>37</v>
      </c>
      <c r="H1717" t="s">
        <v>73</v>
      </c>
      <c r="I1717" t="s">
        <v>39</v>
      </c>
      <c r="J1717" s="3">
        <v>220000</v>
      </c>
      <c r="K1717">
        <v>9</v>
      </c>
      <c r="L1717" t="s">
        <v>69</v>
      </c>
      <c r="M1717" s="3">
        <v>176000</v>
      </c>
      <c r="N1717" s="3">
        <f>Table1[[#This Row],[Unit Price]]*Table1[[#This Row],[Quantity]]</f>
        <v>1980000</v>
      </c>
      <c r="O1717" s="3">
        <f>Table1[[#This Row],[Cost Price]]*Table1[[#This Row],[Quantity]]</f>
        <v>1584000</v>
      </c>
      <c r="P1717" s="3">
        <f>Table1[[#This Row],[Revenue]]-Table1[[#This Row],[COGS]]</f>
        <v>396000</v>
      </c>
      <c r="Q1717" s="1">
        <v>1716</v>
      </c>
    </row>
    <row r="1718" spans="1:17">
      <c r="A1718" t="s">
        <v>100</v>
      </c>
      <c r="B1718" t="str">
        <f>TEXT(Table1[[#This Row],[Date]],"MMMM")</f>
        <v>January</v>
      </c>
      <c r="C1718" t="str">
        <f>TEXT(Table1[[#This Row],[Date]],"DDDD")</f>
        <v>Monday</v>
      </c>
      <c r="D1718" t="s">
        <v>35</v>
      </c>
      <c r="E1718" t="s">
        <v>45</v>
      </c>
      <c r="F1718" t="s">
        <v>41</v>
      </c>
      <c r="G1718" t="s">
        <v>30</v>
      </c>
      <c r="H1718" t="s">
        <v>38</v>
      </c>
      <c r="I1718" t="s">
        <v>39</v>
      </c>
      <c r="J1718" s="3">
        <v>30000</v>
      </c>
      <c r="K1718">
        <v>8</v>
      </c>
      <c r="L1718" t="s">
        <v>65</v>
      </c>
      <c r="M1718" s="3">
        <v>24000</v>
      </c>
      <c r="N1718" s="3">
        <f>Table1[[#This Row],[Unit Price]]*Table1[[#This Row],[Quantity]]</f>
        <v>240000</v>
      </c>
      <c r="O1718" s="3">
        <f>Table1[[#This Row],[Cost Price]]*Table1[[#This Row],[Quantity]]</f>
        <v>192000</v>
      </c>
      <c r="P1718" s="3">
        <f>Table1[[#This Row],[Revenue]]-Table1[[#This Row],[COGS]]</f>
        <v>48000</v>
      </c>
      <c r="Q1718" s="1">
        <v>1717</v>
      </c>
    </row>
    <row r="1719" spans="1:17">
      <c r="A1719" t="s">
        <v>160</v>
      </c>
      <c r="B1719" t="str">
        <f>TEXT(Table1[[#This Row],[Date]],"MMMM")</f>
        <v>January</v>
      </c>
      <c r="C1719" t="str">
        <f>TEXT(Table1[[#This Row],[Date]],"DDDD")</f>
        <v>Saturday</v>
      </c>
      <c r="D1719" t="s">
        <v>35</v>
      </c>
      <c r="E1719" t="s">
        <v>45</v>
      </c>
      <c r="F1719" t="s">
        <v>29</v>
      </c>
      <c r="G1719" t="s">
        <v>30</v>
      </c>
      <c r="H1719" t="s">
        <v>31</v>
      </c>
      <c r="I1719" t="s">
        <v>32</v>
      </c>
      <c r="J1719" s="3">
        <v>85000</v>
      </c>
      <c r="K1719">
        <v>2</v>
      </c>
      <c r="L1719" t="s">
        <v>42</v>
      </c>
      <c r="M1719" s="3">
        <v>68000</v>
      </c>
      <c r="N1719" s="3">
        <f>Table1[[#This Row],[Unit Price]]*Table1[[#This Row],[Quantity]]</f>
        <v>170000</v>
      </c>
      <c r="O1719" s="3">
        <f>Table1[[#This Row],[Cost Price]]*Table1[[#This Row],[Quantity]]</f>
        <v>136000</v>
      </c>
      <c r="P1719" s="3">
        <f>Table1[[#This Row],[Revenue]]-Table1[[#This Row],[COGS]]</f>
        <v>34000</v>
      </c>
      <c r="Q1719" s="1">
        <v>1718</v>
      </c>
    </row>
    <row r="1720" spans="1:17">
      <c r="A1720" t="s">
        <v>109</v>
      </c>
      <c r="B1720" t="str">
        <f>TEXT(Table1[[#This Row],[Date]],"MMMM")</f>
        <v>March</v>
      </c>
      <c r="C1720" t="str">
        <f>TEXT(Table1[[#This Row],[Date]],"DDDD")</f>
        <v>Monday</v>
      </c>
      <c r="D1720" t="s">
        <v>44</v>
      </c>
      <c r="E1720" t="s">
        <v>36</v>
      </c>
      <c r="F1720" t="s">
        <v>41</v>
      </c>
      <c r="G1720" t="s">
        <v>30</v>
      </c>
      <c r="H1720" t="s">
        <v>54</v>
      </c>
      <c r="I1720" t="s">
        <v>39</v>
      </c>
      <c r="J1720" s="3">
        <v>180000</v>
      </c>
      <c r="K1720">
        <v>9</v>
      </c>
      <c r="L1720" t="s">
        <v>42</v>
      </c>
      <c r="M1720" s="3">
        <v>144000</v>
      </c>
      <c r="N1720" s="3">
        <f>Table1[[#This Row],[Unit Price]]*Table1[[#This Row],[Quantity]]</f>
        <v>1620000</v>
      </c>
      <c r="O1720" s="3">
        <f>Table1[[#This Row],[Cost Price]]*Table1[[#This Row],[Quantity]]</f>
        <v>1296000</v>
      </c>
      <c r="P1720" s="3">
        <f>Table1[[#This Row],[Revenue]]-Table1[[#This Row],[COGS]]</f>
        <v>324000</v>
      </c>
      <c r="Q1720" s="1">
        <v>1719</v>
      </c>
    </row>
    <row r="1721" spans="1:17">
      <c r="A1721" t="s">
        <v>95</v>
      </c>
      <c r="B1721" t="str">
        <f>TEXT(Table1[[#This Row],[Date]],"MMMM")</f>
        <v>February</v>
      </c>
      <c r="C1721" t="str">
        <f>TEXT(Table1[[#This Row],[Date]],"DDDD")</f>
        <v>Saturday</v>
      </c>
      <c r="D1721" t="s">
        <v>35</v>
      </c>
      <c r="E1721" t="s">
        <v>45</v>
      </c>
      <c r="F1721" t="s">
        <v>29</v>
      </c>
      <c r="G1721" t="s">
        <v>30</v>
      </c>
      <c r="H1721" t="s">
        <v>62</v>
      </c>
      <c r="I1721" t="s">
        <v>51</v>
      </c>
      <c r="J1721" s="3">
        <v>150000</v>
      </c>
      <c r="K1721">
        <v>8</v>
      </c>
      <c r="L1721" t="s">
        <v>69</v>
      </c>
      <c r="M1721" s="3">
        <v>120000</v>
      </c>
      <c r="N1721" s="3">
        <f>Table1[[#This Row],[Unit Price]]*Table1[[#This Row],[Quantity]]</f>
        <v>1200000</v>
      </c>
      <c r="O1721" s="3">
        <f>Table1[[#This Row],[Cost Price]]*Table1[[#This Row],[Quantity]]</f>
        <v>960000</v>
      </c>
      <c r="P1721" s="3">
        <f>Table1[[#This Row],[Revenue]]-Table1[[#This Row],[COGS]]</f>
        <v>240000</v>
      </c>
      <c r="Q1721" s="1">
        <v>1720</v>
      </c>
    </row>
    <row r="1722" spans="1:17">
      <c r="A1722" t="s">
        <v>92</v>
      </c>
      <c r="B1722" t="str">
        <f>TEXT(Table1[[#This Row],[Date]],"MMMM")</f>
        <v>January</v>
      </c>
      <c r="C1722" t="str">
        <f>TEXT(Table1[[#This Row],[Date]],"DDDD")</f>
        <v>Tuesday</v>
      </c>
      <c r="D1722" t="s">
        <v>49</v>
      </c>
      <c r="E1722" t="s">
        <v>28</v>
      </c>
      <c r="F1722" t="s">
        <v>29</v>
      </c>
      <c r="G1722" t="s">
        <v>30</v>
      </c>
      <c r="H1722" t="s">
        <v>46</v>
      </c>
      <c r="I1722" t="s">
        <v>39</v>
      </c>
      <c r="J1722" s="3">
        <v>60000</v>
      </c>
      <c r="K1722">
        <v>8</v>
      </c>
      <c r="L1722" t="s">
        <v>65</v>
      </c>
      <c r="M1722" s="3">
        <v>48000</v>
      </c>
      <c r="N1722" s="3">
        <f>Table1[[#This Row],[Unit Price]]*Table1[[#This Row],[Quantity]]</f>
        <v>480000</v>
      </c>
      <c r="O1722" s="3">
        <f>Table1[[#This Row],[Cost Price]]*Table1[[#This Row],[Quantity]]</f>
        <v>384000</v>
      </c>
      <c r="P1722" s="3">
        <f>Table1[[#This Row],[Revenue]]-Table1[[#This Row],[COGS]]</f>
        <v>96000</v>
      </c>
      <c r="Q1722" s="1">
        <v>1721</v>
      </c>
    </row>
    <row r="1723" spans="1:17">
      <c r="A1723" t="s">
        <v>160</v>
      </c>
      <c r="B1723" t="str">
        <f>TEXT(Table1[[#This Row],[Date]],"MMMM")</f>
        <v>January</v>
      </c>
      <c r="C1723" t="str">
        <f>TEXT(Table1[[#This Row],[Date]],"DDDD")</f>
        <v>Saturday</v>
      </c>
      <c r="D1723" t="s">
        <v>27</v>
      </c>
      <c r="E1723" t="s">
        <v>28</v>
      </c>
      <c r="F1723" t="s">
        <v>29</v>
      </c>
      <c r="G1723" t="s">
        <v>37</v>
      </c>
      <c r="H1723" t="s">
        <v>50</v>
      </c>
      <c r="I1723" t="s">
        <v>51</v>
      </c>
      <c r="J1723" s="3">
        <v>300000</v>
      </c>
      <c r="K1723">
        <v>5</v>
      </c>
      <c r="L1723" t="s">
        <v>47</v>
      </c>
      <c r="M1723" s="3">
        <v>240000</v>
      </c>
      <c r="N1723" s="3">
        <f>Table1[[#This Row],[Unit Price]]*Table1[[#This Row],[Quantity]]</f>
        <v>1500000</v>
      </c>
      <c r="O1723" s="3">
        <f>Table1[[#This Row],[Cost Price]]*Table1[[#This Row],[Quantity]]</f>
        <v>1200000</v>
      </c>
      <c r="P1723" s="3">
        <f>Table1[[#This Row],[Revenue]]-Table1[[#This Row],[COGS]]</f>
        <v>300000</v>
      </c>
      <c r="Q1723" s="1">
        <v>1722</v>
      </c>
    </row>
    <row r="1724" spans="1:17">
      <c r="A1724" t="s">
        <v>156</v>
      </c>
      <c r="B1724" t="str">
        <f>TEXT(Table1[[#This Row],[Date]],"MMMM")</f>
        <v>February</v>
      </c>
      <c r="C1724" t="str">
        <f>TEXT(Table1[[#This Row],[Date]],"DDDD")</f>
        <v>Friday</v>
      </c>
      <c r="D1724" t="s">
        <v>49</v>
      </c>
      <c r="E1724" t="s">
        <v>36</v>
      </c>
      <c r="F1724" t="s">
        <v>29</v>
      </c>
      <c r="G1724" t="s">
        <v>30</v>
      </c>
      <c r="H1724" t="s">
        <v>38</v>
      </c>
      <c r="I1724" t="s">
        <v>39</v>
      </c>
      <c r="J1724" s="3">
        <v>30000</v>
      </c>
      <c r="K1724">
        <v>8</v>
      </c>
      <c r="L1724" t="s">
        <v>58</v>
      </c>
      <c r="M1724" s="3">
        <v>24000</v>
      </c>
      <c r="N1724" s="3">
        <f>Table1[[#This Row],[Unit Price]]*Table1[[#This Row],[Quantity]]</f>
        <v>240000</v>
      </c>
      <c r="O1724" s="3">
        <f>Table1[[#This Row],[Cost Price]]*Table1[[#This Row],[Quantity]]</f>
        <v>192000</v>
      </c>
      <c r="P1724" s="3">
        <f>Table1[[#This Row],[Revenue]]-Table1[[#This Row],[COGS]]</f>
        <v>48000</v>
      </c>
      <c r="Q1724" s="1">
        <v>1723</v>
      </c>
    </row>
    <row r="1725" spans="1:17">
      <c r="A1725" t="s">
        <v>104</v>
      </c>
      <c r="B1725" t="str">
        <f>TEXT(Table1[[#This Row],[Date]],"MMMM")</f>
        <v>March</v>
      </c>
      <c r="C1725" t="str">
        <f>TEXT(Table1[[#This Row],[Date]],"DDDD")</f>
        <v>Friday</v>
      </c>
      <c r="D1725" t="s">
        <v>49</v>
      </c>
      <c r="E1725" t="s">
        <v>28</v>
      </c>
      <c r="F1725" t="s">
        <v>41</v>
      </c>
      <c r="G1725" t="s">
        <v>37</v>
      </c>
      <c r="H1725" t="s">
        <v>67</v>
      </c>
      <c r="I1725" t="s">
        <v>51</v>
      </c>
      <c r="J1725" s="3">
        <v>420000</v>
      </c>
      <c r="K1725">
        <v>3</v>
      </c>
      <c r="L1725" t="s">
        <v>42</v>
      </c>
      <c r="M1725" s="3">
        <v>336000</v>
      </c>
      <c r="N1725" s="3">
        <f>Table1[[#This Row],[Unit Price]]*Table1[[#This Row],[Quantity]]</f>
        <v>1260000</v>
      </c>
      <c r="O1725" s="3">
        <f>Table1[[#This Row],[Cost Price]]*Table1[[#This Row],[Quantity]]</f>
        <v>1008000</v>
      </c>
      <c r="P1725" s="3">
        <f>Table1[[#This Row],[Revenue]]-Table1[[#This Row],[COGS]]</f>
        <v>252000</v>
      </c>
      <c r="Q1725" s="1">
        <v>1724</v>
      </c>
    </row>
    <row r="1726" spans="1:17">
      <c r="A1726" t="s">
        <v>85</v>
      </c>
      <c r="B1726" t="str">
        <f>TEXT(Table1[[#This Row],[Date]],"MMMM")</f>
        <v>February</v>
      </c>
      <c r="C1726" t="str">
        <f>TEXT(Table1[[#This Row],[Date]],"DDDD")</f>
        <v>Thursday</v>
      </c>
      <c r="D1726" t="s">
        <v>27</v>
      </c>
      <c r="E1726" t="s">
        <v>28</v>
      </c>
      <c r="F1726" t="s">
        <v>41</v>
      </c>
      <c r="G1726" t="s">
        <v>30</v>
      </c>
      <c r="H1726" t="s">
        <v>67</v>
      </c>
      <c r="I1726" t="s">
        <v>51</v>
      </c>
      <c r="J1726" s="3">
        <v>420000</v>
      </c>
      <c r="K1726">
        <v>7</v>
      </c>
      <c r="L1726" t="s">
        <v>69</v>
      </c>
      <c r="M1726" s="3">
        <v>336000</v>
      </c>
      <c r="N1726" s="3">
        <f>Table1[[#This Row],[Unit Price]]*Table1[[#This Row],[Quantity]]</f>
        <v>2940000</v>
      </c>
      <c r="O1726" s="3">
        <f>Table1[[#This Row],[Cost Price]]*Table1[[#This Row],[Quantity]]</f>
        <v>2352000</v>
      </c>
      <c r="P1726" s="3">
        <f>Table1[[#This Row],[Revenue]]-Table1[[#This Row],[COGS]]</f>
        <v>588000</v>
      </c>
      <c r="Q1726" s="1">
        <v>1725</v>
      </c>
    </row>
    <row r="1727" spans="1:17">
      <c r="A1727" t="s">
        <v>81</v>
      </c>
      <c r="B1727" t="str">
        <f>TEXT(Table1[[#This Row],[Date]],"MMMM")</f>
        <v>March</v>
      </c>
      <c r="C1727" t="str">
        <f>TEXT(Table1[[#This Row],[Date]],"DDDD")</f>
        <v>Sunday</v>
      </c>
      <c r="D1727" t="s">
        <v>35</v>
      </c>
      <c r="E1727" t="s">
        <v>36</v>
      </c>
      <c r="F1727" t="s">
        <v>41</v>
      </c>
      <c r="G1727" t="s">
        <v>30</v>
      </c>
      <c r="H1727" t="s">
        <v>31</v>
      </c>
      <c r="I1727" t="s">
        <v>32</v>
      </c>
      <c r="J1727" s="3">
        <v>85000</v>
      </c>
      <c r="K1727">
        <v>9</v>
      </c>
      <c r="L1727" t="s">
        <v>69</v>
      </c>
      <c r="M1727" s="3">
        <v>68000</v>
      </c>
      <c r="N1727" s="3">
        <f>Table1[[#This Row],[Unit Price]]*Table1[[#This Row],[Quantity]]</f>
        <v>765000</v>
      </c>
      <c r="O1727" s="3">
        <f>Table1[[#This Row],[Cost Price]]*Table1[[#This Row],[Quantity]]</f>
        <v>612000</v>
      </c>
      <c r="P1727" s="3">
        <f>Table1[[#This Row],[Revenue]]-Table1[[#This Row],[COGS]]</f>
        <v>153000</v>
      </c>
      <c r="Q1727" s="1">
        <v>1726</v>
      </c>
    </row>
    <row r="1728" spans="1:17">
      <c r="A1728" t="s">
        <v>60</v>
      </c>
      <c r="B1728" t="str">
        <f>TEXT(Table1[[#This Row],[Date]],"MMMM")</f>
        <v>March</v>
      </c>
      <c r="C1728" t="str">
        <f>TEXT(Table1[[#This Row],[Date]],"DDDD")</f>
        <v>Wednesday</v>
      </c>
      <c r="D1728" t="s">
        <v>35</v>
      </c>
      <c r="E1728" t="s">
        <v>36</v>
      </c>
      <c r="F1728" t="s">
        <v>41</v>
      </c>
      <c r="G1728" t="s">
        <v>30</v>
      </c>
      <c r="H1728" t="s">
        <v>50</v>
      </c>
      <c r="I1728" t="s">
        <v>51</v>
      </c>
      <c r="J1728" s="3">
        <v>300000</v>
      </c>
      <c r="K1728">
        <v>8</v>
      </c>
      <c r="L1728" t="s">
        <v>47</v>
      </c>
      <c r="M1728" s="3">
        <v>240000</v>
      </c>
      <c r="N1728" s="3">
        <f>Table1[[#This Row],[Unit Price]]*Table1[[#This Row],[Quantity]]</f>
        <v>2400000</v>
      </c>
      <c r="O1728" s="3">
        <f>Table1[[#This Row],[Cost Price]]*Table1[[#This Row],[Quantity]]</f>
        <v>1920000</v>
      </c>
      <c r="P1728" s="3">
        <f>Table1[[#This Row],[Revenue]]-Table1[[#This Row],[COGS]]</f>
        <v>480000</v>
      </c>
      <c r="Q1728" s="1">
        <v>1727</v>
      </c>
    </row>
    <row r="1729" spans="1:17">
      <c r="A1729" t="s">
        <v>114</v>
      </c>
      <c r="B1729" t="str">
        <f>TEXT(Table1[[#This Row],[Date]],"MMMM")</f>
        <v>April</v>
      </c>
      <c r="C1729" t="str">
        <f>TEXT(Table1[[#This Row],[Date]],"DDDD")</f>
        <v>Sunday</v>
      </c>
      <c r="D1729" t="s">
        <v>49</v>
      </c>
      <c r="E1729" t="s">
        <v>53</v>
      </c>
      <c r="F1729" t="s">
        <v>29</v>
      </c>
      <c r="G1729" t="s">
        <v>37</v>
      </c>
      <c r="H1729" t="s">
        <v>67</v>
      </c>
      <c r="I1729" t="s">
        <v>51</v>
      </c>
      <c r="J1729" s="3">
        <v>420000</v>
      </c>
      <c r="K1729">
        <v>6</v>
      </c>
      <c r="L1729" t="s">
        <v>33</v>
      </c>
      <c r="M1729" s="3">
        <v>336000</v>
      </c>
      <c r="N1729" s="3">
        <f>Table1[[#This Row],[Unit Price]]*Table1[[#This Row],[Quantity]]</f>
        <v>2520000</v>
      </c>
      <c r="O1729" s="3">
        <f>Table1[[#This Row],[Cost Price]]*Table1[[#This Row],[Quantity]]</f>
        <v>2016000</v>
      </c>
      <c r="P1729" s="3">
        <f>Table1[[#This Row],[Revenue]]-Table1[[#This Row],[COGS]]</f>
        <v>504000</v>
      </c>
      <c r="Q1729" s="1">
        <v>1728</v>
      </c>
    </row>
    <row r="1730" spans="1:17">
      <c r="A1730" t="s">
        <v>137</v>
      </c>
      <c r="B1730" t="str">
        <f>TEXT(Table1[[#This Row],[Date]],"MMMM")</f>
        <v>April</v>
      </c>
      <c r="C1730" t="str">
        <f>TEXT(Table1[[#This Row],[Date]],"DDDD")</f>
        <v>Wednesday</v>
      </c>
      <c r="D1730" t="s">
        <v>44</v>
      </c>
      <c r="E1730" t="s">
        <v>53</v>
      </c>
      <c r="F1730" t="s">
        <v>41</v>
      </c>
      <c r="G1730" t="s">
        <v>30</v>
      </c>
      <c r="H1730" t="s">
        <v>62</v>
      </c>
      <c r="I1730" t="s">
        <v>51</v>
      </c>
      <c r="J1730" s="3">
        <v>150000</v>
      </c>
      <c r="K1730">
        <v>9</v>
      </c>
      <c r="L1730" t="s">
        <v>58</v>
      </c>
      <c r="M1730" s="3">
        <v>120000</v>
      </c>
      <c r="N1730" s="3">
        <f>Table1[[#This Row],[Unit Price]]*Table1[[#This Row],[Quantity]]</f>
        <v>1350000</v>
      </c>
      <c r="O1730" s="3">
        <f>Table1[[#This Row],[Cost Price]]*Table1[[#This Row],[Quantity]]</f>
        <v>1080000</v>
      </c>
      <c r="P1730" s="3">
        <f>Table1[[#This Row],[Revenue]]-Table1[[#This Row],[COGS]]</f>
        <v>270000</v>
      </c>
      <c r="Q1730" s="1">
        <v>1729</v>
      </c>
    </row>
    <row r="1731" spans="1:17">
      <c r="A1731" t="s">
        <v>166</v>
      </c>
      <c r="B1731" t="str">
        <f>TEXT(Table1[[#This Row],[Date]],"MMMM")</f>
        <v>January</v>
      </c>
      <c r="C1731" t="str">
        <f>TEXT(Table1[[#This Row],[Date]],"DDDD")</f>
        <v>Thursday</v>
      </c>
      <c r="D1731" t="s">
        <v>35</v>
      </c>
      <c r="E1731" t="s">
        <v>45</v>
      </c>
      <c r="F1731" t="s">
        <v>29</v>
      </c>
      <c r="G1731" t="s">
        <v>37</v>
      </c>
      <c r="H1731" t="s">
        <v>38</v>
      </c>
      <c r="I1731" t="s">
        <v>39</v>
      </c>
      <c r="J1731" s="3">
        <v>30000</v>
      </c>
      <c r="K1731">
        <v>3</v>
      </c>
      <c r="L1731" t="s">
        <v>47</v>
      </c>
      <c r="M1731" s="3">
        <v>24000</v>
      </c>
      <c r="N1731" s="3">
        <f>Table1[[#This Row],[Unit Price]]*Table1[[#This Row],[Quantity]]</f>
        <v>90000</v>
      </c>
      <c r="O1731" s="3">
        <f>Table1[[#This Row],[Cost Price]]*Table1[[#This Row],[Quantity]]</f>
        <v>72000</v>
      </c>
      <c r="P1731" s="3">
        <f>Table1[[#This Row],[Revenue]]-Table1[[#This Row],[COGS]]</f>
        <v>18000</v>
      </c>
      <c r="Q1731" s="1">
        <v>1730</v>
      </c>
    </row>
    <row r="1732" spans="1:17">
      <c r="A1732" t="s">
        <v>161</v>
      </c>
      <c r="B1732" t="str">
        <f>TEXT(Table1[[#This Row],[Date]],"MMMM")</f>
        <v>March</v>
      </c>
      <c r="C1732" t="str">
        <f>TEXT(Table1[[#This Row],[Date]],"DDDD")</f>
        <v>Thursday</v>
      </c>
      <c r="D1732" t="s">
        <v>35</v>
      </c>
      <c r="E1732" t="s">
        <v>45</v>
      </c>
      <c r="F1732" t="s">
        <v>29</v>
      </c>
      <c r="G1732" t="s">
        <v>37</v>
      </c>
      <c r="H1732" t="s">
        <v>38</v>
      </c>
      <c r="I1732" t="s">
        <v>39</v>
      </c>
      <c r="J1732" s="3">
        <v>30000</v>
      </c>
      <c r="K1732">
        <v>4</v>
      </c>
      <c r="L1732" t="s">
        <v>65</v>
      </c>
      <c r="M1732" s="3">
        <v>24000</v>
      </c>
      <c r="N1732" s="3">
        <f>Table1[[#This Row],[Unit Price]]*Table1[[#This Row],[Quantity]]</f>
        <v>120000</v>
      </c>
      <c r="O1732" s="3">
        <f>Table1[[#This Row],[Cost Price]]*Table1[[#This Row],[Quantity]]</f>
        <v>96000</v>
      </c>
      <c r="P1732" s="3">
        <f>Table1[[#This Row],[Revenue]]-Table1[[#This Row],[COGS]]</f>
        <v>24000</v>
      </c>
      <c r="Q1732" s="1">
        <v>1731</v>
      </c>
    </row>
    <row r="1733" spans="1:17">
      <c r="A1733" t="s">
        <v>105</v>
      </c>
      <c r="B1733" t="str">
        <f>TEXT(Table1[[#This Row],[Date]],"MMMM")</f>
        <v>March</v>
      </c>
      <c r="C1733" t="str">
        <f>TEXT(Table1[[#This Row],[Date]],"DDDD")</f>
        <v>Friday</v>
      </c>
      <c r="D1733" t="s">
        <v>49</v>
      </c>
      <c r="E1733" t="s">
        <v>36</v>
      </c>
      <c r="F1733" t="s">
        <v>41</v>
      </c>
      <c r="G1733" t="s">
        <v>30</v>
      </c>
      <c r="H1733" t="s">
        <v>46</v>
      </c>
      <c r="I1733" t="s">
        <v>39</v>
      </c>
      <c r="J1733" s="3">
        <v>60000</v>
      </c>
      <c r="K1733">
        <v>4</v>
      </c>
      <c r="L1733" t="s">
        <v>65</v>
      </c>
      <c r="M1733" s="3">
        <v>48000</v>
      </c>
      <c r="N1733" s="3">
        <f>Table1[[#This Row],[Unit Price]]*Table1[[#This Row],[Quantity]]</f>
        <v>240000</v>
      </c>
      <c r="O1733" s="3">
        <f>Table1[[#This Row],[Cost Price]]*Table1[[#This Row],[Quantity]]</f>
        <v>192000</v>
      </c>
      <c r="P1733" s="3">
        <f>Table1[[#This Row],[Revenue]]-Table1[[#This Row],[COGS]]</f>
        <v>48000</v>
      </c>
      <c r="Q1733" s="1">
        <v>1732</v>
      </c>
    </row>
    <row r="1734" spans="1:17">
      <c r="A1734" t="s">
        <v>74</v>
      </c>
      <c r="B1734" t="str">
        <f>TEXT(Table1[[#This Row],[Date]],"MMMM")</f>
        <v>February</v>
      </c>
      <c r="C1734" t="str">
        <f>TEXT(Table1[[#This Row],[Date]],"DDDD")</f>
        <v>Monday</v>
      </c>
      <c r="D1734" t="s">
        <v>49</v>
      </c>
      <c r="E1734" t="s">
        <v>45</v>
      </c>
      <c r="F1734" t="s">
        <v>29</v>
      </c>
      <c r="G1734" t="s">
        <v>37</v>
      </c>
      <c r="H1734" t="s">
        <v>71</v>
      </c>
      <c r="I1734" t="s">
        <v>51</v>
      </c>
      <c r="J1734" s="3">
        <v>250000</v>
      </c>
      <c r="K1734">
        <v>8</v>
      </c>
      <c r="L1734" t="s">
        <v>33</v>
      </c>
      <c r="M1734" s="3">
        <v>200000</v>
      </c>
      <c r="N1734" s="3">
        <f>Table1[[#This Row],[Unit Price]]*Table1[[#This Row],[Quantity]]</f>
        <v>2000000</v>
      </c>
      <c r="O1734" s="3">
        <f>Table1[[#This Row],[Cost Price]]*Table1[[#This Row],[Quantity]]</f>
        <v>1600000</v>
      </c>
      <c r="P1734" s="3">
        <f>Table1[[#This Row],[Revenue]]-Table1[[#This Row],[COGS]]</f>
        <v>400000</v>
      </c>
      <c r="Q1734" s="1">
        <v>1733</v>
      </c>
    </row>
    <row r="1735" spans="1:17">
      <c r="A1735" t="s">
        <v>173</v>
      </c>
      <c r="B1735" t="str">
        <f>TEXT(Table1[[#This Row],[Date]],"MMMM")</f>
        <v>March</v>
      </c>
      <c r="C1735" t="str">
        <f>TEXT(Table1[[#This Row],[Date]],"DDDD")</f>
        <v>Saturday</v>
      </c>
      <c r="D1735" t="s">
        <v>49</v>
      </c>
      <c r="E1735" t="s">
        <v>53</v>
      </c>
      <c r="F1735" t="s">
        <v>41</v>
      </c>
      <c r="G1735" t="s">
        <v>30</v>
      </c>
      <c r="H1735" t="s">
        <v>38</v>
      </c>
      <c r="I1735" t="s">
        <v>39</v>
      </c>
      <c r="J1735" s="3">
        <v>30000</v>
      </c>
      <c r="K1735">
        <v>6</v>
      </c>
      <c r="L1735" t="s">
        <v>47</v>
      </c>
      <c r="M1735" s="3">
        <v>24000</v>
      </c>
      <c r="N1735" s="3">
        <f>Table1[[#This Row],[Unit Price]]*Table1[[#This Row],[Quantity]]</f>
        <v>180000</v>
      </c>
      <c r="O1735" s="3">
        <f>Table1[[#This Row],[Cost Price]]*Table1[[#This Row],[Quantity]]</f>
        <v>144000</v>
      </c>
      <c r="P1735" s="3">
        <f>Table1[[#This Row],[Revenue]]-Table1[[#This Row],[COGS]]</f>
        <v>36000</v>
      </c>
      <c r="Q1735" s="1">
        <v>1734</v>
      </c>
    </row>
    <row r="1736" spans="1:17">
      <c r="A1736" t="s">
        <v>86</v>
      </c>
      <c r="B1736" t="str">
        <f>TEXT(Table1[[#This Row],[Date]],"MMMM")</f>
        <v>February</v>
      </c>
      <c r="C1736" t="str">
        <f>TEXT(Table1[[#This Row],[Date]],"DDDD")</f>
        <v>Thursday</v>
      </c>
      <c r="D1736" t="s">
        <v>44</v>
      </c>
      <c r="E1736" t="s">
        <v>36</v>
      </c>
      <c r="F1736" t="s">
        <v>41</v>
      </c>
      <c r="G1736" t="s">
        <v>37</v>
      </c>
      <c r="H1736" t="s">
        <v>71</v>
      </c>
      <c r="I1736" t="s">
        <v>51</v>
      </c>
      <c r="J1736" s="3">
        <v>250000</v>
      </c>
      <c r="K1736">
        <v>1</v>
      </c>
      <c r="L1736" t="s">
        <v>42</v>
      </c>
      <c r="M1736" s="3">
        <v>200000</v>
      </c>
      <c r="N1736" s="3">
        <f>Table1[[#This Row],[Unit Price]]*Table1[[#This Row],[Quantity]]</f>
        <v>250000</v>
      </c>
      <c r="O1736" s="3">
        <f>Table1[[#This Row],[Cost Price]]*Table1[[#This Row],[Quantity]]</f>
        <v>200000</v>
      </c>
      <c r="P1736" s="3">
        <f>Table1[[#This Row],[Revenue]]-Table1[[#This Row],[COGS]]</f>
        <v>50000</v>
      </c>
      <c r="Q1736" s="1">
        <v>1735</v>
      </c>
    </row>
    <row r="1737" spans="1:17">
      <c r="A1737" t="s">
        <v>103</v>
      </c>
      <c r="B1737" t="str">
        <f>TEXT(Table1[[#This Row],[Date]],"MMMM")</f>
        <v>March</v>
      </c>
      <c r="C1737" t="str">
        <f>TEXT(Table1[[#This Row],[Date]],"DDDD")</f>
        <v>Wednesday</v>
      </c>
      <c r="D1737" t="s">
        <v>27</v>
      </c>
      <c r="E1737" t="s">
        <v>28</v>
      </c>
      <c r="F1737" t="s">
        <v>29</v>
      </c>
      <c r="G1737" t="s">
        <v>30</v>
      </c>
      <c r="H1737" t="s">
        <v>31</v>
      </c>
      <c r="I1737" t="s">
        <v>32</v>
      </c>
      <c r="J1737" s="3">
        <v>85000</v>
      </c>
      <c r="K1737">
        <v>1</v>
      </c>
      <c r="L1737" t="s">
        <v>58</v>
      </c>
      <c r="M1737" s="3">
        <v>68000</v>
      </c>
      <c r="N1737" s="3">
        <f>Table1[[#This Row],[Unit Price]]*Table1[[#This Row],[Quantity]]</f>
        <v>85000</v>
      </c>
      <c r="O1737" s="3">
        <f>Table1[[#This Row],[Cost Price]]*Table1[[#This Row],[Quantity]]</f>
        <v>68000</v>
      </c>
      <c r="P1737" s="3">
        <f>Table1[[#This Row],[Revenue]]-Table1[[#This Row],[COGS]]</f>
        <v>17000</v>
      </c>
      <c r="Q1737" s="1">
        <v>1736</v>
      </c>
    </row>
    <row r="1738" spans="1:17">
      <c r="A1738" t="s">
        <v>95</v>
      </c>
      <c r="B1738" t="str">
        <f>TEXT(Table1[[#This Row],[Date]],"MMMM")</f>
        <v>February</v>
      </c>
      <c r="C1738" t="str">
        <f>TEXT(Table1[[#This Row],[Date]],"DDDD")</f>
        <v>Saturday</v>
      </c>
      <c r="D1738" t="s">
        <v>49</v>
      </c>
      <c r="E1738" t="s">
        <v>28</v>
      </c>
      <c r="F1738" t="s">
        <v>41</v>
      </c>
      <c r="G1738" t="s">
        <v>37</v>
      </c>
      <c r="H1738" t="s">
        <v>38</v>
      </c>
      <c r="I1738" t="s">
        <v>39</v>
      </c>
      <c r="J1738" s="3">
        <v>30000</v>
      </c>
      <c r="K1738">
        <v>9</v>
      </c>
      <c r="L1738" t="s">
        <v>33</v>
      </c>
      <c r="M1738" s="3">
        <v>24000</v>
      </c>
      <c r="N1738" s="3">
        <f>Table1[[#This Row],[Unit Price]]*Table1[[#This Row],[Quantity]]</f>
        <v>270000</v>
      </c>
      <c r="O1738" s="3">
        <f>Table1[[#This Row],[Cost Price]]*Table1[[#This Row],[Quantity]]</f>
        <v>216000</v>
      </c>
      <c r="P1738" s="3">
        <f>Table1[[#This Row],[Revenue]]-Table1[[#This Row],[COGS]]</f>
        <v>54000</v>
      </c>
      <c r="Q1738" s="1">
        <v>1737</v>
      </c>
    </row>
    <row r="1739" spans="1:17">
      <c r="A1739" t="s">
        <v>108</v>
      </c>
      <c r="B1739" t="str">
        <f>TEXT(Table1[[#This Row],[Date]],"MMMM")</f>
        <v>April</v>
      </c>
      <c r="C1739" t="str">
        <f>TEXT(Table1[[#This Row],[Date]],"DDDD")</f>
        <v>Thursday</v>
      </c>
      <c r="D1739" t="s">
        <v>44</v>
      </c>
      <c r="E1739" t="s">
        <v>53</v>
      </c>
      <c r="F1739" t="s">
        <v>41</v>
      </c>
      <c r="G1739" t="s">
        <v>37</v>
      </c>
      <c r="H1739" t="s">
        <v>38</v>
      </c>
      <c r="I1739" t="s">
        <v>39</v>
      </c>
      <c r="J1739" s="3">
        <v>30000</v>
      </c>
      <c r="K1739">
        <v>3</v>
      </c>
      <c r="L1739" t="s">
        <v>33</v>
      </c>
      <c r="M1739" s="3">
        <v>24000</v>
      </c>
      <c r="N1739" s="3">
        <f>Table1[[#This Row],[Unit Price]]*Table1[[#This Row],[Quantity]]</f>
        <v>90000</v>
      </c>
      <c r="O1739" s="3">
        <f>Table1[[#This Row],[Cost Price]]*Table1[[#This Row],[Quantity]]</f>
        <v>72000</v>
      </c>
      <c r="P1739" s="3">
        <f>Table1[[#This Row],[Revenue]]-Table1[[#This Row],[COGS]]</f>
        <v>18000</v>
      </c>
      <c r="Q1739" s="1">
        <v>1738</v>
      </c>
    </row>
    <row r="1740" spans="1:17">
      <c r="A1740" t="s">
        <v>127</v>
      </c>
      <c r="B1740" t="str">
        <f>TEXT(Table1[[#This Row],[Date]],"MMMM")</f>
        <v>January</v>
      </c>
      <c r="C1740" t="str">
        <f>TEXT(Table1[[#This Row],[Date]],"DDDD")</f>
        <v>Tuesday</v>
      </c>
      <c r="D1740" t="s">
        <v>44</v>
      </c>
      <c r="E1740" t="s">
        <v>28</v>
      </c>
      <c r="F1740" t="s">
        <v>41</v>
      </c>
      <c r="G1740" t="s">
        <v>37</v>
      </c>
      <c r="H1740" t="s">
        <v>62</v>
      </c>
      <c r="I1740" t="s">
        <v>51</v>
      </c>
      <c r="J1740" s="3">
        <v>150000</v>
      </c>
      <c r="K1740">
        <v>8</v>
      </c>
      <c r="L1740" t="s">
        <v>47</v>
      </c>
      <c r="M1740" s="3">
        <v>120000</v>
      </c>
      <c r="N1740" s="3">
        <f>Table1[[#This Row],[Unit Price]]*Table1[[#This Row],[Quantity]]</f>
        <v>1200000</v>
      </c>
      <c r="O1740" s="3">
        <f>Table1[[#This Row],[Cost Price]]*Table1[[#This Row],[Quantity]]</f>
        <v>960000</v>
      </c>
      <c r="P1740" s="3">
        <f>Table1[[#This Row],[Revenue]]-Table1[[#This Row],[COGS]]</f>
        <v>240000</v>
      </c>
      <c r="Q1740" s="1">
        <v>1739</v>
      </c>
    </row>
    <row r="1741" spans="1:17">
      <c r="A1741" t="s">
        <v>111</v>
      </c>
      <c r="B1741" t="str">
        <f>TEXT(Table1[[#This Row],[Date]],"MMMM")</f>
        <v>February</v>
      </c>
      <c r="C1741" t="str">
        <f>TEXT(Table1[[#This Row],[Date]],"DDDD")</f>
        <v>Wednesday</v>
      </c>
      <c r="D1741" t="s">
        <v>49</v>
      </c>
      <c r="E1741" t="s">
        <v>45</v>
      </c>
      <c r="F1741" t="s">
        <v>29</v>
      </c>
      <c r="G1741" t="s">
        <v>37</v>
      </c>
      <c r="H1741" t="s">
        <v>31</v>
      </c>
      <c r="I1741" t="s">
        <v>32</v>
      </c>
      <c r="J1741" s="3">
        <v>85000</v>
      </c>
      <c r="K1741">
        <v>4</v>
      </c>
      <c r="L1741" t="s">
        <v>42</v>
      </c>
      <c r="M1741" s="3">
        <v>68000</v>
      </c>
      <c r="N1741" s="3">
        <f>Table1[[#This Row],[Unit Price]]*Table1[[#This Row],[Quantity]]</f>
        <v>340000</v>
      </c>
      <c r="O1741" s="3">
        <f>Table1[[#This Row],[Cost Price]]*Table1[[#This Row],[Quantity]]</f>
        <v>272000</v>
      </c>
      <c r="P1741" s="3">
        <f>Table1[[#This Row],[Revenue]]-Table1[[#This Row],[COGS]]</f>
        <v>68000</v>
      </c>
      <c r="Q1741" s="1">
        <v>1740</v>
      </c>
    </row>
    <row r="1742" spans="1:17">
      <c r="A1742" t="s">
        <v>68</v>
      </c>
      <c r="B1742" t="str">
        <f>TEXT(Table1[[#This Row],[Date]],"MMMM")</f>
        <v>March</v>
      </c>
      <c r="C1742" t="str">
        <f>TEXT(Table1[[#This Row],[Date]],"DDDD")</f>
        <v>Monday</v>
      </c>
      <c r="D1742" t="s">
        <v>27</v>
      </c>
      <c r="E1742" t="s">
        <v>45</v>
      </c>
      <c r="F1742" t="s">
        <v>41</v>
      </c>
      <c r="G1742" t="s">
        <v>37</v>
      </c>
      <c r="H1742" t="s">
        <v>56</v>
      </c>
      <c r="I1742" t="s">
        <v>32</v>
      </c>
      <c r="J1742" s="3">
        <v>320000</v>
      </c>
      <c r="K1742">
        <v>3</v>
      </c>
      <c r="L1742" t="s">
        <v>47</v>
      </c>
      <c r="M1742" s="3">
        <v>256000</v>
      </c>
      <c r="N1742" s="3">
        <f>Table1[[#This Row],[Unit Price]]*Table1[[#This Row],[Quantity]]</f>
        <v>960000</v>
      </c>
      <c r="O1742" s="3">
        <f>Table1[[#This Row],[Cost Price]]*Table1[[#This Row],[Quantity]]</f>
        <v>768000</v>
      </c>
      <c r="P1742" s="3">
        <f>Table1[[#This Row],[Revenue]]-Table1[[#This Row],[COGS]]</f>
        <v>192000</v>
      </c>
      <c r="Q1742" s="1">
        <v>1741</v>
      </c>
    </row>
    <row r="1743" spans="1:17">
      <c r="A1743" t="s">
        <v>173</v>
      </c>
      <c r="B1743" t="str">
        <f>TEXT(Table1[[#This Row],[Date]],"MMMM")</f>
        <v>March</v>
      </c>
      <c r="C1743" t="str">
        <f>TEXT(Table1[[#This Row],[Date]],"DDDD")</f>
        <v>Saturday</v>
      </c>
      <c r="D1743" t="s">
        <v>35</v>
      </c>
      <c r="E1743" t="s">
        <v>53</v>
      </c>
      <c r="F1743" t="s">
        <v>29</v>
      </c>
      <c r="G1743" t="s">
        <v>30</v>
      </c>
      <c r="H1743" t="s">
        <v>46</v>
      </c>
      <c r="I1743" t="s">
        <v>39</v>
      </c>
      <c r="J1743" s="3">
        <v>60000</v>
      </c>
      <c r="K1743">
        <v>7</v>
      </c>
      <c r="L1743" t="s">
        <v>42</v>
      </c>
      <c r="M1743" s="3">
        <v>48000</v>
      </c>
      <c r="N1743" s="3">
        <f>Table1[[#This Row],[Unit Price]]*Table1[[#This Row],[Quantity]]</f>
        <v>420000</v>
      </c>
      <c r="O1743" s="3">
        <f>Table1[[#This Row],[Cost Price]]*Table1[[#This Row],[Quantity]]</f>
        <v>336000</v>
      </c>
      <c r="P1743" s="3">
        <f>Table1[[#This Row],[Revenue]]-Table1[[#This Row],[COGS]]</f>
        <v>84000</v>
      </c>
      <c r="Q1743" s="1">
        <v>1742</v>
      </c>
    </row>
    <row r="1744" spans="1:17">
      <c r="A1744" t="s">
        <v>131</v>
      </c>
      <c r="B1744" t="str">
        <f>TEXT(Table1[[#This Row],[Date]],"MMMM")</f>
        <v>March</v>
      </c>
      <c r="C1744" t="str">
        <f>TEXT(Table1[[#This Row],[Date]],"DDDD")</f>
        <v>Friday</v>
      </c>
      <c r="D1744" t="s">
        <v>35</v>
      </c>
      <c r="E1744" t="s">
        <v>53</v>
      </c>
      <c r="F1744" t="s">
        <v>41</v>
      </c>
      <c r="G1744" t="s">
        <v>37</v>
      </c>
      <c r="H1744" t="s">
        <v>50</v>
      </c>
      <c r="I1744" t="s">
        <v>51</v>
      </c>
      <c r="J1744" s="3">
        <v>300000</v>
      </c>
      <c r="K1744">
        <v>6</v>
      </c>
      <c r="L1744" t="s">
        <v>42</v>
      </c>
      <c r="M1744" s="3">
        <v>240000</v>
      </c>
      <c r="N1744" s="3">
        <f>Table1[[#This Row],[Unit Price]]*Table1[[#This Row],[Quantity]]</f>
        <v>1800000</v>
      </c>
      <c r="O1744" s="3">
        <f>Table1[[#This Row],[Cost Price]]*Table1[[#This Row],[Quantity]]</f>
        <v>1440000</v>
      </c>
      <c r="P1744" s="3">
        <f>Table1[[#This Row],[Revenue]]-Table1[[#This Row],[COGS]]</f>
        <v>360000</v>
      </c>
      <c r="Q1744" s="1">
        <v>1743</v>
      </c>
    </row>
    <row r="1745" spans="1:17">
      <c r="A1745" t="s">
        <v>75</v>
      </c>
      <c r="B1745" t="str">
        <f>TEXT(Table1[[#This Row],[Date]],"MMMM")</f>
        <v>March</v>
      </c>
      <c r="C1745" t="str">
        <f>TEXT(Table1[[#This Row],[Date]],"DDDD")</f>
        <v>Monday</v>
      </c>
      <c r="D1745" t="s">
        <v>44</v>
      </c>
      <c r="E1745" t="s">
        <v>53</v>
      </c>
      <c r="F1745" t="s">
        <v>29</v>
      </c>
      <c r="G1745" t="s">
        <v>30</v>
      </c>
      <c r="H1745" t="s">
        <v>62</v>
      </c>
      <c r="I1745" t="s">
        <v>51</v>
      </c>
      <c r="J1745" s="3">
        <v>150000</v>
      </c>
      <c r="K1745">
        <v>6</v>
      </c>
      <c r="L1745" t="s">
        <v>58</v>
      </c>
      <c r="M1745" s="3">
        <v>120000</v>
      </c>
      <c r="N1745" s="3">
        <f>Table1[[#This Row],[Unit Price]]*Table1[[#This Row],[Quantity]]</f>
        <v>900000</v>
      </c>
      <c r="O1745" s="3">
        <f>Table1[[#This Row],[Cost Price]]*Table1[[#This Row],[Quantity]]</f>
        <v>720000</v>
      </c>
      <c r="P1745" s="3">
        <f>Table1[[#This Row],[Revenue]]-Table1[[#This Row],[COGS]]</f>
        <v>180000</v>
      </c>
      <c r="Q1745" s="1">
        <v>1744</v>
      </c>
    </row>
    <row r="1746" spans="1:17">
      <c r="A1746" t="s">
        <v>130</v>
      </c>
      <c r="B1746" t="str">
        <f>TEXT(Table1[[#This Row],[Date]],"MMMM")</f>
        <v>January</v>
      </c>
      <c r="C1746" t="str">
        <f>TEXT(Table1[[#This Row],[Date]],"DDDD")</f>
        <v>Monday</v>
      </c>
      <c r="D1746" t="s">
        <v>44</v>
      </c>
      <c r="E1746" t="s">
        <v>28</v>
      </c>
      <c r="F1746" t="s">
        <v>41</v>
      </c>
      <c r="G1746" t="s">
        <v>30</v>
      </c>
      <c r="H1746" t="s">
        <v>50</v>
      </c>
      <c r="I1746" t="s">
        <v>51</v>
      </c>
      <c r="J1746" s="3">
        <v>300000</v>
      </c>
      <c r="K1746">
        <v>10</v>
      </c>
      <c r="L1746" t="s">
        <v>47</v>
      </c>
      <c r="M1746" s="3">
        <v>240000</v>
      </c>
      <c r="N1746" s="3">
        <f>Table1[[#This Row],[Unit Price]]*Table1[[#This Row],[Quantity]]</f>
        <v>3000000</v>
      </c>
      <c r="O1746" s="3">
        <f>Table1[[#This Row],[Cost Price]]*Table1[[#This Row],[Quantity]]</f>
        <v>2400000</v>
      </c>
      <c r="P1746" s="3">
        <f>Table1[[#This Row],[Revenue]]-Table1[[#This Row],[COGS]]</f>
        <v>600000</v>
      </c>
      <c r="Q1746" s="1">
        <v>1745</v>
      </c>
    </row>
    <row r="1747" spans="1:17">
      <c r="A1747" t="s">
        <v>111</v>
      </c>
      <c r="B1747" t="str">
        <f>TEXT(Table1[[#This Row],[Date]],"MMMM")</f>
        <v>February</v>
      </c>
      <c r="C1747" t="str">
        <f>TEXT(Table1[[#This Row],[Date]],"DDDD")</f>
        <v>Wednesday</v>
      </c>
      <c r="D1747" t="s">
        <v>35</v>
      </c>
      <c r="E1747" t="s">
        <v>36</v>
      </c>
      <c r="F1747" t="s">
        <v>29</v>
      </c>
      <c r="G1747" t="s">
        <v>30</v>
      </c>
      <c r="H1747" t="s">
        <v>67</v>
      </c>
      <c r="I1747" t="s">
        <v>51</v>
      </c>
      <c r="J1747" s="3">
        <v>420000</v>
      </c>
      <c r="K1747">
        <v>1</v>
      </c>
      <c r="L1747" t="s">
        <v>33</v>
      </c>
      <c r="M1747" s="3">
        <v>336000</v>
      </c>
      <c r="N1747" s="3">
        <f>Table1[[#This Row],[Unit Price]]*Table1[[#This Row],[Quantity]]</f>
        <v>420000</v>
      </c>
      <c r="O1747" s="3">
        <f>Table1[[#This Row],[Cost Price]]*Table1[[#This Row],[Quantity]]</f>
        <v>336000</v>
      </c>
      <c r="P1747" s="3">
        <f>Table1[[#This Row],[Revenue]]-Table1[[#This Row],[COGS]]</f>
        <v>84000</v>
      </c>
      <c r="Q1747" s="1">
        <v>1746</v>
      </c>
    </row>
    <row r="1748" spans="1:17">
      <c r="A1748" t="s">
        <v>131</v>
      </c>
      <c r="B1748" t="str">
        <f>TEXT(Table1[[#This Row],[Date]],"MMMM")</f>
        <v>March</v>
      </c>
      <c r="C1748" t="str">
        <f>TEXT(Table1[[#This Row],[Date]],"DDDD")</f>
        <v>Friday</v>
      </c>
      <c r="D1748" t="s">
        <v>27</v>
      </c>
      <c r="E1748" t="s">
        <v>28</v>
      </c>
      <c r="F1748" t="s">
        <v>29</v>
      </c>
      <c r="G1748" t="s">
        <v>37</v>
      </c>
      <c r="H1748" t="s">
        <v>46</v>
      </c>
      <c r="I1748" t="s">
        <v>39</v>
      </c>
      <c r="J1748" s="3">
        <v>60000</v>
      </c>
      <c r="K1748">
        <v>1</v>
      </c>
      <c r="L1748" t="s">
        <v>42</v>
      </c>
      <c r="M1748" s="3">
        <v>48000</v>
      </c>
      <c r="N1748" s="3">
        <f>Table1[[#This Row],[Unit Price]]*Table1[[#This Row],[Quantity]]</f>
        <v>60000</v>
      </c>
      <c r="O1748" s="3">
        <f>Table1[[#This Row],[Cost Price]]*Table1[[#This Row],[Quantity]]</f>
        <v>48000</v>
      </c>
      <c r="P1748" s="3">
        <f>Table1[[#This Row],[Revenue]]-Table1[[#This Row],[COGS]]</f>
        <v>12000</v>
      </c>
      <c r="Q1748" s="1">
        <v>1747</v>
      </c>
    </row>
    <row r="1749" spans="1:17">
      <c r="A1749" t="s">
        <v>148</v>
      </c>
      <c r="B1749" t="str">
        <f>TEXT(Table1[[#This Row],[Date]],"MMMM")</f>
        <v>February</v>
      </c>
      <c r="C1749" t="str">
        <f>TEXT(Table1[[#This Row],[Date]],"DDDD")</f>
        <v>Sunday</v>
      </c>
      <c r="D1749" t="s">
        <v>49</v>
      </c>
      <c r="E1749" t="s">
        <v>36</v>
      </c>
      <c r="F1749" t="s">
        <v>29</v>
      </c>
      <c r="G1749" t="s">
        <v>30</v>
      </c>
      <c r="H1749" t="s">
        <v>62</v>
      </c>
      <c r="I1749" t="s">
        <v>51</v>
      </c>
      <c r="J1749" s="3">
        <v>150000</v>
      </c>
      <c r="K1749">
        <v>10</v>
      </c>
      <c r="L1749" t="s">
        <v>69</v>
      </c>
      <c r="M1749" s="3">
        <v>120000</v>
      </c>
      <c r="N1749" s="3">
        <f>Table1[[#This Row],[Unit Price]]*Table1[[#This Row],[Quantity]]</f>
        <v>1500000</v>
      </c>
      <c r="O1749" s="3">
        <f>Table1[[#This Row],[Cost Price]]*Table1[[#This Row],[Quantity]]</f>
        <v>1200000</v>
      </c>
      <c r="P1749" s="3">
        <f>Table1[[#This Row],[Revenue]]-Table1[[#This Row],[COGS]]</f>
        <v>300000</v>
      </c>
      <c r="Q1749" s="1">
        <v>1748</v>
      </c>
    </row>
    <row r="1750" spans="1:17">
      <c r="A1750" t="s">
        <v>100</v>
      </c>
      <c r="B1750" t="str">
        <f>TEXT(Table1[[#This Row],[Date]],"MMMM")</f>
        <v>January</v>
      </c>
      <c r="C1750" t="str">
        <f>TEXT(Table1[[#This Row],[Date]],"DDDD")</f>
        <v>Monday</v>
      </c>
      <c r="D1750" t="s">
        <v>27</v>
      </c>
      <c r="E1750" t="s">
        <v>53</v>
      </c>
      <c r="F1750" t="s">
        <v>29</v>
      </c>
      <c r="G1750" t="s">
        <v>30</v>
      </c>
      <c r="H1750" t="s">
        <v>54</v>
      </c>
      <c r="I1750" t="s">
        <v>39</v>
      </c>
      <c r="J1750" s="3">
        <v>180000</v>
      </c>
      <c r="K1750">
        <v>10</v>
      </c>
      <c r="L1750" t="s">
        <v>47</v>
      </c>
      <c r="M1750" s="3">
        <v>144000</v>
      </c>
      <c r="N1750" s="3">
        <f>Table1[[#This Row],[Unit Price]]*Table1[[#This Row],[Quantity]]</f>
        <v>1800000</v>
      </c>
      <c r="O1750" s="3">
        <f>Table1[[#This Row],[Cost Price]]*Table1[[#This Row],[Quantity]]</f>
        <v>1440000</v>
      </c>
      <c r="P1750" s="3">
        <f>Table1[[#This Row],[Revenue]]-Table1[[#This Row],[COGS]]</f>
        <v>360000</v>
      </c>
      <c r="Q1750" s="1">
        <v>1749</v>
      </c>
    </row>
    <row r="1751" spans="1:17">
      <c r="A1751" t="s">
        <v>109</v>
      </c>
      <c r="B1751" t="str">
        <f>TEXT(Table1[[#This Row],[Date]],"MMMM")</f>
        <v>March</v>
      </c>
      <c r="C1751" t="str">
        <f>TEXT(Table1[[#This Row],[Date]],"DDDD")</f>
        <v>Monday</v>
      </c>
      <c r="D1751" t="s">
        <v>44</v>
      </c>
      <c r="E1751" t="s">
        <v>28</v>
      </c>
      <c r="F1751" t="s">
        <v>41</v>
      </c>
      <c r="G1751" t="s">
        <v>30</v>
      </c>
      <c r="H1751" t="s">
        <v>62</v>
      </c>
      <c r="I1751" t="s">
        <v>51</v>
      </c>
      <c r="J1751" s="3">
        <v>150000</v>
      </c>
      <c r="K1751">
        <v>10</v>
      </c>
      <c r="L1751" t="s">
        <v>42</v>
      </c>
      <c r="M1751" s="3">
        <v>120000</v>
      </c>
      <c r="N1751" s="3">
        <f>Table1[[#This Row],[Unit Price]]*Table1[[#This Row],[Quantity]]</f>
        <v>1500000</v>
      </c>
      <c r="O1751" s="3">
        <f>Table1[[#This Row],[Cost Price]]*Table1[[#This Row],[Quantity]]</f>
        <v>1200000</v>
      </c>
      <c r="P1751" s="3">
        <f>Table1[[#This Row],[Revenue]]-Table1[[#This Row],[COGS]]</f>
        <v>300000</v>
      </c>
      <c r="Q1751" s="1">
        <v>1750</v>
      </c>
    </row>
    <row r="1752" spans="1:17">
      <c r="A1752" t="s">
        <v>175</v>
      </c>
      <c r="B1752" t="str">
        <f>TEXT(Table1[[#This Row],[Date]],"MMMM")</f>
        <v>January</v>
      </c>
      <c r="C1752" t="str">
        <f>TEXT(Table1[[#This Row],[Date]],"DDDD")</f>
        <v>Wednesday</v>
      </c>
      <c r="D1752" t="s">
        <v>35</v>
      </c>
      <c r="E1752" t="s">
        <v>28</v>
      </c>
      <c r="F1752" t="s">
        <v>41</v>
      </c>
      <c r="G1752" t="s">
        <v>37</v>
      </c>
      <c r="H1752" t="s">
        <v>46</v>
      </c>
      <c r="I1752" t="s">
        <v>39</v>
      </c>
      <c r="J1752" s="3">
        <v>60000</v>
      </c>
      <c r="K1752">
        <v>8</v>
      </c>
      <c r="L1752" t="s">
        <v>69</v>
      </c>
      <c r="M1752" s="3">
        <v>48000</v>
      </c>
      <c r="N1752" s="3">
        <f>Table1[[#This Row],[Unit Price]]*Table1[[#This Row],[Quantity]]</f>
        <v>480000</v>
      </c>
      <c r="O1752" s="3">
        <f>Table1[[#This Row],[Cost Price]]*Table1[[#This Row],[Quantity]]</f>
        <v>384000</v>
      </c>
      <c r="P1752" s="3">
        <f>Table1[[#This Row],[Revenue]]-Table1[[#This Row],[COGS]]</f>
        <v>96000</v>
      </c>
      <c r="Q1752" s="1">
        <v>1751</v>
      </c>
    </row>
    <row r="1753" spans="1:17">
      <c r="A1753" t="s">
        <v>110</v>
      </c>
      <c r="B1753" t="str">
        <f>TEXT(Table1[[#This Row],[Date]],"MMMM")</f>
        <v>January</v>
      </c>
      <c r="C1753" t="str">
        <f>TEXT(Table1[[#This Row],[Date]],"DDDD")</f>
        <v>Thursday</v>
      </c>
      <c r="D1753" t="s">
        <v>49</v>
      </c>
      <c r="E1753" t="s">
        <v>28</v>
      </c>
      <c r="F1753" t="s">
        <v>29</v>
      </c>
      <c r="G1753" t="s">
        <v>30</v>
      </c>
      <c r="H1753" t="s">
        <v>73</v>
      </c>
      <c r="I1753" t="s">
        <v>39</v>
      </c>
      <c r="J1753" s="3">
        <v>220000</v>
      </c>
      <c r="K1753">
        <v>7</v>
      </c>
      <c r="L1753" t="s">
        <v>65</v>
      </c>
      <c r="M1753" s="3">
        <v>176000</v>
      </c>
      <c r="N1753" s="3">
        <f>Table1[[#This Row],[Unit Price]]*Table1[[#This Row],[Quantity]]</f>
        <v>1540000</v>
      </c>
      <c r="O1753" s="3">
        <f>Table1[[#This Row],[Cost Price]]*Table1[[#This Row],[Quantity]]</f>
        <v>1232000</v>
      </c>
      <c r="P1753" s="3">
        <f>Table1[[#This Row],[Revenue]]-Table1[[#This Row],[COGS]]</f>
        <v>308000</v>
      </c>
      <c r="Q1753" s="1">
        <v>1752</v>
      </c>
    </row>
    <row r="1754" spans="1:17">
      <c r="A1754" t="s">
        <v>153</v>
      </c>
      <c r="B1754" t="str">
        <f>TEXT(Table1[[#This Row],[Date]],"MMMM")</f>
        <v>March</v>
      </c>
      <c r="C1754" t="str">
        <f>TEXT(Table1[[#This Row],[Date]],"DDDD")</f>
        <v>Tuesday</v>
      </c>
      <c r="D1754" t="s">
        <v>35</v>
      </c>
      <c r="E1754" t="s">
        <v>53</v>
      </c>
      <c r="F1754" t="s">
        <v>29</v>
      </c>
      <c r="G1754" t="s">
        <v>30</v>
      </c>
      <c r="H1754" t="s">
        <v>38</v>
      </c>
      <c r="I1754" t="s">
        <v>39</v>
      </c>
      <c r="J1754" s="3">
        <v>30000</v>
      </c>
      <c r="K1754">
        <v>1</v>
      </c>
      <c r="L1754" t="s">
        <v>58</v>
      </c>
      <c r="M1754" s="3">
        <v>24000</v>
      </c>
      <c r="N1754" s="3">
        <f>Table1[[#This Row],[Unit Price]]*Table1[[#This Row],[Quantity]]</f>
        <v>30000</v>
      </c>
      <c r="O1754" s="3">
        <f>Table1[[#This Row],[Cost Price]]*Table1[[#This Row],[Quantity]]</f>
        <v>24000</v>
      </c>
      <c r="P1754" s="3">
        <f>Table1[[#This Row],[Revenue]]-Table1[[#This Row],[COGS]]</f>
        <v>6000</v>
      </c>
      <c r="Q1754" s="1">
        <v>1753</v>
      </c>
    </row>
    <row r="1755" spans="1:17">
      <c r="A1755" t="s">
        <v>82</v>
      </c>
      <c r="B1755" t="str">
        <f>TEXT(Table1[[#This Row],[Date]],"MMMM")</f>
        <v>March</v>
      </c>
      <c r="C1755" t="str">
        <f>TEXT(Table1[[#This Row],[Date]],"DDDD")</f>
        <v>Saturday</v>
      </c>
      <c r="D1755" t="s">
        <v>35</v>
      </c>
      <c r="E1755" t="s">
        <v>36</v>
      </c>
      <c r="F1755" t="s">
        <v>41</v>
      </c>
      <c r="G1755" t="s">
        <v>37</v>
      </c>
      <c r="H1755" t="s">
        <v>62</v>
      </c>
      <c r="I1755" t="s">
        <v>51</v>
      </c>
      <c r="J1755" s="3">
        <v>150000</v>
      </c>
      <c r="K1755">
        <v>6</v>
      </c>
      <c r="L1755" t="s">
        <v>33</v>
      </c>
      <c r="M1755" s="3">
        <v>120000</v>
      </c>
      <c r="N1755" s="3">
        <f>Table1[[#This Row],[Unit Price]]*Table1[[#This Row],[Quantity]]</f>
        <v>900000</v>
      </c>
      <c r="O1755" s="3">
        <f>Table1[[#This Row],[Cost Price]]*Table1[[#This Row],[Quantity]]</f>
        <v>720000</v>
      </c>
      <c r="P1755" s="3">
        <f>Table1[[#This Row],[Revenue]]-Table1[[#This Row],[COGS]]</f>
        <v>180000</v>
      </c>
      <c r="Q1755" s="1">
        <v>1754</v>
      </c>
    </row>
    <row r="1756" spans="1:17">
      <c r="A1756" t="s">
        <v>86</v>
      </c>
      <c r="B1756" t="str">
        <f>TEXT(Table1[[#This Row],[Date]],"MMMM")</f>
        <v>February</v>
      </c>
      <c r="C1756" t="str">
        <f>TEXT(Table1[[#This Row],[Date]],"DDDD")</f>
        <v>Thursday</v>
      </c>
      <c r="D1756" t="s">
        <v>44</v>
      </c>
      <c r="E1756" t="s">
        <v>53</v>
      </c>
      <c r="F1756" t="s">
        <v>29</v>
      </c>
      <c r="G1756" t="s">
        <v>37</v>
      </c>
      <c r="H1756" t="s">
        <v>38</v>
      </c>
      <c r="I1756" t="s">
        <v>39</v>
      </c>
      <c r="J1756" s="3">
        <v>30000</v>
      </c>
      <c r="K1756">
        <v>4</v>
      </c>
      <c r="L1756" t="s">
        <v>33</v>
      </c>
      <c r="M1756" s="3">
        <v>24000</v>
      </c>
      <c r="N1756" s="3">
        <f>Table1[[#This Row],[Unit Price]]*Table1[[#This Row],[Quantity]]</f>
        <v>120000</v>
      </c>
      <c r="O1756" s="3">
        <f>Table1[[#This Row],[Cost Price]]*Table1[[#This Row],[Quantity]]</f>
        <v>96000</v>
      </c>
      <c r="P1756" s="3">
        <f>Table1[[#This Row],[Revenue]]-Table1[[#This Row],[COGS]]</f>
        <v>24000</v>
      </c>
      <c r="Q1756" s="1">
        <v>1755</v>
      </c>
    </row>
    <row r="1757" spans="1:17">
      <c r="A1757" t="s">
        <v>125</v>
      </c>
      <c r="B1757" t="str">
        <f>TEXT(Table1[[#This Row],[Date]],"MMMM")</f>
        <v>February</v>
      </c>
      <c r="C1757" t="str">
        <f>TEXT(Table1[[#This Row],[Date]],"DDDD")</f>
        <v>Tuesday</v>
      </c>
      <c r="D1757" t="s">
        <v>44</v>
      </c>
      <c r="E1757" t="s">
        <v>45</v>
      </c>
      <c r="F1757" t="s">
        <v>41</v>
      </c>
      <c r="G1757" t="s">
        <v>30</v>
      </c>
      <c r="H1757" t="s">
        <v>73</v>
      </c>
      <c r="I1757" t="s">
        <v>39</v>
      </c>
      <c r="J1757" s="3">
        <v>220000</v>
      </c>
      <c r="K1757">
        <v>1</v>
      </c>
      <c r="L1757" t="s">
        <v>47</v>
      </c>
      <c r="M1757" s="3">
        <v>176000</v>
      </c>
      <c r="N1757" s="3">
        <f>Table1[[#This Row],[Unit Price]]*Table1[[#This Row],[Quantity]]</f>
        <v>220000</v>
      </c>
      <c r="O1757" s="3">
        <f>Table1[[#This Row],[Cost Price]]*Table1[[#This Row],[Quantity]]</f>
        <v>176000</v>
      </c>
      <c r="P1757" s="3">
        <f>Table1[[#This Row],[Revenue]]-Table1[[#This Row],[COGS]]</f>
        <v>44000</v>
      </c>
      <c r="Q1757" s="1">
        <v>1756</v>
      </c>
    </row>
    <row r="1758" spans="1:17">
      <c r="A1758" t="s">
        <v>161</v>
      </c>
      <c r="B1758" t="str">
        <f>TEXT(Table1[[#This Row],[Date]],"MMMM")</f>
        <v>March</v>
      </c>
      <c r="C1758" t="str">
        <f>TEXT(Table1[[#This Row],[Date]],"DDDD")</f>
        <v>Thursday</v>
      </c>
      <c r="D1758" t="s">
        <v>44</v>
      </c>
      <c r="E1758" t="s">
        <v>36</v>
      </c>
      <c r="F1758" t="s">
        <v>29</v>
      </c>
      <c r="G1758" t="s">
        <v>30</v>
      </c>
      <c r="H1758" t="s">
        <v>46</v>
      </c>
      <c r="I1758" t="s">
        <v>39</v>
      </c>
      <c r="J1758" s="3">
        <v>60000</v>
      </c>
      <c r="K1758">
        <v>6</v>
      </c>
      <c r="L1758" t="s">
        <v>42</v>
      </c>
      <c r="M1758" s="3">
        <v>48000</v>
      </c>
      <c r="N1758" s="3">
        <f>Table1[[#This Row],[Unit Price]]*Table1[[#This Row],[Quantity]]</f>
        <v>360000</v>
      </c>
      <c r="O1758" s="3">
        <f>Table1[[#This Row],[Cost Price]]*Table1[[#This Row],[Quantity]]</f>
        <v>288000</v>
      </c>
      <c r="P1758" s="3">
        <f>Table1[[#This Row],[Revenue]]-Table1[[#This Row],[COGS]]</f>
        <v>72000</v>
      </c>
      <c r="Q1758" s="1">
        <v>1757</v>
      </c>
    </row>
    <row r="1759" spans="1:17">
      <c r="A1759" t="s">
        <v>173</v>
      </c>
      <c r="B1759" t="str">
        <f>TEXT(Table1[[#This Row],[Date]],"MMMM")</f>
        <v>March</v>
      </c>
      <c r="C1759" t="str">
        <f>TEXT(Table1[[#This Row],[Date]],"DDDD")</f>
        <v>Saturday</v>
      </c>
      <c r="D1759" t="s">
        <v>44</v>
      </c>
      <c r="E1759" t="s">
        <v>28</v>
      </c>
      <c r="F1759" t="s">
        <v>41</v>
      </c>
      <c r="G1759" t="s">
        <v>37</v>
      </c>
      <c r="H1759" t="s">
        <v>71</v>
      </c>
      <c r="I1759" t="s">
        <v>51</v>
      </c>
      <c r="J1759" s="3">
        <v>250000</v>
      </c>
      <c r="K1759">
        <v>7</v>
      </c>
      <c r="L1759" t="s">
        <v>69</v>
      </c>
      <c r="M1759" s="3">
        <v>200000</v>
      </c>
      <c r="N1759" s="3">
        <f>Table1[[#This Row],[Unit Price]]*Table1[[#This Row],[Quantity]]</f>
        <v>1750000</v>
      </c>
      <c r="O1759" s="3">
        <f>Table1[[#This Row],[Cost Price]]*Table1[[#This Row],[Quantity]]</f>
        <v>1400000</v>
      </c>
      <c r="P1759" s="3">
        <f>Table1[[#This Row],[Revenue]]-Table1[[#This Row],[COGS]]</f>
        <v>350000</v>
      </c>
      <c r="Q1759" s="1">
        <v>1758</v>
      </c>
    </row>
    <row r="1760" spans="1:17">
      <c r="A1760" t="s">
        <v>149</v>
      </c>
      <c r="B1760" t="str">
        <f>TEXT(Table1[[#This Row],[Date]],"MMMM")</f>
        <v>April</v>
      </c>
      <c r="C1760" t="str">
        <f>TEXT(Table1[[#This Row],[Date]],"DDDD")</f>
        <v>Saturday</v>
      </c>
      <c r="D1760" t="s">
        <v>35</v>
      </c>
      <c r="E1760" t="s">
        <v>45</v>
      </c>
      <c r="F1760" t="s">
        <v>41</v>
      </c>
      <c r="G1760" t="s">
        <v>30</v>
      </c>
      <c r="H1760" t="s">
        <v>73</v>
      </c>
      <c r="I1760" t="s">
        <v>39</v>
      </c>
      <c r="J1760" s="3">
        <v>220000</v>
      </c>
      <c r="K1760">
        <v>9</v>
      </c>
      <c r="L1760" t="s">
        <v>58</v>
      </c>
      <c r="M1760" s="3">
        <v>176000</v>
      </c>
      <c r="N1760" s="3">
        <f>Table1[[#This Row],[Unit Price]]*Table1[[#This Row],[Quantity]]</f>
        <v>1980000</v>
      </c>
      <c r="O1760" s="3">
        <f>Table1[[#This Row],[Cost Price]]*Table1[[#This Row],[Quantity]]</f>
        <v>1584000</v>
      </c>
      <c r="P1760" s="3">
        <f>Table1[[#This Row],[Revenue]]-Table1[[#This Row],[COGS]]</f>
        <v>396000</v>
      </c>
      <c r="Q1760" s="1">
        <v>1759</v>
      </c>
    </row>
    <row r="1761" spans="1:17">
      <c r="A1761" t="s">
        <v>167</v>
      </c>
      <c r="B1761" t="str">
        <f>TEXT(Table1[[#This Row],[Date]],"MMMM")</f>
        <v>April</v>
      </c>
      <c r="C1761" t="str">
        <f>TEXT(Table1[[#This Row],[Date]],"DDDD")</f>
        <v>Wednesday</v>
      </c>
      <c r="D1761" t="s">
        <v>44</v>
      </c>
      <c r="E1761" t="s">
        <v>45</v>
      </c>
      <c r="F1761" t="s">
        <v>41</v>
      </c>
      <c r="G1761" t="s">
        <v>30</v>
      </c>
      <c r="H1761" t="s">
        <v>38</v>
      </c>
      <c r="I1761" t="s">
        <v>39</v>
      </c>
      <c r="J1761" s="3">
        <v>30000</v>
      </c>
      <c r="K1761">
        <v>10</v>
      </c>
      <c r="L1761" t="s">
        <v>47</v>
      </c>
      <c r="M1761" s="3">
        <v>24000</v>
      </c>
      <c r="N1761" s="3">
        <f>Table1[[#This Row],[Unit Price]]*Table1[[#This Row],[Quantity]]</f>
        <v>300000</v>
      </c>
      <c r="O1761" s="3">
        <f>Table1[[#This Row],[Cost Price]]*Table1[[#This Row],[Quantity]]</f>
        <v>240000</v>
      </c>
      <c r="P1761" s="3">
        <f>Table1[[#This Row],[Revenue]]-Table1[[#This Row],[COGS]]</f>
        <v>60000</v>
      </c>
      <c r="Q1761" s="1">
        <v>1760</v>
      </c>
    </row>
    <row r="1762" spans="1:17">
      <c r="A1762" t="s">
        <v>114</v>
      </c>
      <c r="B1762" t="str">
        <f>TEXT(Table1[[#This Row],[Date]],"MMMM")</f>
        <v>April</v>
      </c>
      <c r="C1762" t="str">
        <f>TEXT(Table1[[#This Row],[Date]],"DDDD")</f>
        <v>Sunday</v>
      </c>
      <c r="D1762" t="s">
        <v>35</v>
      </c>
      <c r="E1762" t="s">
        <v>45</v>
      </c>
      <c r="F1762" t="s">
        <v>29</v>
      </c>
      <c r="G1762" t="s">
        <v>30</v>
      </c>
      <c r="H1762" t="s">
        <v>62</v>
      </c>
      <c r="I1762" t="s">
        <v>51</v>
      </c>
      <c r="J1762" s="3">
        <v>150000</v>
      </c>
      <c r="K1762">
        <v>1</v>
      </c>
      <c r="L1762" t="s">
        <v>42</v>
      </c>
      <c r="M1762" s="3">
        <v>120000</v>
      </c>
      <c r="N1762" s="3">
        <f>Table1[[#This Row],[Unit Price]]*Table1[[#This Row],[Quantity]]</f>
        <v>150000</v>
      </c>
      <c r="O1762" s="3">
        <f>Table1[[#This Row],[Cost Price]]*Table1[[#This Row],[Quantity]]</f>
        <v>120000</v>
      </c>
      <c r="P1762" s="3">
        <f>Table1[[#This Row],[Revenue]]-Table1[[#This Row],[COGS]]</f>
        <v>30000</v>
      </c>
      <c r="Q1762" s="1">
        <v>1761</v>
      </c>
    </row>
    <row r="1763" spans="1:17">
      <c r="A1763" t="s">
        <v>117</v>
      </c>
      <c r="B1763" t="str">
        <f>TEXT(Table1[[#This Row],[Date]],"MMMM")</f>
        <v>January</v>
      </c>
      <c r="C1763" t="str">
        <f>TEXT(Table1[[#This Row],[Date]],"DDDD")</f>
        <v>Wednesday</v>
      </c>
      <c r="D1763" t="s">
        <v>49</v>
      </c>
      <c r="E1763" t="s">
        <v>28</v>
      </c>
      <c r="F1763" t="s">
        <v>29</v>
      </c>
      <c r="G1763" t="s">
        <v>30</v>
      </c>
      <c r="H1763" t="s">
        <v>54</v>
      </c>
      <c r="I1763" t="s">
        <v>39</v>
      </c>
      <c r="J1763" s="3">
        <v>180000</v>
      </c>
      <c r="K1763">
        <v>3</v>
      </c>
      <c r="L1763" t="s">
        <v>58</v>
      </c>
      <c r="M1763" s="3">
        <v>144000</v>
      </c>
      <c r="N1763" s="3">
        <f>Table1[[#This Row],[Unit Price]]*Table1[[#This Row],[Quantity]]</f>
        <v>540000</v>
      </c>
      <c r="O1763" s="3">
        <f>Table1[[#This Row],[Cost Price]]*Table1[[#This Row],[Quantity]]</f>
        <v>432000</v>
      </c>
      <c r="P1763" s="3">
        <f>Table1[[#This Row],[Revenue]]-Table1[[#This Row],[COGS]]</f>
        <v>108000</v>
      </c>
      <c r="Q1763" s="1">
        <v>1762</v>
      </c>
    </row>
    <row r="1764" spans="1:17">
      <c r="A1764" t="s">
        <v>161</v>
      </c>
      <c r="B1764" t="str">
        <f>TEXT(Table1[[#This Row],[Date]],"MMMM")</f>
        <v>March</v>
      </c>
      <c r="C1764" t="str">
        <f>TEXT(Table1[[#This Row],[Date]],"DDDD")</f>
        <v>Thursday</v>
      </c>
      <c r="D1764" t="s">
        <v>44</v>
      </c>
      <c r="E1764" t="s">
        <v>28</v>
      </c>
      <c r="F1764" t="s">
        <v>41</v>
      </c>
      <c r="G1764" t="s">
        <v>30</v>
      </c>
      <c r="H1764" t="s">
        <v>67</v>
      </c>
      <c r="I1764" t="s">
        <v>51</v>
      </c>
      <c r="J1764" s="3">
        <v>420000</v>
      </c>
      <c r="K1764">
        <v>10</v>
      </c>
      <c r="L1764" t="s">
        <v>58</v>
      </c>
      <c r="M1764" s="3">
        <v>336000</v>
      </c>
      <c r="N1764" s="3">
        <f>Table1[[#This Row],[Unit Price]]*Table1[[#This Row],[Quantity]]</f>
        <v>4200000</v>
      </c>
      <c r="O1764" s="3">
        <f>Table1[[#This Row],[Cost Price]]*Table1[[#This Row],[Quantity]]</f>
        <v>3360000</v>
      </c>
      <c r="P1764" s="3">
        <f>Table1[[#This Row],[Revenue]]-Table1[[#This Row],[COGS]]</f>
        <v>840000</v>
      </c>
      <c r="Q1764" s="1">
        <v>1763</v>
      </c>
    </row>
    <row r="1765" spans="1:17">
      <c r="A1765" t="s">
        <v>76</v>
      </c>
      <c r="B1765" t="str">
        <f>TEXT(Table1[[#This Row],[Date]],"MMMM")</f>
        <v>May</v>
      </c>
      <c r="C1765" t="str">
        <f>TEXT(Table1[[#This Row],[Date]],"DDDD")</f>
        <v>Thursday</v>
      </c>
      <c r="D1765" t="s">
        <v>49</v>
      </c>
      <c r="E1765" t="s">
        <v>28</v>
      </c>
      <c r="F1765" t="s">
        <v>41</v>
      </c>
      <c r="G1765" t="s">
        <v>30</v>
      </c>
      <c r="H1765" t="s">
        <v>31</v>
      </c>
      <c r="I1765" t="s">
        <v>32</v>
      </c>
      <c r="J1765" s="3">
        <v>85000</v>
      </c>
      <c r="K1765">
        <v>2</v>
      </c>
      <c r="L1765" t="s">
        <v>65</v>
      </c>
      <c r="M1765" s="3">
        <v>68000</v>
      </c>
      <c r="N1765" s="3">
        <f>Table1[[#This Row],[Unit Price]]*Table1[[#This Row],[Quantity]]</f>
        <v>170000</v>
      </c>
      <c r="O1765" s="3">
        <f>Table1[[#This Row],[Cost Price]]*Table1[[#This Row],[Quantity]]</f>
        <v>136000</v>
      </c>
      <c r="P1765" s="3">
        <f>Table1[[#This Row],[Revenue]]-Table1[[#This Row],[COGS]]</f>
        <v>34000</v>
      </c>
      <c r="Q1765" s="1">
        <v>1764</v>
      </c>
    </row>
    <row r="1766" spans="1:17">
      <c r="A1766" t="s">
        <v>131</v>
      </c>
      <c r="B1766" t="str">
        <f>TEXT(Table1[[#This Row],[Date]],"MMMM")</f>
        <v>March</v>
      </c>
      <c r="C1766" t="str">
        <f>TEXT(Table1[[#This Row],[Date]],"DDDD")</f>
        <v>Friday</v>
      </c>
      <c r="D1766" t="s">
        <v>27</v>
      </c>
      <c r="E1766" t="s">
        <v>45</v>
      </c>
      <c r="F1766" t="s">
        <v>41</v>
      </c>
      <c r="G1766" t="s">
        <v>30</v>
      </c>
      <c r="H1766" t="s">
        <v>46</v>
      </c>
      <c r="I1766" t="s">
        <v>39</v>
      </c>
      <c r="J1766" s="3">
        <v>60000</v>
      </c>
      <c r="K1766">
        <v>4</v>
      </c>
      <c r="L1766" t="s">
        <v>65</v>
      </c>
      <c r="M1766" s="3">
        <v>48000</v>
      </c>
      <c r="N1766" s="3">
        <f>Table1[[#This Row],[Unit Price]]*Table1[[#This Row],[Quantity]]</f>
        <v>240000</v>
      </c>
      <c r="O1766" s="3">
        <f>Table1[[#This Row],[Cost Price]]*Table1[[#This Row],[Quantity]]</f>
        <v>192000</v>
      </c>
      <c r="P1766" s="3">
        <f>Table1[[#This Row],[Revenue]]-Table1[[#This Row],[COGS]]</f>
        <v>48000</v>
      </c>
      <c r="Q1766" s="1">
        <v>1765</v>
      </c>
    </row>
    <row r="1767" spans="1:17">
      <c r="A1767" t="s">
        <v>150</v>
      </c>
      <c r="B1767" t="str">
        <f>TEXT(Table1[[#This Row],[Date]],"MMMM")</f>
        <v>January</v>
      </c>
      <c r="C1767" t="str">
        <f>TEXT(Table1[[#This Row],[Date]],"DDDD")</f>
        <v>Sunday</v>
      </c>
      <c r="D1767" t="s">
        <v>49</v>
      </c>
      <c r="E1767" t="s">
        <v>36</v>
      </c>
      <c r="F1767" t="s">
        <v>41</v>
      </c>
      <c r="G1767" t="s">
        <v>30</v>
      </c>
      <c r="H1767" t="s">
        <v>62</v>
      </c>
      <c r="I1767" t="s">
        <v>51</v>
      </c>
      <c r="J1767" s="3">
        <v>150000</v>
      </c>
      <c r="K1767">
        <v>9</v>
      </c>
      <c r="L1767" t="s">
        <v>65</v>
      </c>
      <c r="M1767" s="3">
        <v>120000</v>
      </c>
      <c r="N1767" s="3">
        <f>Table1[[#This Row],[Unit Price]]*Table1[[#This Row],[Quantity]]</f>
        <v>1350000</v>
      </c>
      <c r="O1767" s="3">
        <f>Table1[[#This Row],[Cost Price]]*Table1[[#This Row],[Quantity]]</f>
        <v>1080000</v>
      </c>
      <c r="P1767" s="3">
        <f>Table1[[#This Row],[Revenue]]-Table1[[#This Row],[COGS]]</f>
        <v>270000</v>
      </c>
      <c r="Q1767" s="1">
        <v>1766</v>
      </c>
    </row>
    <row r="1768" spans="1:17">
      <c r="A1768" t="s">
        <v>83</v>
      </c>
      <c r="B1768" t="str">
        <f>TEXT(Table1[[#This Row],[Date]],"MMMM")</f>
        <v>January</v>
      </c>
      <c r="C1768" t="str">
        <f>TEXT(Table1[[#This Row],[Date]],"DDDD")</f>
        <v>Tuesday</v>
      </c>
      <c r="D1768" t="s">
        <v>44</v>
      </c>
      <c r="E1768" t="s">
        <v>53</v>
      </c>
      <c r="F1768" t="s">
        <v>29</v>
      </c>
      <c r="G1768" t="s">
        <v>37</v>
      </c>
      <c r="H1768" t="s">
        <v>67</v>
      </c>
      <c r="I1768" t="s">
        <v>51</v>
      </c>
      <c r="J1768" s="3">
        <v>420000</v>
      </c>
      <c r="K1768">
        <v>1</v>
      </c>
      <c r="L1768" t="s">
        <v>58</v>
      </c>
      <c r="M1768" s="3">
        <v>336000</v>
      </c>
      <c r="N1768" s="3">
        <f>Table1[[#This Row],[Unit Price]]*Table1[[#This Row],[Quantity]]</f>
        <v>420000</v>
      </c>
      <c r="O1768" s="3">
        <f>Table1[[#This Row],[Cost Price]]*Table1[[#This Row],[Quantity]]</f>
        <v>336000</v>
      </c>
      <c r="P1768" s="3">
        <f>Table1[[#This Row],[Revenue]]-Table1[[#This Row],[COGS]]</f>
        <v>84000</v>
      </c>
      <c r="Q1768" s="1">
        <v>1767</v>
      </c>
    </row>
    <row r="1769" spans="1:17">
      <c r="A1769" t="s">
        <v>149</v>
      </c>
      <c r="B1769" t="str">
        <f>TEXT(Table1[[#This Row],[Date]],"MMMM")</f>
        <v>April</v>
      </c>
      <c r="C1769" t="str">
        <f>TEXT(Table1[[#This Row],[Date]],"DDDD")</f>
        <v>Saturday</v>
      </c>
      <c r="D1769" t="s">
        <v>35</v>
      </c>
      <c r="E1769" t="s">
        <v>36</v>
      </c>
      <c r="F1769" t="s">
        <v>29</v>
      </c>
      <c r="G1769" t="s">
        <v>30</v>
      </c>
      <c r="H1769" t="s">
        <v>67</v>
      </c>
      <c r="I1769" t="s">
        <v>51</v>
      </c>
      <c r="J1769" s="3">
        <v>420000</v>
      </c>
      <c r="K1769">
        <v>9</v>
      </c>
      <c r="L1769" t="s">
        <v>65</v>
      </c>
      <c r="M1769" s="3">
        <v>336000</v>
      </c>
      <c r="N1769" s="3">
        <f>Table1[[#This Row],[Unit Price]]*Table1[[#This Row],[Quantity]]</f>
        <v>3780000</v>
      </c>
      <c r="O1769" s="3">
        <f>Table1[[#This Row],[Cost Price]]*Table1[[#This Row],[Quantity]]</f>
        <v>3024000</v>
      </c>
      <c r="P1769" s="3">
        <f>Table1[[#This Row],[Revenue]]-Table1[[#This Row],[COGS]]</f>
        <v>756000</v>
      </c>
      <c r="Q1769" s="1">
        <v>1768</v>
      </c>
    </row>
    <row r="1770" spans="1:17">
      <c r="A1770" t="s">
        <v>63</v>
      </c>
      <c r="B1770" t="str">
        <f>TEXT(Table1[[#This Row],[Date]],"MMMM")</f>
        <v>January</v>
      </c>
      <c r="C1770" t="str">
        <f>TEXT(Table1[[#This Row],[Date]],"DDDD")</f>
        <v>Monday</v>
      </c>
      <c r="D1770" t="s">
        <v>27</v>
      </c>
      <c r="E1770" t="s">
        <v>53</v>
      </c>
      <c r="F1770" t="s">
        <v>41</v>
      </c>
      <c r="G1770" t="s">
        <v>37</v>
      </c>
      <c r="H1770" t="s">
        <v>67</v>
      </c>
      <c r="I1770" t="s">
        <v>51</v>
      </c>
      <c r="J1770" s="3">
        <v>420000</v>
      </c>
      <c r="K1770">
        <v>9</v>
      </c>
      <c r="L1770" t="s">
        <v>69</v>
      </c>
      <c r="M1770" s="3">
        <v>336000</v>
      </c>
      <c r="N1770" s="3">
        <f>Table1[[#This Row],[Unit Price]]*Table1[[#This Row],[Quantity]]</f>
        <v>3780000</v>
      </c>
      <c r="O1770" s="3">
        <f>Table1[[#This Row],[Cost Price]]*Table1[[#This Row],[Quantity]]</f>
        <v>3024000</v>
      </c>
      <c r="P1770" s="3">
        <f>Table1[[#This Row],[Revenue]]-Table1[[#This Row],[COGS]]</f>
        <v>756000</v>
      </c>
      <c r="Q1770" s="1">
        <v>1769</v>
      </c>
    </row>
    <row r="1771" spans="1:17">
      <c r="A1771" t="s">
        <v>160</v>
      </c>
      <c r="B1771" t="str">
        <f>TEXT(Table1[[#This Row],[Date]],"MMMM")</f>
        <v>January</v>
      </c>
      <c r="C1771" t="str">
        <f>TEXT(Table1[[#This Row],[Date]],"DDDD")</f>
        <v>Saturday</v>
      </c>
      <c r="D1771" t="s">
        <v>27</v>
      </c>
      <c r="E1771" t="s">
        <v>53</v>
      </c>
      <c r="F1771" t="s">
        <v>29</v>
      </c>
      <c r="G1771" t="s">
        <v>37</v>
      </c>
      <c r="H1771" t="s">
        <v>31</v>
      </c>
      <c r="I1771" t="s">
        <v>32</v>
      </c>
      <c r="J1771" s="3">
        <v>85000</v>
      </c>
      <c r="K1771">
        <v>6</v>
      </c>
      <c r="L1771" t="s">
        <v>42</v>
      </c>
      <c r="M1771" s="3">
        <v>68000</v>
      </c>
      <c r="N1771" s="3">
        <f>Table1[[#This Row],[Unit Price]]*Table1[[#This Row],[Quantity]]</f>
        <v>510000</v>
      </c>
      <c r="O1771" s="3">
        <f>Table1[[#This Row],[Cost Price]]*Table1[[#This Row],[Quantity]]</f>
        <v>408000</v>
      </c>
      <c r="P1771" s="3">
        <f>Table1[[#This Row],[Revenue]]-Table1[[#This Row],[COGS]]</f>
        <v>102000</v>
      </c>
      <c r="Q1771" s="1">
        <v>1770</v>
      </c>
    </row>
    <row r="1772" spans="1:17">
      <c r="A1772" t="s">
        <v>68</v>
      </c>
      <c r="B1772" t="str">
        <f>TEXT(Table1[[#This Row],[Date]],"MMMM")</f>
        <v>March</v>
      </c>
      <c r="C1772" t="str">
        <f>TEXT(Table1[[#This Row],[Date]],"DDDD")</f>
        <v>Monday</v>
      </c>
      <c r="D1772" t="s">
        <v>49</v>
      </c>
      <c r="E1772" t="s">
        <v>53</v>
      </c>
      <c r="F1772" t="s">
        <v>41</v>
      </c>
      <c r="G1772" t="s">
        <v>30</v>
      </c>
      <c r="H1772" t="s">
        <v>56</v>
      </c>
      <c r="I1772" t="s">
        <v>32</v>
      </c>
      <c r="J1772" s="3">
        <v>320000</v>
      </c>
      <c r="K1772">
        <v>3</v>
      </c>
      <c r="L1772" t="s">
        <v>58</v>
      </c>
      <c r="M1772" s="3">
        <v>256000</v>
      </c>
      <c r="N1772" s="3">
        <f>Table1[[#This Row],[Unit Price]]*Table1[[#This Row],[Quantity]]</f>
        <v>960000</v>
      </c>
      <c r="O1772" s="3">
        <f>Table1[[#This Row],[Cost Price]]*Table1[[#This Row],[Quantity]]</f>
        <v>768000</v>
      </c>
      <c r="P1772" s="3">
        <f>Table1[[#This Row],[Revenue]]-Table1[[#This Row],[COGS]]</f>
        <v>192000</v>
      </c>
      <c r="Q1772" s="1">
        <v>1771</v>
      </c>
    </row>
    <row r="1773" spans="1:17">
      <c r="A1773" t="s">
        <v>57</v>
      </c>
      <c r="B1773" t="str">
        <f>TEXT(Table1[[#This Row],[Date]],"MMMM")</f>
        <v>February</v>
      </c>
      <c r="C1773" t="str">
        <f>TEXT(Table1[[#This Row],[Date]],"DDDD")</f>
        <v>Thursday</v>
      </c>
      <c r="D1773" t="s">
        <v>49</v>
      </c>
      <c r="E1773" t="s">
        <v>36</v>
      </c>
      <c r="F1773" t="s">
        <v>41</v>
      </c>
      <c r="G1773" t="s">
        <v>30</v>
      </c>
      <c r="H1773" t="s">
        <v>54</v>
      </c>
      <c r="I1773" t="s">
        <v>39</v>
      </c>
      <c r="J1773" s="3">
        <v>180000</v>
      </c>
      <c r="K1773">
        <v>8</v>
      </c>
      <c r="L1773" t="s">
        <v>47</v>
      </c>
      <c r="M1773" s="3">
        <v>144000</v>
      </c>
      <c r="N1773" s="3">
        <f>Table1[[#This Row],[Unit Price]]*Table1[[#This Row],[Quantity]]</f>
        <v>1440000</v>
      </c>
      <c r="O1773" s="3">
        <f>Table1[[#This Row],[Cost Price]]*Table1[[#This Row],[Quantity]]</f>
        <v>1152000</v>
      </c>
      <c r="P1773" s="3">
        <f>Table1[[#This Row],[Revenue]]-Table1[[#This Row],[COGS]]</f>
        <v>288000</v>
      </c>
      <c r="Q1773" s="1">
        <v>1772</v>
      </c>
    </row>
    <row r="1774" spans="1:17">
      <c r="A1774" t="s">
        <v>158</v>
      </c>
      <c r="B1774" t="str">
        <f>TEXT(Table1[[#This Row],[Date]],"MMMM")</f>
        <v>January</v>
      </c>
      <c r="C1774" t="str">
        <f>TEXT(Table1[[#This Row],[Date]],"DDDD")</f>
        <v>Saturday</v>
      </c>
      <c r="D1774" t="s">
        <v>27</v>
      </c>
      <c r="E1774" t="s">
        <v>28</v>
      </c>
      <c r="F1774" t="s">
        <v>29</v>
      </c>
      <c r="G1774" t="s">
        <v>30</v>
      </c>
      <c r="H1774" t="s">
        <v>31</v>
      </c>
      <c r="I1774" t="s">
        <v>32</v>
      </c>
      <c r="J1774" s="3">
        <v>85000</v>
      </c>
      <c r="K1774">
        <v>6</v>
      </c>
      <c r="L1774" t="s">
        <v>58</v>
      </c>
      <c r="M1774" s="3">
        <v>68000</v>
      </c>
      <c r="N1774" s="3">
        <f>Table1[[#This Row],[Unit Price]]*Table1[[#This Row],[Quantity]]</f>
        <v>510000</v>
      </c>
      <c r="O1774" s="3">
        <f>Table1[[#This Row],[Cost Price]]*Table1[[#This Row],[Quantity]]</f>
        <v>408000</v>
      </c>
      <c r="P1774" s="3">
        <f>Table1[[#This Row],[Revenue]]-Table1[[#This Row],[COGS]]</f>
        <v>102000</v>
      </c>
      <c r="Q1774" s="1">
        <v>1773</v>
      </c>
    </row>
    <row r="1775" spans="1:17">
      <c r="A1775" t="s">
        <v>139</v>
      </c>
      <c r="B1775" t="str">
        <f>TEXT(Table1[[#This Row],[Date]],"MMMM")</f>
        <v>January</v>
      </c>
      <c r="C1775" t="str">
        <f>TEXT(Table1[[#This Row],[Date]],"DDDD")</f>
        <v>Monday</v>
      </c>
      <c r="D1775" t="s">
        <v>27</v>
      </c>
      <c r="E1775" t="s">
        <v>53</v>
      </c>
      <c r="F1775" t="s">
        <v>29</v>
      </c>
      <c r="G1775" t="s">
        <v>30</v>
      </c>
      <c r="H1775" t="s">
        <v>50</v>
      </c>
      <c r="I1775" t="s">
        <v>51</v>
      </c>
      <c r="J1775" s="3">
        <v>300000</v>
      </c>
      <c r="K1775">
        <v>3</v>
      </c>
      <c r="L1775" t="s">
        <v>33</v>
      </c>
      <c r="M1775" s="3">
        <v>240000</v>
      </c>
      <c r="N1775" s="3">
        <f>Table1[[#This Row],[Unit Price]]*Table1[[#This Row],[Quantity]]</f>
        <v>900000</v>
      </c>
      <c r="O1775" s="3">
        <f>Table1[[#This Row],[Cost Price]]*Table1[[#This Row],[Quantity]]</f>
        <v>720000</v>
      </c>
      <c r="P1775" s="3">
        <f>Table1[[#This Row],[Revenue]]-Table1[[#This Row],[COGS]]</f>
        <v>180000</v>
      </c>
      <c r="Q1775" s="1">
        <v>1774</v>
      </c>
    </row>
    <row r="1776" spans="1:17">
      <c r="A1776" t="s">
        <v>128</v>
      </c>
      <c r="B1776" t="str">
        <f>TEXT(Table1[[#This Row],[Date]],"MMMM")</f>
        <v>March</v>
      </c>
      <c r="C1776" t="str">
        <f>TEXT(Table1[[#This Row],[Date]],"DDDD")</f>
        <v>Friday</v>
      </c>
      <c r="D1776" t="s">
        <v>49</v>
      </c>
      <c r="E1776" t="s">
        <v>28</v>
      </c>
      <c r="F1776" t="s">
        <v>41</v>
      </c>
      <c r="G1776" t="s">
        <v>37</v>
      </c>
      <c r="H1776" t="s">
        <v>54</v>
      </c>
      <c r="I1776" t="s">
        <v>39</v>
      </c>
      <c r="J1776" s="3">
        <v>180000</v>
      </c>
      <c r="K1776">
        <v>1</v>
      </c>
      <c r="L1776" t="s">
        <v>47</v>
      </c>
      <c r="M1776" s="3">
        <v>144000</v>
      </c>
      <c r="N1776" s="3">
        <f>Table1[[#This Row],[Unit Price]]*Table1[[#This Row],[Quantity]]</f>
        <v>180000</v>
      </c>
      <c r="O1776" s="3">
        <f>Table1[[#This Row],[Cost Price]]*Table1[[#This Row],[Quantity]]</f>
        <v>144000</v>
      </c>
      <c r="P1776" s="3">
        <f>Table1[[#This Row],[Revenue]]-Table1[[#This Row],[COGS]]</f>
        <v>36000</v>
      </c>
      <c r="Q1776" s="1">
        <v>1775</v>
      </c>
    </row>
    <row r="1777" spans="1:17">
      <c r="A1777" t="s">
        <v>146</v>
      </c>
      <c r="B1777" t="str">
        <f>TEXT(Table1[[#This Row],[Date]],"MMMM")</f>
        <v>January</v>
      </c>
      <c r="C1777" t="str">
        <f>TEXT(Table1[[#This Row],[Date]],"DDDD")</f>
        <v>Tuesday</v>
      </c>
      <c r="D1777" t="s">
        <v>35</v>
      </c>
      <c r="E1777" t="s">
        <v>45</v>
      </c>
      <c r="F1777" t="s">
        <v>29</v>
      </c>
      <c r="G1777" t="s">
        <v>30</v>
      </c>
      <c r="H1777" t="s">
        <v>73</v>
      </c>
      <c r="I1777" t="s">
        <v>39</v>
      </c>
      <c r="J1777" s="3">
        <v>220000</v>
      </c>
      <c r="K1777">
        <v>1</v>
      </c>
      <c r="L1777" t="s">
        <v>65</v>
      </c>
      <c r="M1777" s="3">
        <v>176000</v>
      </c>
      <c r="N1777" s="3">
        <f>Table1[[#This Row],[Unit Price]]*Table1[[#This Row],[Quantity]]</f>
        <v>220000</v>
      </c>
      <c r="O1777" s="3">
        <f>Table1[[#This Row],[Cost Price]]*Table1[[#This Row],[Quantity]]</f>
        <v>176000</v>
      </c>
      <c r="P1777" s="3">
        <f>Table1[[#This Row],[Revenue]]-Table1[[#This Row],[COGS]]</f>
        <v>44000</v>
      </c>
      <c r="Q1777" s="1">
        <v>1776</v>
      </c>
    </row>
    <row r="1778" spans="1:17">
      <c r="A1778" t="s">
        <v>61</v>
      </c>
      <c r="B1778" t="str">
        <f>TEXT(Table1[[#This Row],[Date]],"MMMM")</f>
        <v>January</v>
      </c>
      <c r="C1778" t="str">
        <f>TEXT(Table1[[#This Row],[Date]],"DDDD")</f>
        <v>Friday</v>
      </c>
      <c r="D1778" t="s">
        <v>44</v>
      </c>
      <c r="E1778" t="s">
        <v>53</v>
      </c>
      <c r="F1778" t="s">
        <v>29</v>
      </c>
      <c r="G1778" t="s">
        <v>37</v>
      </c>
      <c r="H1778" t="s">
        <v>38</v>
      </c>
      <c r="I1778" t="s">
        <v>39</v>
      </c>
      <c r="J1778" s="3">
        <v>30000</v>
      </c>
      <c r="K1778">
        <v>1</v>
      </c>
      <c r="L1778" t="s">
        <v>65</v>
      </c>
      <c r="M1778" s="3">
        <v>24000</v>
      </c>
      <c r="N1778" s="3">
        <f>Table1[[#This Row],[Unit Price]]*Table1[[#This Row],[Quantity]]</f>
        <v>30000</v>
      </c>
      <c r="O1778" s="3">
        <f>Table1[[#This Row],[Cost Price]]*Table1[[#This Row],[Quantity]]</f>
        <v>24000</v>
      </c>
      <c r="P1778" s="3">
        <f>Table1[[#This Row],[Revenue]]-Table1[[#This Row],[COGS]]</f>
        <v>6000</v>
      </c>
      <c r="Q1778" s="1">
        <v>1777</v>
      </c>
    </row>
    <row r="1779" spans="1:17">
      <c r="A1779" t="s">
        <v>150</v>
      </c>
      <c r="B1779" t="str">
        <f>TEXT(Table1[[#This Row],[Date]],"MMMM")</f>
        <v>January</v>
      </c>
      <c r="C1779" t="str">
        <f>TEXT(Table1[[#This Row],[Date]],"DDDD")</f>
        <v>Sunday</v>
      </c>
      <c r="D1779" t="s">
        <v>35</v>
      </c>
      <c r="E1779" t="s">
        <v>28</v>
      </c>
      <c r="F1779" t="s">
        <v>41</v>
      </c>
      <c r="G1779" t="s">
        <v>37</v>
      </c>
      <c r="H1779" t="s">
        <v>46</v>
      </c>
      <c r="I1779" t="s">
        <v>39</v>
      </c>
      <c r="J1779" s="3">
        <v>60000</v>
      </c>
      <c r="K1779">
        <v>2</v>
      </c>
      <c r="L1779" t="s">
        <v>69</v>
      </c>
      <c r="M1779" s="3">
        <v>48000</v>
      </c>
      <c r="N1779" s="3">
        <f>Table1[[#This Row],[Unit Price]]*Table1[[#This Row],[Quantity]]</f>
        <v>120000</v>
      </c>
      <c r="O1779" s="3">
        <f>Table1[[#This Row],[Cost Price]]*Table1[[#This Row],[Quantity]]</f>
        <v>96000</v>
      </c>
      <c r="P1779" s="3">
        <f>Table1[[#This Row],[Revenue]]-Table1[[#This Row],[COGS]]</f>
        <v>24000</v>
      </c>
      <c r="Q1779" s="1">
        <v>1778</v>
      </c>
    </row>
    <row r="1780" spans="1:17">
      <c r="A1780" t="s">
        <v>75</v>
      </c>
      <c r="B1780" t="str">
        <f>TEXT(Table1[[#This Row],[Date]],"MMMM")</f>
        <v>March</v>
      </c>
      <c r="C1780" t="str">
        <f>TEXT(Table1[[#This Row],[Date]],"DDDD")</f>
        <v>Monday</v>
      </c>
      <c r="D1780" t="s">
        <v>27</v>
      </c>
      <c r="E1780" t="s">
        <v>36</v>
      </c>
      <c r="F1780" t="s">
        <v>29</v>
      </c>
      <c r="G1780" t="s">
        <v>37</v>
      </c>
      <c r="H1780" t="s">
        <v>71</v>
      </c>
      <c r="I1780" t="s">
        <v>51</v>
      </c>
      <c r="J1780" s="3">
        <v>250000</v>
      </c>
      <c r="K1780">
        <v>7</v>
      </c>
      <c r="L1780" t="s">
        <v>65</v>
      </c>
      <c r="M1780" s="3">
        <v>200000</v>
      </c>
      <c r="N1780" s="3">
        <f>Table1[[#This Row],[Unit Price]]*Table1[[#This Row],[Quantity]]</f>
        <v>1750000</v>
      </c>
      <c r="O1780" s="3">
        <f>Table1[[#This Row],[Cost Price]]*Table1[[#This Row],[Quantity]]</f>
        <v>1400000</v>
      </c>
      <c r="P1780" s="3">
        <f>Table1[[#This Row],[Revenue]]-Table1[[#This Row],[COGS]]</f>
        <v>350000</v>
      </c>
      <c r="Q1780" s="1">
        <v>1779</v>
      </c>
    </row>
    <row r="1781" spans="1:17">
      <c r="A1781" t="s">
        <v>176</v>
      </c>
      <c r="B1781" t="str">
        <f>TEXT(Table1[[#This Row],[Date]],"MMMM")</f>
        <v>January</v>
      </c>
      <c r="C1781" t="str">
        <f>TEXT(Table1[[#This Row],[Date]],"DDDD")</f>
        <v>Saturday</v>
      </c>
      <c r="D1781" t="s">
        <v>27</v>
      </c>
      <c r="E1781" t="s">
        <v>45</v>
      </c>
      <c r="F1781" t="s">
        <v>41</v>
      </c>
      <c r="G1781" t="s">
        <v>30</v>
      </c>
      <c r="H1781" t="s">
        <v>67</v>
      </c>
      <c r="I1781" t="s">
        <v>51</v>
      </c>
      <c r="J1781" s="3">
        <v>420000</v>
      </c>
      <c r="K1781">
        <v>10</v>
      </c>
      <c r="L1781" t="s">
        <v>47</v>
      </c>
      <c r="M1781" s="3">
        <v>336000</v>
      </c>
      <c r="N1781" s="3">
        <f>Table1[[#This Row],[Unit Price]]*Table1[[#This Row],[Quantity]]</f>
        <v>4200000</v>
      </c>
      <c r="O1781" s="3">
        <f>Table1[[#This Row],[Cost Price]]*Table1[[#This Row],[Quantity]]</f>
        <v>3360000</v>
      </c>
      <c r="P1781" s="3">
        <f>Table1[[#This Row],[Revenue]]-Table1[[#This Row],[COGS]]</f>
        <v>840000</v>
      </c>
      <c r="Q1781" s="1">
        <v>1780</v>
      </c>
    </row>
    <row r="1782" spans="1:17">
      <c r="A1782" t="s">
        <v>60</v>
      </c>
      <c r="B1782" t="str">
        <f>TEXT(Table1[[#This Row],[Date]],"MMMM")</f>
        <v>March</v>
      </c>
      <c r="C1782" t="str">
        <f>TEXT(Table1[[#This Row],[Date]],"DDDD")</f>
        <v>Wednesday</v>
      </c>
      <c r="D1782" t="s">
        <v>27</v>
      </c>
      <c r="E1782" t="s">
        <v>28</v>
      </c>
      <c r="F1782" t="s">
        <v>41</v>
      </c>
      <c r="G1782" t="s">
        <v>30</v>
      </c>
      <c r="H1782" t="s">
        <v>56</v>
      </c>
      <c r="I1782" t="s">
        <v>32</v>
      </c>
      <c r="J1782" s="3">
        <v>320000</v>
      </c>
      <c r="K1782">
        <v>10</v>
      </c>
      <c r="L1782" t="s">
        <v>58</v>
      </c>
      <c r="M1782" s="3">
        <v>256000</v>
      </c>
      <c r="N1782" s="3">
        <f>Table1[[#This Row],[Unit Price]]*Table1[[#This Row],[Quantity]]</f>
        <v>3200000</v>
      </c>
      <c r="O1782" s="3">
        <f>Table1[[#This Row],[Cost Price]]*Table1[[#This Row],[Quantity]]</f>
        <v>2560000</v>
      </c>
      <c r="P1782" s="3">
        <f>Table1[[#This Row],[Revenue]]-Table1[[#This Row],[COGS]]</f>
        <v>640000</v>
      </c>
      <c r="Q1782" s="1">
        <v>1781</v>
      </c>
    </row>
    <row r="1783" spans="1:17">
      <c r="A1783" t="s">
        <v>130</v>
      </c>
      <c r="B1783" t="str">
        <f>TEXT(Table1[[#This Row],[Date]],"MMMM")</f>
        <v>January</v>
      </c>
      <c r="C1783" t="str">
        <f>TEXT(Table1[[#This Row],[Date]],"DDDD")</f>
        <v>Monday</v>
      </c>
      <c r="D1783" t="s">
        <v>44</v>
      </c>
      <c r="E1783" t="s">
        <v>53</v>
      </c>
      <c r="F1783" t="s">
        <v>29</v>
      </c>
      <c r="G1783" t="s">
        <v>30</v>
      </c>
      <c r="H1783" t="s">
        <v>50</v>
      </c>
      <c r="I1783" t="s">
        <v>51</v>
      </c>
      <c r="J1783" s="3">
        <v>300000</v>
      </c>
      <c r="K1783">
        <v>1</v>
      </c>
      <c r="L1783" t="s">
        <v>47</v>
      </c>
      <c r="M1783" s="3">
        <v>240000</v>
      </c>
      <c r="N1783" s="3">
        <f>Table1[[#This Row],[Unit Price]]*Table1[[#This Row],[Quantity]]</f>
        <v>300000</v>
      </c>
      <c r="O1783" s="3">
        <f>Table1[[#This Row],[Cost Price]]*Table1[[#This Row],[Quantity]]</f>
        <v>240000</v>
      </c>
      <c r="P1783" s="3">
        <f>Table1[[#This Row],[Revenue]]-Table1[[#This Row],[COGS]]</f>
        <v>60000</v>
      </c>
      <c r="Q1783" s="1">
        <v>1782</v>
      </c>
    </row>
    <row r="1784" spans="1:17">
      <c r="A1784" t="s">
        <v>171</v>
      </c>
      <c r="B1784" t="str">
        <f>TEXT(Table1[[#This Row],[Date]],"MMMM")</f>
        <v>March</v>
      </c>
      <c r="C1784" t="str">
        <f>TEXT(Table1[[#This Row],[Date]],"DDDD")</f>
        <v>Monday</v>
      </c>
      <c r="D1784" t="s">
        <v>44</v>
      </c>
      <c r="E1784" t="s">
        <v>45</v>
      </c>
      <c r="F1784" t="s">
        <v>41</v>
      </c>
      <c r="G1784" t="s">
        <v>37</v>
      </c>
      <c r="H1784" t="s">
        <v>62</v>
      </c>
      <c r="I1784" t="s">
        <v>51</v>
      </c>
      <c r="J1784" s="3">
        <v>150000</v>
      </c>
      <c r="K1784">
        <v>3</v>
      </c>
      <c r="L1784" t="s">
        <v>42</v>
      </c>
      <c r="M1784" s="3">
        <v>120000</v>
      </c>
      <c r="N1784" s="3">
        <f>Table1[[#This Row],[Unit Price]]*Table1[[#This Row],[Quantity]]</f>
        <v>450000</v>
      </c>
      <c r="O1784" s="3">
        <f>Table1[[#This Row],[Cost Price]]*Table1[[#This Row],[Quantity]]</f>
        <v>360000</v>
      </c>
      <c r="P1784" s="3">
        <f>Table1[[#This Row],[Revenue]]-Table1[[#This Row],[COGS]]</f>
        <v>90000</v>
      </c>
      <c r="Q1784" s="1">
        <v>1783</v>
      </c>
    </row>
    <row r="1785" spans="1:17">
      <c r="A1785" t="s">
        <v>83</v>
      </c>
      <c r="B1785" t="str">
        <f>TEXT(Table1[[#This Row],[Date]],"MMMM")</f>
        <v>January</v>
      </c>
      <c r="C1785" t="str">
        <f>TEXT(Table1[[#This Row],[Date]],"DDDD")</f>
        <v>Tuesday</v>
      </c>
      <c r="D1785" t="s">
        <v>27</v>
      </c>
      <c r="E1785" t="s">
        <v>45</v>
      </c>
      <c r="F1785" t="s">
        <v>41</v>
      </c>
      <c r="G1785" t="s">
        <v>30</v>
      </c>
      <c r="H1785" t="s">
        <v>71</v>
      </c>
      <c r="I1785" t="s">
        <v>51</v>
      </c>
      <c r="J1785" s="3">
        <v>250000</v>
      </c>
      <c r="K1785">
        <v>3</v>
      </c>
      <c r="L1785" t="s">
        <v>65</v>
      </c>
      <c r="M1785" s="3">
        <v>200000</v>
      </c>
      <c r="N1785" s="3">
        <f>Table1[[#This Row],[Unit Price]]*Table1[[#This Row],[Quantity]]</f>
        <v>750000</v>
      </c>
      <c r="O1785" s="3">
        <f>Table1[[#This Row],[Cost Price]]*Table1[[#This Row],[Quantity]]</f>
        <v>600000</v>
      </c>
      <c r="P1785" s="3">
        <f>Table1[[#This Row],[Revenue]]-Table1[[#This Row],[COGS]]</f>
        <v>150000</v>
      </c>
      <c r="Q1785" s="1">
        <v>1784</v>
      </c>
    </row>
    <row r="1786" spans="1:17">
      <c r="A1786" t="s">
        <v>63</v>
      </c>
      <c r="B1786" t="str">
        <f>TEXT(Table1[[#This Row],[Date]],"MMMM")</f>
        <v>January</v>
      </c>
      <c r="C1786" t="str">
        <f>TEXT(Table1[[#This Row],[Date]],"DDDD")</f>
        <v>Monday</v>
      </c>
      <c r="D1786" t="s">
        <v>49</v>
      </c>
      <c r="E1786" t="s">
        <v>36</v>
      </c>
      <c r="F1786" t="s">
        <v>29</v>
      </c>
      <c r="G1786" t="s">
        <v>37</v>
      </c>
      <c r="H1786" t="s">
        <v>67</v>
      </c>
      <c r="I1786" t="s">
        <v>51</v>
      </c>
      <c r="J1786" s="3">
        <v>420000</v>
      </c>
      <c r="K1786">
        <v>4</v>
      </c>
      <c r="L1786" t="s">
        <v>42</v>
      </c>
      <c r="M1786" s="3">
        <v>336000</v>
      </c>
      <c r="N1786" s="3">
        <f>Table1[[#This Row],[Unit Price]]*Table1[[#This Row],[Quantity]]</f>
        <v>1680000</v>
      </c>
      <c r="O1786" s="3">
        <f>Table1[[#This Row],[Cost Price]]*Table1[[#This Row],[Quantity]]</f>
        <v>1344000</v>
      </c>
      <c r="P1786" s="3">
        <f>Table1[[#This Row],[Revenue]]-Table1[[#This Row],[COGS]]</f>
        <v>336000</v>
      </c>
      <c r="Q1786" s="1">
        <v>1785</v>
      </c>
    </row>
    <row r="1787" spans="1:17">
      <c r="A1787" t="s">
        <v>148</v>
      </c>
      <c r="B1787" t="str">
        <f>TEXT(Table1[[#This Row],[Date]],"MMMM")</f>
        <v>February</v>
      </c>
      <c r="C1787" t="str">
        <f>TEXT(Table1[[#This Row],[Date]],"DDDD")</f>
        <v>Sunday</v>
      </c>
      <c r="D1787" t="s">
        <v>49</v>
      </c>
      <c r="E1787" t="s">
        <v>36</v>
      </c>
      <c r="F1787" t="s">
        <v>41</v>
      </c>
      <c r="G1787" t="s">
        <v>30</v>
      </c>
      <c r="H1787" t="s">
        <v>54</v>
      </c>
      <c r="I1787" t="s">
        <v>39</v>
      </c>
      <c r="J1787" s="3">
        <v>180000</v>
      </c>
      <c r="K1787">
        <v>1</v>
      </c>
      <c r="L1787" t="s">
        <v>33</v>
      </c>
      <c r="M1787" s="3">
        <v>144000</v>
      </c>
      <c r="N1787" s="3">
        <f>Table1[[#This Row],[Unit Price]]*Table1[[#This Row],[Quantity]]</f>
        <v>180000</v>
      </c>
      <c r="O1787" s="3">
        <f>Table1[[#This Row],[Cost Price]]*Table1[[#This Row],[Quantity]]</f>
        <v>144000</v>
      </c>
      <c r="P1787" s="3">
        <f>Table1[[#This Row],[Revenue]]-Table1[[#This Row],[COGS]]</f>
        <v>36000</v>
      </c>
      <c r="Q1787" s="1">
        <v>1786</v>
      </c>
    </row>
    <row r="1788" spans="1:17">
      <c r="A1788" t="s">
        <v>52</v>
      </c>
      <c r="B1788" t="str">
        <f>TEXT(Table1[[#This Row],[Date]],"MMMM")</f>
        <v>March</v>
      </c>
      <c r="C1788" t="str">
        <f>TEXT(Table1[[#This Row],[Date]],"DDDD")</f>
        <v>Saturday</v>
      </c>
      <c r="D1788" t="s">
        <v>49</v>
      </c>
      <c r="E1788" t="s">
        <v>28</v>
      </c>
      <c r="F1788" t="s">
        <v>41</v>
      </c>
      <c r="G1788" t="s">
        <v>37</v>
      </c>
      <c r="H1788" t="s">
        <v>62</v>
      </c>
      <c r="I1788" t="s">
        <v>51</v>
      </c>
      <c r="J1788" s="3">
        <v>150000</v>
      </c>
      <c r="K1788">
        <v>3</v>
      </c>
      <c r="L1788" t="s">
        <v>58</v>
      </c>
      <c r="M1788" s="3">
        <v>120000</v>
      </c>
      <c r="N1788" s="3">
        <f>Table1[[#This Row],[Unit Price]]*Table1[[#This Row],[Quantity]]</f>
        <v>450000</v>
      </c>
      <c r="O1788" s="3">
        <f>Table1[[#This Row],[Cost Price]]*Table1[[#This Row],[Quantity]]</f>
        <v>360000</v>
      </c>
      <c r="P1788" s="3">
        <f>Table1[[#This Row],[Revenue]]-Table1[[#This Row],[COGS]]</f>
        <v>90000</v>
      </c>
      <c r="Q1788" s="1">
        <v>1787</v>
      </c>
    </row>
    <row r="1789" spans="1:17">
      <c r="A1789" t="s">
        <v>101</v>
      </c>
      <c r="B1789" t="str">
        <f>TEXT(Table1[[#This Row],[Date]],"MMMM")</f>
        <v>January</v>
      </c>
      <c r="C1789" t="str">
        <f>TEXT(Table1[[#This Row],[Date]],"DDDD")</f>
        <v>Thursday</v>
      </c>
      <c r="D1789" t="s">
        <v>44</v>
      </c>
      <c r="E1789" t="s">
        <v>53</v>
      </c>
      <c r="F1789" t="s">
        <v>41</v>
      </c>
      <c r="G1789" t="s">
        <v>30</v>
      </c>
      <c r="H1789" t="s">
        <v>73</v>
      </c>
      <c r="I1789" t="s">
        <v>39</v>
      </c>
      <c r="J1789" s="3">
        <v>220000</v>
      </c>
      <c r="K1789">
        <v>9</v>
      </c>
      <c r="L1789" t="s">
        <v>47</v>
      </c>
      <c r="M1789" s="3">
        <v>176000</v>
      </c>
      <c r="N1789" s="3">
        <f>Table1[[#This Row],[Unit Price]]*Table1[[#This Row],[Quantity]]</f>
        <v>1980000</v>
      </c>
      <c r="O1789" s="3">
        <f>Table1[[#This Row],[Cost Price]]*Table1[[#This Row],[Quantity]]</f>
        <v>1584000</v>
      </c>
      <c r="P1789" s="3">
        <f>Table1[[#This Row],[Revenue]]-Table1[[#This Row],[COGS]]</f>
        <v>396000</v>
      </c>
      <c r="Q1789" s="1">
        <v>1788</v>
      </c>
    </row>
    <row r="1790" spans="1:17">
      <c r="A1790" t="s">
        <v>89</v>
      </c>
      <c r="B1790" t="str">
        <f>TEXT(Table1[[#This Row],[Date]],"MMMM")</f>
        <v>February</v>
      </c>
      <c r="C1790" t="str">
        <f>TEXT(Table1[[#This Row],[Date]],"DDDD")</f>
        <v>Tuesday</v>
      </c>
      <c r="D1790" t="s">
        <v>49</v>
      </c>
      <c r="E1790" t="s">
        <v>45</v>
      </c>
      <c r="F1790" t="s">
        <v>41</v>
      </c>
      <c r="G1790" t="s">
        <v>30</v>
      </c>
      <c r="H1790" t="s">
        <v>67</v>
      </c>
      <c r="I1790" t="s">
        <v>51</v>
      </c>
      <c r="J1790" s="3">
        <v>420000</v>
      </c>
      <c r="K1790">
        <v>4</v>
      </c>
      <c r="L1790" t="s">
        <v>47</v>
      </c>
      <c r="M1790" s="3">
        <v>336000</v>
      </c>
      <c r="N1790" s="3">
        <f>Table1[[#This Row],[Unit Price]]*Table1[[#This Row],[Quantity]]</f>
        <v>1680000</v>
      </c>
      <c r="O1790" s="3">
        <f>Table1[[#This Row],[Cost Price]]*Table1[[#This Row],[Quantity]]</f>
        <v>1344000</v>
      </c>
      <c r="P1790" s="3">
        <f>Table1[[#This Row],[Revenue]]-Table1[[#This Row],[COGS]]</f>
        <v>336000</v>
      </c>
      <c r="Q1790" s="1">
        <v>1789</v>
      </c>
    </row>
    <row r="1791" spans="1:17">
      <c r="A1791" t="s">
        <v>174</v>
      </c>
      <c r="B1791" t="str">
        <f>TEXT(Table1[[#This Row],[Date]],"MMMM")</f>
        <v>February</v>
      </c>
      <c r="C1791" t="str">
        <f>TEXT(Table1[[#This Row],[Date]],"DDDD")</f>
        <v>Friday</v>
      </c>
      <c r="D1791" t="s">
        <v>49</v>
      </c>
      <c r="E1791" t="s">
        <v>45</v>
      </c>
      <c r="F1791" t="s">
        <v>41</v>
      </c>
      <c r="G1791" t="s">
        <v>37</v>
      </c>
      <c r="H1791" t="s">
        <v>50</v>
      </c>
      <c r="I1791" t="s">
        <v>51</v>
      </c>
      <c r="J1791" s="3">
        <v>300000</v>
      </c>
      <c r="K1791">
        <v>2</v>
      </c>
      <c r="L1791" t="s">
        <v>69</v>
      </c>
      <c r="M1791" s="3">
        <v>240000</v>
      </c>
      <c r="N1791" s="3">
        <f>Table1[[#This Row],[Unit Price]]*Table1[[#This Row],[Quantity]]</f>
        <v>600000</v>
      </c>
      <c r="O1791" s="3">
        <f>Table1[[#This Row],[Cost Price]]*Table1[[#This Row],[Quantity]]</f>
        <v>480000</v>
      </c>
      <c r="P1791" s="3">
        <f>Table1[[#This Row],[Revenue]]-Table1[[#This Row],[COGS]]</f>
        <v>120000</v>
      </c>
      <c r="Q1791" s="1">
        <v>1790</v>
      </c>
    </row>
    <row r="1792" spans="1:17">
      <c r="A1792" t="s">
        <v>167</v>
      </c>
      <c r="B1792" t="str">
        <f>TEXT(Table1[[#This Row],[Date]],"MMMM")</f>
        <v>April</v>
      </c>
      <c r="C1792" t="str">
        <f>TEXT(Table1[[#This Row],[Date]],"DDDD")</f>
        <v>Wednesday</v>
      </c>
      <c r="D1792" t="s">
        <v>35</v>
      </c>
      <c r="E1792" t="s">
        <v>36</v>
      </c>
      <c r="F1792" t="s">
        <v>41</v>
      </c>
      <c r="G1792" t="s">
        <v>37</v>
      </c>
      <c r="H1792" t="s">
        <v>31</v>
      </c>
      <c r="I1792" t="s">
        <v>32</v>
      </c>
      <c r="J1792" s="3">
        <v>85000</v>
      </c>
      <c r="K1792">
        <v>8</v>
      </c>
      <c r="L1792" t="s">
        <v>42</v>
      </c>
      <c r="M1792" s="3">
        <v>68000</v>
      </c>
      <c r="N1792" s="3">
        <f>Table1[[#This Row],[Unit Price]]*Table1[[#This Row],[Quantity]]</f>
        <v>680000</v>
      </c>
      <c r="O1792" s="3">
        <f>Table1[[#This Row],[Cost Price]]*Table1[[#This Row],[Quantity]]</f>
        <v>544000</v>
      </c>
      <c r="P1792" s="3">
        <f>Table1[[#This Row],[Revenue]]-Table1[[#This Row],[COGS]]</f>
        <v>136000</v>
      </c>
      <c r="Q1792" s="1">
        <v>1791</v>
      </c>
    </row>
    <row r="1793" spans="1:17">
      <c r="A1793" t="s">
        <v>172</v>
      </c>
      <c r="B1793" t="str">
        <f>TEXT(Table1[[#This Row],[Date]],"MMMM")</f>
        <v>March</v>
      </c>
      <c r="C1793" t="str">
        <f>TEXT(Table1[[#This Row],[Date]],"DDDD")</f>
        <v>Saturday</v>
      </c>
      <c r="D1793" t="s">
        <v>44</v>
      </c>
      <c r="E1793" t="s">
        <v>53</v>
      </c>
      <c r="F1793" t="s">
        <v>29</v>
      </c>
      <c r="G1793" t="s">
        <v>37</v>
      </c>
      <c r="H1793" t="s">
        <v>73</v>
      </c>
      <c r="I1793" t="s">
        <v>39</v>
      </c>
      <c r="J1793" s="3">
        <v>220000</v>
      </c>
      <c r="K1793">
        <v>10</v>
      </c>
      <c r="L1793" t="s">
        <v>47</v>
      </c>
      <c r="M1793" s="3">
        <v>176000</v>
      </c>
      <c r="N1793" s="3">
        <f>Table1[[#This Row],[Unit Price]]*Table1[[#This Row],[Quantity]]</f>
        <v>2200000</v>
      </c>
      <c r="O1793" s="3">
        <f>Table1[[#This Row],[Cost Price]]*Table1[[#This Row],[Quantity]]</f>
        <v>1760000</v>
      </c>
      <c r="P1793" s="3">
        <f>Table1[[#This Row],[Revenue]]-Table1[[#This Row],[COGS]]</f>
        <v>440000</v>
      </c>
      <c r="Q1793" s="1">
        <v>1792</v>
      </c>
    </row>
    <row r="1794" spans="1:17">
      <c r="A1794" t="s">
        <v>175</v>
      </c>
      <c r="B1794" t="str">
        <f>TEXT(Table1[[#This Row],[Date]],"MMMM")</f>
        <v>January</v>
      </c>
      <c r="C1794" t="str">
        <f>TEXT(Table1[[#This Row],[Date]],"DDDD")</f>
        <v>Wednesday</v>
      </c>
      <c r="D1794" t="s">
        <v>27</v>
      </c>
      <c r="E1794" t="s">
        <v>28</v>
      </c>
      <c r="F1794" t="s">
        <v>29</v>
      </c>
      <c r="G1794" t="s">
        <v>37</v>
      </c>
      <c r="H1794" t="s">
        <v>73</v>
      </c>
      <c r="I1794" t="s">
        <v>39</v>
      </c>
      <c r="J1794" s="3">
        <v>220000</v>
      </c>
      <c r="K1794">
        <v>7</v>
      </c>
      <c r="L1794" t="s">
        <v>47</v>
      </c>
      <c r="M1794" s="3">
        <v>176000</v>
      </c>
      <c r="N1794" s="3">
        <f>Table1[[#This Row],[Unit Price]]*Table1[[#This Row],[Quantity]]</f>
        <v>1540000</v>
      </c>
      <c r="O1794" s="3">
        <f>Table1[[#This Row],[Cost Price]]*Table1[[#This Row],[Quantity]]</f>
        <v>1232000</v>
      </c>
      <c r="P1794" s="3">
        <f>Table1[[#This Row],[Revenue]]-Table1[[#This Row],[COGS]]</f>
        <v>308000</v>
      </c>
      <c r="Q1794" s="1">
        <v>1793</v>
      </c>
    </row>
    <row r="1795" spans="1:17">
      <c r="A1795" t="s">
        <v>99</v>
      </c>
      <c r="B1795" t="str">
        <f>TEXT(Table1[[#This Row],[Date]],"MMMM")</f>
        <v>April</v>
      </c>
      <c r="C1795" t="str">
        <f>TEXT(Table1[[#This Row],[Date]],"DDDD")</f>
        <v>Sunday</v>
      </c>
      <c r="D1795" t="s">
        <v>35</v>
      </c>
      <c r="E1795" t="s">
        <v>45</v>
      </c>
      <c r="F1795" t="s">
        <v>29</v>
      </c>
      <c r="G1795" t="s">
        <v>37</v>
      </c>
      <c r="H1795" t="s">
        <v>56</v>
      </c>
      <c r="I1795" t="s">
        <v>32</v>
      </c>
      <c r="J1795" s="3">
        <v>320000</v>
      </c>
      <c r="K1795">
        <v>10</v>
      </c>
      <c r="L1795" t="s">
        <v>47</v>
      </c>
      <c r="M1795" s="3">
        <v>256000</v>
      </c>
      <c r="N1795" s="3">
        <f>Table1[[#This Row],[Unit Price]]*Table1[[#This Row],[Quantity]]</f>
        <v>3200000</v>
      </c>
      <c r="O1795" s="3">
        <f>Table1[[#This Row],[Cost Price]]*Table1[[#This Row],[Quantity]]</f>
        <v>2560000</v>
      </c>
      <c r="P1795" s="3">
        <f>Table1[[#This Row],[Revenue]]-Table1[[#This Row],[COGS]]</f>
        <v>640000</v>
      </c>
      <c r="Q1795" s="1">
        <v>1794</v>
      </c>
    </row>
    <row r="1796" spans="1:17">
      <c r="A1796" t="s">
        <v>144</v>
      </c>
      <c r="B1796" t="str">
        <f>TEXT(Table1[[#This Row],[Date]],"MMMM")</f>
        <v>February</v>
      </c>
      <c r="C1796" t="str">
        <f>TEXT(Table1[[#This Row],[Date]],"DDDD")</f>
        <v>Friday</v>
      </c>
      <c r="D1796" t="s">
        <v>27</v>
      </c>
      <c r="E1796" t="s">
        <v>36</v>
      </c>
      <c r="F1796" t="s">
        <v>41</v>
      </c>
      <c r="G1796" t="s">
        <v>30</v>
      </c>
      <c r="H1796" t="s">
        <v>54</v>
      </c>
      <c r="I1796" t="s">
        <v>39</v>
      </c>
      <c r="J1796" s="3">
        <v>180000</v>
      </c>
      <c r="K1796">
        <v>9</v>
      </c>
      <c r="L1796" t="s">
        <v>65</v>
      </c>
      <c r="M1796" s="3">
        <v>144000</v>
      </c>
      <c r="N1796" s="3">
        <f>Table1[[#This Row],[Unit Price]]*Table1[[#This Row],[Quantity]]</f>
        <v>1620000</v>
      </c>
      <c r="O1796" s="3">
        <f>Table1[[#This Row],[Cost Price]]*Table1[[#This Row],[Quantity]]</f>
        <v>1296000</v>
      </c>
      <c r="P1796" s="3">
        <f>Table1[[#This Row],[Revenue]]-Table1[[#This Row],[COGS]]</f>
        <v>324000</v>
      </c>
      <c r="Q1796" s="1">
        <v>1795</v>
      </c>
    </row>
    <row r="1797" spans="1:17">
      <c r="A1797" t="s">
        <v>157</v>
      </c>
      <c r="B1797" t="str">
        <f>TEXT(Table1[[#This Row],[Date]],"MMMM")</f>
        <v>April</v>
      </c>
      <c r="C1797" t="str">
        <f>TEXT(Table1[[#This Row],[Date]],"DDDD")</f>
        <v>Tuesday</v>
      </c>
      <c r="D1797" t="s">
        <v>49</v>
      </c>
      <c r="E1797" t="s">
        <v>45</v>
      </c>
      <c r="F1797" t="s">
        <v>41</v>
      </c>
      <c r="G1797" t="s">
        <v>30</v>
      </c>
      <c r="H1797" t="s">
        <v>46</v>
      </c>
      <c r="I1797" t="s">
        <v>39</v>
      </c>
      <c r="J1797" s="3">
        <v>60000</v>
      </c>
      <c r="K1797">
        <v>4</v>
      </c>
      <c r="L1797" t="s">
        <v>69</v>
      </c>
      <c r="M1797" s="3">
        <v>48000</v>
      </c>
      <c r="N1797" s="3">
        <f>Table1[[#This Row],[Unit Price]]*Table1[[#This Row],[Quantity]]</f>
        <v>240000</v>
      </c>
      <c r="O1797" s="3">
        <f>Table1[[#This Row],[Cost Price]]*Table1[[#This Row],[Quantity]]</f>
        <v>192000</v>
      </c>
      <c r="P1797" s="3">
        <f>Table1[[#This Row],[Revenue]]-Table1[[#This Row],[COGS]]</f>
        <v>48000</v>
      </c>
      <c r="Q1797" s="1">
        <v>1796</v>
      </c>
    </row>
    <row r="1798" spans="1:17">
      <c r="A1798" t="s">
        <v>151</v>
      </c>
      <c r="B1798" t="str">
        <f>TEXT(Table1[[#This Row],[Date]],"MMMM")</f>
        <v>February</v>
      </c>
      <c r="C1798" t="str">
        <f>TEXT(Table1[[#This Row],[Date]],"DDDD")</f>
        <v>Tuesday</v>
      </c>
      <c r="D1798" t="s">
        <v>44</v>
      </c>
      <c r="E1798" t="s">
        <v>45</v>
      </c>
      <c r="F1798" t="s">
        <v>41</v>
      </c>
      <c r="G1798" t="s">
        <v>37</v>
      </c>
      <c r="H1798" t="s">
        <v>71</v>
      </c>
      <c r="I1798" t="s">
        <v>51</v>
      </c>
      <c r="J1798" s="3">
        <v>250000</v>
      </c>
      <c r="K1798">
        <v>10</v>
      </c>
      <c r="L1798" t="s">
        <v>69</v>
      </c>
      <c r="M1798" s="3">
        <v>200000</v>
      </c>
      <c r="N1798" s="3">
        <f>Table1[[#This Row],[Unit Price]]*Table1[[#This Row],[Quantity]]</f>
        <v>2500000</v>
      </c>
      <c r="O1798" s="3">
        <f>Table1[[#This Row],[Cost Price]]*Table1[[#This Row],[Quantity]]</f>
        <v>2000000</v>
      </c>
      <c r="P1798" s="3">
        <f>Table1[[#This Row],[Revenue]]-Table1[[#This Row],[COGS]]</f>
        <v>500000</v>
      </c>
      <c r="Q1798" s="1">
        <v>1797</v>
      </c>
    </row>
    <row r="1799" spans="1:17">
      <c r="A1799" t="s">
        <v>168</v>
      </c>
      <c r="B1799" t="str">
        <f>TEXT(Table1[[#This Row],[Date]],"MMMM")</f>
        <v>April</v>
      </c>
      <c r="C1799" t="str">
        <f>TEXT(Table1[[#This Row],[Date]],"DDDD")</f>
        <v>Wednesday</v>
      </c>
      <c r="D1799" t="s">
        <v>49</v>
      </c>
      <c r="E1799" t="s">
        <v>45</v>
      </c>
      <c r="F1799" t="s">
        <v>41</v>
      </c>
      <c r="G1799" t="s">
        <v>30</v>
      </c>
      <c r="H1799" t="s">
        <v>56</v>
      </c>
      <c r="I1799" t="s">
        <v>32</v>
      </c>
      <c r="J1799" s="3">
        <v>320000</v>
      </c>
      <c r="K1799">
        <v>2</v>
      </c>
      <c r="L1799" t="s">
        <v>47</v>
      </c>
      <c r="M1799" s="3">
        <v>256000</v>
      </c>
      <c r="N1799" s="3">
        <f>Table1[[#This Row],[Unit Price]]*Table1[[#This Row],[Quantity]]</f>
        <v>640000</v>
      </c>
      <c r="O1799" s="3">
        <f>Table1[[#This Row],[Cost Price]]*Table1[[#This Row],[Quantity]]</f>
        <v>512000</v>
      </c>
      <c r="P1799" s="3">
        <f>Table1[[#This Row],[Revenue]]-Table1[[#This Row],[COGS]]</f>
        <v>128000</v>
      </c>
      <c r="Q1799" s="1">
        <v>1798</v>
      </c>
    </row>
    <row r="1800" spans="1:17">
      <c r="A1800" t="s">
        <v>164</v>
      </c>
      <c r="B1800" t="str">
        <f>TEXT(Table1[[#This Row],[Date]],"MMMM")</f>
        <v>March</v>
      </c>
      <c r="C1800" t="str">
        <f>TEXT(Table1[[#This Row],[Date]],"DDDD")</f>
        <v>Tuesday</v>
      </c>
      <c r="D1800" t="s">
        <v>44</v>
      </c>
      <c r="E1800" t="s">
        <v>53</v>
      </c>
      <c r="F1800" t="s">
        <v>41</v>
      </c>
      <c r="G1800" t="s">
        <v>37</v>
      </c>
      <c r="H1800" t="s">
        <v>67</v>
      </c>
      <c r="I1800" t="s">
        <v>51</v>
      </c>
      <c r="J1800" s="3">
        <v>420000</v>
      </c>
      <c r="K1800">
        <v>7</v>
      </c>
      <c r="L1800" t="s">
        <v>58</v>
      </c>
      <c r="M1800" s="3">
        <v>336000</v>
      </c>
      <c r="N1800" s="3">
        <f>Table1[[#This Row],[Unit Price]]*Table1[[#This Row],[Quantity]]</f>
        <v>2940000</v>
      </c>
      <c r="O1800" s="3">
        <f>Table1[[#This Row],[Cost Price]]*Table1[[#This Row],[Quantity]]</f>
        <v>2352000</v>
      </c>
      <c r="P1800" s="3">
        <f>Table1[[#This Row],[Revenue]]-Table1[[#This Row],[COGS]]</f>
        <v>588000</v>
      </c>
      <c r="Q1800" s="1">
        <v>1799</v>
      </c>
    </row>
    <row r="1801" spans="1:17">
      <c r="A1801" t="s">
        <v>160</v>
      </c>
      <c r="B1801" t="str">
        <f>TEXT(Table1[[#This Row],[Date]],"MMMM")</f>
        <v>January</v>
      </c>
      <c r="C1801" t="str">
        <f>TEXT(Table1[[#This Row],[Date]],"DDDD")</f>
        <v>Saturday</v>
      </c>
      <c r="D1801" t="s">
        <v>49</v>
      </c>
      <c r="E1801" t="s">
        <v>45</v>
      </c>
      <c r="F1801" t="s">
        <v>41</v>
      </c>
      <c r="G1801" t="s">
        <v>37</v>
      </c>
      <c r="H1801" t="s">
        <v>50</v>
      </c>
      <c r="I1801" t="s">
        <v>51</v>
      </c>
      <c r="J1801" s="3">
        <v>300000</v>
      </c>
      <c r="K1801">
        <v>5</v>
      </c>
      <c r="L1801" t="s">
        <v>58</v>
      </c>
      <c r="M1801" s="3">
        <v>240000</v>
      </c>
      <c r="N1801" s="3">
        <f>Table1[[#This Row],[Unit Price]]*Table1[[#This Row],[Quantity]]</f>
        <v>1500000</v>
      </c>
      <c r="O1801" s="3">
        <f>Table1[[#This Row],[Cost Price]]*Table1[[#This Row],[Quantity]]</f>
        <v>1200000</v>
      </c>
      <c r="P1801" s="3">
        <f>Table1[[#This Row],[Revenue]]-Table1[[#This Row],[COGS]]</f>
        <v>300000</v>
      </c>
      <c r="Q1801" s="1">
        <v>1800</v>
      </c>
    </row>
    <row r="1802" spans="1:17">
      <c r="A1802" t="s">
        <v>77</v>
      </c>
      <c r="B1802" t="str">
        <f>TEXT(Table1[[#This Row],[Date]],"MMMM")</f>
        <v>April</v>
      </c>
      <c r="C1802" t="str">
        <f>TEXT(Table1[[#This Row],[Date]],"DDDD")</f>
        <v>Friday</v>
      </c>
      <c r="D1802" t="s">
        <v>44</v>
      </c>
      <c r="E1802" t="s">
        <v>28</v>
      </c>
      <c r="F1802" t="s">
        <v>41</v>
      </c>
      <c r="G1802" t="s">
        <v>37</v>
      </c>
      <c r="H1802" t="s">
        <v>46</v>
      </c>
      <c r="I1802" t="s">
        <v>39</v>
      </c>
      <c r="J1802" s="3">
        <v>60000</v>
      </c>
      <c r="K1802">
        <v>5</v>
      </c>
      <c r="L1802" t="s">
        <v>65</v>
      </c>
      <c r="M1802" s="3">
        <v>48000</v>
      </c>
      <c r="N1802" s="3">
        <f>Table1[[#This Row],[Unit Price]]*Table1[[#This Row],[Quantity]]</f>
        <v>300000</v>
      </c>
      <c r="O1802" s="3">
        <f>Table1[[#This Row],[Cost Price]]*Table1[[#This Row],[Quantity]]</f>
        <v>240000</v>
      </c>
      <c r="P1802" s="3">
        <f>Table1[[#This Row],[Revenue]]-Table1[[#This Row],[COGS]]</f>
        <v>60000</v>
      </c>
      <c r="Q1802" s="1">
        <v>1801</v>
      </c>
    </row>
    <row r="1803" spans="1:17">
      <c r="A1803" t="s">
        <v>153</v>
      </c>
      <c r="B1803" t="str">
        <f>TEXT(Table1[[#This Row],[Date]],"MMMM")</f>
        <v>March</v>
      </c>
      <c r="C1803" t="str">
        <f>TEXT(Table1[[#This Row],[Date]],"DDDD")</f>
        <v>Tuesday</v>
      </c>
      <c r="D1803" t="s">
        <v>35</v>
      </c>
      <c r="E1803" t="s">
        <v>28</v>
      </c>
      <c r="F1803" t="s">
        <v>29</v>
      </c>
      <c r="G1803" t="s">
        <v>37</v>
      </c>
      <c r="H1803" t="s">
        <v>67</v>
      </c>
      <c r="I1803" t="s">
        <v>51</v>
      </c>
      <c r="J1803" s="3">
        <v>420000</v>
      </c>
      <c r="K1803">
        <v>9</v>
      </c>
      <c r="L1803" t="s">
        <v>47</v>
      </c>
      <c r="M1803" s="3">
        <v>336000</v>
      </c>
      <c r="N1803" s="3">
        <f>Table1[[#This Row],[Unit Price]]*Table1[[#This Row],[Quantity]]</f>
        <v>3780000</v>
      </c>
      <c r="O1803" s="3">
        <f>Table1[[#This Row],[Cost Price]]*Table1[[#This Row],[Quantity]]</f>
        <v>3024000</v>
      </c>
      <c r="P1803" s="3">
        <f>Table1[[#This Row],[Revenue]]-Table1[[#This Row],[COGS]]</f>
        <v>756000</v>
      </c>
      <c r="Q1803" s="1">
        <v>1802</v>
      </c>
    </row>
    <row r="1804" spans="1:17">
      <c r="A1804" t="s">
        <v>158</v>
      </c>
      <c r="B1804" t="str">
        <f>TEXT(Table1[[#This Row],[Date]],"MMMM")</f>
        <v>January</v>
      </c>
      <c r="C1804" t="str">
        <f>TEXT(Table1[[#This Row],[Date]],"DDDD")</f>
        <v>Saturday</v>
      </c>
      <c r="D1804" t="s">
        <v>44</v>
      </c>
      <c r="E1804" t="s">
        <v>28</v>
      </c>
      <c r="F1804" t="s">
        <v>29</v>
      </c>
      <c r="G1804" t="s">
        <v>37</v>
      </c>
      <c r="H1804" t="s">
        <v>71</v>
      </c>
      <c r="I1804" t="s">
        <v>51</v>
      </c>
      <c r="J1804" s="3">
        <v>250000</v>
      </c>
      <c r="K1804">
        <v>9</v>
      </c>
      <c r="L1804" t="s">
        <v>69</v>
      </c>
      <c r="M1804" s="3">
        <v>200000</v>
      </c>
      <c r="N1804" s="3">
        <f>Table1[[#This Row],[Unit Price]]*Table1[[#This Row],[Quantity]]</f>
        <v>2250000</v>
      </c>
      <c r="O1804" s="3">
        <f>Table1[[#This Row],[Cost Price]]*Table1[[#This Row],[Quantity]]</f>
        <v>1800000</v>
      </c>
      <c r="P1804" s="3">
        <f>Table1[[#This Row],[Revenue]]-Table1[[#This Row],[COGS]]</f>
        <v>450000</v>
      </c>
      <c r="Q1804" s="1">
        <v>1803</v>
      </c>
    </row>
    <row r="1805" spans="1:17">
      <c r="A1805" t="s">
        <v>112</v>
      </c>
      <c r="B1805" t="str">
        <f>TEXT(Table1[[#This Row],[Date]],"MMMM")</f>
        <v>February</v>
      </c>
      <c r="C1805" t="str">
        <f>TEXT(Table1[[#This Row],[Date]],"DDDD")</f>
        <v>Monday</v>
      </c>
      <c r="D1805" t="s">
        <v>27</v>
      </c>
      <c r="E1805" t="s">
        <v>53</v>
      </c>
      <c r="F1805" t="s">
        <v>29</v>
      </c>
      <c r="G1805" t="s">
        <v>37</v>
      </c>
      <c r="H1805" t="s">
        <v>73</v>
      </c>
      <c r="I1805" t="s">
        <v>39</v>
      </c>
      <c r="J1805" s="3">
        <v>220000</v>
      </c>
      <c r="K1805">
        <v>1</v>
      </c>
      <c r="L1805" t="s">
        <v>69</v>
      </c>
      <c r="M1805" s="3">
        <v>176000</v>
      </c>
      <c r="N1805" s="3">
        <f>Table1[[#This Row],[Unit Price]]*Table1[[#This Row],[Quantity]]</f>
        <v>220000</v>
      </c>
      <c r="O1805" s="3">
        <f>Table1[[#This Row],[Cost Price]]*Table1[[#This Row],[Quantity]]</f>
        <v>176000</v>
      </c>
      <c r="P1805" s="3">
        <f>Table1[[#This Row],[Revenue]]-Table1[[#This Row],[COGS]]</f>
        <v>44000</v>
      </c>
      <c r="Q1805" s="1">
        <v>1804</v>
      </c>
    </row>
    <row r="1806" spans="1:17">
      <c r="A1806" t="s">
        <v>26</v>
      </c>
      <c r="B1806" t="str">
        <f>TEXT(Table1[[#This Row],[Date]],"MMMM")</f>
        <v>January</v>
      </c>
      <c r="C1806" t="str">
        <f>TEXT(Table1[[#This Row],[Date]],"DDDD")</f>
        <v>Sunday</v>
      </c>
      <c r="D1806" t="s">
        <v>27</v>
      </c>
      <c r="E1806" t="s">
        <v>36</v>
      </c>
      <c r="F1806" t="s">
        <v>29</v>
      </c>
      <c r="G1806" t="s">
        <v>37</v>
      </c>
      <c r="H1806" t="s">
        <v>73</v>
      </c>
      <c r="I1806" t="s">
        <v>39</v>
      </c>
      <c r="J1806" s="3">
        <v>220000</v>
      </c>
      <c r="K1806">
        <v>3</v>
      </c>
      <c r="L1806" t="s">
        <v>69</v>
      </c>
      <c r="M1806" s="3">
        <v>176000</v>
      </c>
      <c r="N1806" s="3">
        <f>Table1[[#This Row],[Unit Price]]*Table1[[#This Row],[Quantity]]</f>
        <v>660000</v>
      </c>
      <c r="O1806" s="3">
        <f>Table1[[#This Row],[Cost Price]]*Table1[[#This Row],[Quantity]]</f>
        <v>528000</v>
      </c>
      <c r="P1806" s="3">
        <f>Table1[[#This Row],[Revenue]]-Table1[[#This Row],[COGS]]</f>
        <v>132000</v>
      </c>
      <c r="Q1806" s="1">
        <v>1805</v>
      </c>
    </row>
    <row r="1807" spans="1:17">
      <c r="A1807" t="s">
        <v>171</v>
      </c>
      <c r="B1807" t="str">
        <f>TEXT(Table1[[#This Row],[Date]],"MMMM")</f>
        <v>March</v>
      </c>
      <c r="C1807" t="str">
        <f>TEXT(Table1[[#This Row],[Date]],"DDDD")</f>
        <v>Monday</v>
      </c>
      <c r="D1807" t="s">
        <v>27</v>
      </c>
      <c r="E1807" t="s">
        <v>36</v>
      </c>
      <c r="F1807" t="s">
        <v>41</v>
      </c>
      <c r="G1807" t="s">
        <v>37</v>
      </c>
      <c r="H1807" t="s">
        <v>71</v>
      </c>
      <c r="I1807" t="s">
        <v>51</v>
      </c>
      <c r="J1807" s="3">
        <v>250000</v>
      </c>
      <c r="K1807">
        <v>8</v>
      </c>
      <c r="L1807" t="s">
        <v>47</v>
      </c>
      <c r="M1807" s="3">
        <v>200000</v>
      </c>
      <c r="N1807" s="3">
        <f>Table1[[#This Row],[Unit Price]]*Table1[[#This Row],[Quantity]]</f>
        <v>2000000</v>
      </c>
      <c r="O1807" s="3">
        <f>Table1[[#This Row],[Cost Price]]*Table1[[#This Row],[Quantity]]</f>
        <v>1600000</v>
      </c>
      <c r="P1807" s="3">
        <f>Table1[[#This Row],[Revenue]]-Table1[[#This Row],[COGS]]</f>
        <v>400000</v>
      </c>
      <c r="Q1807" s="1">
        <v>1806</v>
      </c>
    </row>
    <row r="1808" spans="1:17">
      <c r="A1808" t="s">
        <v>162</v>
      </c>
      <c r="B1808" t="str">
        <f>TEXT(Table1[[#This Row],[Date]],"MMMM")</f>
        <v>April</v>
      </c>
      <c r="C1808" t="str">
        <f>TEXT(Table1[[#This Row],[Date]],"DDDD")</f>
        <v>Tuesday</v>
      </c>
      <c r="D1808" t="s">
        <v>27</v>
      </c>
      <c r="E1808" t="s">
        <v>45</v>
      </c>
      <c r="F1808" t="s">
        <v>29</v>
      </c>
      <c r="G1808" t="s">
        <v>37</v>
      </c>
      <c r="H1808" t="s">
        <v>38</v>
      </c>
      <c r="I1808" t="s">
        <v>39</v>
      </c>
      <c r="J1808" s="3">
        <v>30000</v>
      </c>
      <c r="K1808">
        <v>1</v>
      </c>
      <c r="L1808" t="s">
        <v>58</v>
      </c>
      <c r="M1808" s="3">
        <v>24000</v>
      </c>
      <c r="N1808" s="3">
        <f>Table1[[#This Row],[Unit Price]]*Table1[[#This Row],[Quantity]]</f>
        <v>30000</v>
      </c>
      <c r="O1808" s="3">
        <f>Table1[[#This Row],[Cost Price]]*Table1[[#This Row],[Quantity]]</f>
        <v>24000</v>
      </c>
      <c r="P1808" s="3">
        <f>Table1[[#This Row],[Revenue]]-Table1[[#This Row],[COGS]]</f>
        <v>6000</v>
      </c>
      <c r="Q1808" s="1">
        <v>1807</v>
      </c>
    </row>
    <row r="1809" spans="1:17">
      <c r="A1809" t="s">
        <v>94</v>
      </c>
      <c r="B1809" t="str">
        <f>TEXT(Table1[[#This Row],[Date]],"MMMM")</f>
        <v>January</v>
      </c>
      <c r="C1809" t="str">
        <f>TEXT(Table1[[#This Row],[Date]],"DDDD")</f>
        <v>Friday</v>
      </c>
      <c r="D1809" t="s">
        <v>27</v>
      </c>
      <c r="E1809" t="s">
        <v>53</v>
      </c>
      <c r="F1809" t="s">
        <v>41</v>
      </c>
      <c r="G1809" t="s">
        <v>37</v>
      </c>
      <c r="H1809" t="s">
        <v>38</v>
      </c>
      <c r="I1809" t="s">
        <v>39</v>
      </c>
      <c r="J1809" s="3">
        <v>30000</v>
      </c>
      <c r="K1809">
        <v>1</v>
      </c>
      <c r="L1809" t="s">
        <v>65</v>
      </c>
      <c r="M1809" s="3">
        <v>24000</v>
      </c>
      <c r="N1809" s="3">
        <f>Table1[[#This Row],[Unit Price]]*Table1[[#This Row],[Quantity]]</f>
        <v>30000</v>
      </c>
      <c r="O1809" s="3">
        <f>Table1[[#This Row],[Cost Price]]*Table1[[#This Row],[Quantity]]</f>
        <v>24000</v>
      </c>
      <c r="P1809" s="3">
        <f>Table1[[#This Row],[Revenue]]-Table1[[#This Row],[COGS]]</f>
        <v>6000</v>
      </c>
      <c r="Q1809" s="1">
        <v>1808</v>
      </c>
    </row>
    <row r="1810" spans="1:17">
      <c r="A1810" t="s">
        <v>124</v>
      </c>
      <c r="B1810" t="str">
        <f>TEXT(Table1[[#This Row],[Date]],"MMMM")</f>
        <v>February</v>
      </c>
      <c r="C1810" t="str">
        <f>TEXT(Table1[[#This Row],[Date]],"DDDD")</f>
        <v>Monday</v>
      </c>
      <c r="D1810" t="s">
        <v>49</v>
      </c>
      <c r="E1810" t="s">
        <v>45</v>
      </c>
      <c r="F1810" t="s">
        <v>29</v>
      </c>
      <c r="G1810" t="s">
        <v>37</v>
      </c>
      <c r="H1810" t="s">
        <v>38</v>
      </c>
      <c r="I1810" t="s">
        <v>39</v>
      </c>
      <c r="J1810" s="3">
        <v>30000</v>
      </c>
      <c r="K1810">
        <v>8</v>
      </c>
      <c r="L1810" t="s">
        <v>33</v>
      </c>
      <c r="M1810" s="3">
        <v>24000</v>
      </c>
      <c r="N1810" s="3">
        <f>Table1[[#This Row],[Unit Price]]*Table1[[#This Row],[Quantity]]</f>
        <v>240000</v>
      </c>
      <c r="O1810" s="3">
        <f>Table1[[#This Row],[Cost Price]]*Table1[[#This Row],[Quantity]]</f>
        <v>192000</v>
      </c>
      <c r="P1810" s="3">
        <f>Table1[[#This Row],[Revenue]]-Table1[[#This Row],[COGS]]</f>
        <v>48000</v>
      </c>
      <c r="Q1810" s="1">
        <v>1809</v>
      </c>
    </row>
    <row r="1811" spans="1:17">
      <c r="A1811" t="s">
        <v>171</v>
      </c>
      <c r="B1811" t="str">
        <f>TEXT(Table1[[#This Row],[Date]],"MMMM")</f>
        <v>March</v>
      </c>
      <c r="C1811" t="str">
        <f>TEXT(Table1[[#This Row],[Date]],"DDDD")</f>
        <v>Monday</v>
      </c>
      <c r="D1811" t="s">
        <v>27</v>
      </c>
      <c r="E1811" t="s">
        <v>28</v>
      </c>
      <c r="F1811" t="s">
        <v>29</v>
      </c>
      <c r="G1811" t="s">
        <v>37</v>
      </c>
      <c r="H1811" t="s">
        <v>46</v>
      </c>
      <c r="I1811" t="s">
        <v>39</v>
      </c>
      <c r="J1811" s="3">
        <v>60000</v>
      </c>
      <c r="K1811">
        <v>6</v>
      </c>
      <c r="L1811" t="s">
        <v>58</v>
      </c>
      <c r="M1811" s="3">
        <v>48000</v>
      </c>
      <c r="N1811" s="3">
        <f>Table1[[#This Row],[Unit Price]]*Table1[[#This Row],[Quantity]]</f>
        <v>360000</v>
      </c>
      <c r="O1811" s="3">
        <f>Table1[[#This Row],[Cost Price]]*Table1[[#This Row],[Quantity]]</f>
        <v>288000</v>
      </c>
      <c r="P1811" s="3">
        <f>Table1[[#This Row],[Revenue]]-Table1[[#This Row],[COGS]]</f>
        <v>72000</v>
      </c>
      <c r="Q1811" s="1">
        <v>1810</v>
      </c>
    </row>
    <row r="1812" spans="1:17">
      <c r="A1812" t="s">
        <v>98</v>
      </c>
      <c r="B1812" t="str">
        <f>TEXT(Table1[[#This Row],[Date]],"MMMM")</f>
        <v>January</v>
      </c>
      <c r="C1812" t="str">
        <f>TEXT(Table1[[#This Row],[Date]],"DDDD")</f>
        <v>Friday</v>
      </c>
      <c r="D1812" t="s">
        <v>27</v>
      </c>
      <c r="E1812" t="s">
        <v>28</v>
      </c>
      <c r="F1812" t="s">
        <v>41</v>
      </c>
      <c r="G1812" t="s">
        <v>37</v>
      </c>
      <c r="H1812" t="s">
        <v>71</v>
      </c>
      <c r="I1812" t="s">
        <v>51</v>
      </c>
      <c r="J1812" s="3">
        <v>250000</v>
      </c>
      <c r="K1812">
        <v>5</v>
      </c>
      <c r="L1812" t="s">
        <v>42</v>
      </c>
      <c r="M1812" s="3">
        <v>200000</v>
      </c>
      <c r="N1812" s="3">
        <f>Table1[[#This Row],[Unit Price]]*Table1[[#This Row],[Quantity]]</f>
        <v>1250000</v>
      </c>
      <c r="O1812" s="3">
        <f>Table1[[#This Row],[Cost Price]]*Table1[[#This Row],[Quantity]]</f>
        <v>1000000</v>
      </c>
      <c r="P1812" s="3">
        <f>Table1[[#This Row],[Revenue]]-Table1[[#This Row],[COGS]]</f>
        <v>250000</v>
      </c>
      <c r="Q1812" s="1">
        <v>1811</v>
      </c>
    </row>
    <row r="1813" spans="1:17">
      <c r="A1813" t="s">
        <v>176</v>
      </c>
      <c r="B1813" t="str">
        <f>TEXT(Table1[[#This Row],[Date]],"MMMM")</f>
        <v>January</v>
      </c>
      <c r="C1813" t="str">
        <f>TEXT(Table1[[#This Row],[Date]],"DDDD")</f>
        <v>Saturday</v>
      </c>
      <c r="D1813" t="s">
        <v>44</v>
      </c>
      <c r="E1813" t="s">
        <v>53</v>
      </c>
      <c r="F1813" t="s">
        <v>29</v>
      </c>
      <c r="G1813" t="s">
        <v>37</v>
      </c>
      <c r="H1813" t="s">
        <v>38</v>
      </c>
      <c r="I1813" t="s">
        <v>39</v>
      </c>
      <c r="J1813" s="3">
        <v>30000</v>
      </c>
      <c r="K1813">
        <v>1</v>
      </c>
      <c r="L1813" t="s">
        <v>65</v>
      </c>
      <c r="M1813" s="3">
        <v>24000</v>
      </c>
      <c r="N1813" s="3">
        <f>Table1[[#This Row],[Unit Price]]*Table1[[#This Row],[Quantity]]</f>
        <v>30000</v>
      </c>
      <c r="O1813" s="3">
        <f>Table1[[#This Row],[Cost Price]]*Table1[[#This Row],[Quantity]]</f>
        <v>24000</v>
      </c>
      <c r="P1813" s="3">
        <f>Table1[[#This Row],[Revenue]]-Table1[[#This Row],[COGS]]</f>
        <v>6000</v>
      </c>
      <c r="Q1813" s="1">
        <v>1812</v>
      </c>
    </row>
    <row r="1814" spans="1:17">
      <c r="A1814" t="s">
        <v>137</v>
      </c>
      <c r="B1814" t="str">
        <f>TEXT(Table1[[#This Row],[Date]],"MMMM")</f>
        <v>April</v>
      </c>
      <c r="C1814" t="str">
        <f>TEXT(Table1[[#This Row],[Date]],"DDDD")</f>
        <v>Wednesday</v>
      </c>
      <c r="D1814" t="s">
        <v>44</v>
      </c>
      <c r="E1814" t="s">
        <v>45</v>
      </c>
      <c r="F1814" t="s">
        <v>41</v>
      </c>
      <c r="G1814" t="s">
        <v>37</v>
      </c>
      <c r="H1814" t="s">
        <v>62</v>
      </c>
      <c r="I1814" t="s">
        <v>51</v>
      </c>
      <c r="J1814" s="3">
        <v>150000</v>
      </c>
      <c r="K1814">
        <v>9</v>
      </c>
      <c r="L1814" t="s">
        <v>65</v>
      </c>
      <c r="M1814" s="3">
        <v>120000</v>
      </c>
      <c r="N1814" s="3">
        <f>Table1[[#This Row],[Unit Price]]*Table1[[#This Row],[Quantity]]</f>
        <v>1350000</v>
      </c>
      <c r="O1814" s="3">
        <f>Table1[[#This Row],[Cost Price]]*Table1[[#This Row],[Quantity]]</f>
        <v>1080000</v>
      </c>
      <c r="P1814" s="3">
        <f>Table1[[#This Row],[Revenue]]-Table1[[#This Row],[COGS]]</f>
        <v>270000</v>
      </c>
      <c r="Q1814" s="1">
        <v>1813</v>
      </c>
    </row>
    <row r="1815" spans="1:17">
      <c r="A1815" t="s">
        <v>134</v>
      </c>
      <c r="B1815" t="str">
        <f>TEXT(Table1[[#This Row],[Date]],"MMMM")</f>
        <v>January</v>
      </c>
      <c r="C1815" t="str">
        <f>TEXT(Table1[[#This Row],[Date]],"DDDD")</f>
        <v>Wednesday</v>
      </c>
      <c r="D1815" t="s">
        <v>35</v>
      </c>
      <c r="E1815" t="s">
        <v>53</v>
      </c>
      <c r="F1815" t="s">
        <v>29</v>
      </c>
      <c r="G1815" t="s">
        <v>37</v>
      </c>
      <c r="H1815" t="s">
        <v>54</v>
      </c>
      <c r="I1815" t="s">
        <v>39</v>
      </c>
      <c r="J1815" s="3">
        <v>180000</v>
      </c>
      <c r="K1815">
        <v>2</v>
      </c>
      <c r="L1815" t="s">
        <v>65</v>
      </c>
      <c r="M1815" s="3">
        <v>144000</v>
      </c>
      <c r="N1815" s="3">
        <f>Table1[[#This Row],[Unit Price]]*Table1[[#This Row],[Quantity]]</f>
        <v>360000</v>
      </c>
      <c r="O1815" s="3">
        <f>Table1[[#This Row],[Cost Price]]*Table1[[#This Row],[Quantity]]</f>
        <v>288000</v>
      </c>
      <c r="P1815" s="3">
        <f>Table1[[#This Row],[Revenue]]-Table1[[#This Row],[COGS]]</f>
        <v>72000</v>
      </c>
      <c r="Q1815" s="1">
        <v>1814</v>
      </c>
    </row>
    <row r="1816" spans="1:17">
      <c r="A1816" t="s">
        <v>59</v>
      </c>
      <c r="B1816" t="str">
        <f>TEXT(Table1[[#This Row],[Date]],"MMMM")</f>
        <v>March</v>
      </c>
      <c r="C1816" t="str">
        <f>TEXT(Table1[[#This Row],[Date]],"DDDD")</f>
        <v>Monday</v>
      </c>
      <c r="D1816" t="s">
        <v>35</v>
      </c>
      <c r="E1816" t="s">
        <v>53</v>
      </c>
      <c r="F1816" t="s">
        <v>29</v>
      </c>
      <c r="G1816" t="s">
        <v>37</v>
      </c>
      <c r="H1816" t="s">
        <v>67</v>
      </c>
      <c r="I1816" t="s">
        <v>51</v>
      </c>
      <c r="J1816" s="3">
        <v>420000</v>
      </c>
      <c r="K1816">
        <v>10</v>
      </c>
      <c r="L1816" t="s">
        <v>47</v>
      </c>
      <c r="M1816" s="3">
        <v>336000</v>
      </c>
      <c r="N1816" s="3">
        <f>Table1[[#This Row],[Unit Price]]*Table1[[#This Row],[Quantity]]</f>
        <v>4200000</v>
      </c>
      <c r="O1816" s="3">
        <f>Table1[[#This Row],[Cost Price]]*Table1[[#This Row],[Quantity]]</f>
        <v>3360000</v>
      </c>
      <c r="P1816" s="3">
        <f>Table1[[#This Row],[Revenue]]-Table1[[#This Row],[COGS]]</f>
        <v>840000</v>
      </c>
      <c r="Q1816" s="1">
        <v>1815</v>
      </c>
    </row>
    <row r="1817" spans="1:17">
      <c r="A1817" t="s">
        <v>48</v>
      </c>
      <c r="B1817" t="str">
        <f>TEXT(Table1[[#This Row],[Date]],"MMMM")</f>
        <v>April</v>
      </c>
      <c r="C1817" t="str">
        <f>TEXT(Table1[[#This Row],[Date]],"DDDD")</f>
        <v>Sunday</v>
      </c>
      <c r="D1817" t="s">
        <v>27</v>
      </c>
      <c r="E1817" t="s">
        <v>45</v>
      </c>
      <c r="F1817" t="s">
        <v>41</v>
      </c>
      <c r="G1817" t="s">
        <v>37</v>
      </c>
      <c r="H1817" t="s">
        <v>50</v>
      </c>
      <c r="I1817" t="s">
        <v>51</v>
      </c>
      <c r="J1817" s="3">
        <v>300000</v>
      </c>
      <c r="K1817">
        <v>4</v>
      </c>
      <c r="L1817" t="s">
        <v>69</v>
      </c>
      <c r="M1817" s="3">
        <v>240000</v>
      </c>
      <c r="N1817" s="3">
        <f>Table1[[#This Row],[Unit Price]]*Table1[[#This Row],[Quantity]]</f>
        <v>1200000</v>
      </c>
      <c r="O1817" s="3">
        <f>Table1[[#This Row],[Cost Price]]*Table1[[#This Row],[Quantity]]</f>
        <v>960000</v>
      </c>
      <c r="P1817" s="3">
        <f>Table1[[#This Row],[Revenue]]-Table1[[#This Row],[COGS]]</f>
        <v>240000</v>
      </c>
      <c r="Q1817" s="1">
        <v>1816</v>
      </c>
    </row>
    <row r="1818" spans="1:17">
      <c r="A1818" t="s">
        <v>169</v>
      </c>
      <c r="B1818" t="str">
        <f>TEXT(Table1[[#This Row],[Date]],"MMMM")</f>
        <v>February</v>
      </c>
      <c r="C1818" t="str">
        <f>TEXT(Table1[[#This Row],[Date]],"DDDD")</f>
        <v>Saturday</v>
      </c>
      <c r="D1818" t="s">
        <v>27</v>
      </c>
      <c r="E1818" t="s">
        <v>28</v>
      </c>
      <c r="F1818" t="s">
        <v>29</v>
      </c>
      <c r="G1818" t="s">
        <v>37</v>
      </c>
      <c r="H1818" t="s">
        <v>54</v>
      </c>
      <c r="I1818" t="s">
        <v>39</v>
      </c>
      <c r="J1818" s="3">
        <v>180000</v>
      </c>
      <c r="K1818">
        <v>8</v>
      </c>
      <c r="L1818" t="s">
        <v>65</v>
      </c>
      <c r="M1818" s="3">
        <v>144000</v>
      </c>
      <c r="N1818" s="3">
        <f>Table1[[#This Row],[Unit Price]]*Table1[[#This Row],[Quantity]]</f>
        <v>1440000</v>
      </c>
      <c r="O1818" s="3">
        <f>Table1[[#This Row],[Cost Price]]*Table1[[#This Row],[Quantity]]</f>
        <v>1152000</v>
      </c>
      <c r="P1818" s="3">
        <f>Table1[[#This Row],[Revenue]]-Table1[[#This Row],[COGS]]</f>
        <v>288000</v>
      </c>
      <c r="Q1818" s="1">
        <v>1817</v>
      </c>
    </row>
    <row r="1819" spans="1:17">
      <c r="A1819" t="s">
        <v>125</v>
      </c>
      <c r="B1819" t="str">
        <f>TEXT(Table1[[#This Row],[Date]],"MMMM")</f>
        <v>February</v>
      </c>
      <c r="C1819" t="str">
        <f>TEXT(Table1[[#This Row],[Date]],"DDDD")</f>
        <v>Tuesday</v>
      </c>
      <c r="D1819" t="s">
        <v>35</v>
      </c>
      <c r="E1819" t="s">
        <v>53</v>
      </c>
      <c r="F1819" t="s">
        <v>29</v>
      </c>
      <c r="G1819" t="s">
        <v>37</v>
      </c>
      <c r="H1819" t="s">
        <v>67</v>
      </c>
      <c r="I1819" t="s">
        <v>51</v>
      </c>
      <c r="J1819" s="3">
        <v>420000</v>
      </c>
      <c r="K1819">
        <v>5</v>
      </c>
      <c r="L1819" t="s">
        <v>65</v>
      </c>
      <c r="M1819" s="3">
        <v>336000</v>
      </c>
      <c r="N1819" s="3">
        <f>Table1[[#This Row],[Unit Price]]*Table1[[#This Row],[Quantity]]</f>
        <v>2100000</v>
      </c>
      <c r="O1819" s="3">
        <f>Table1[[#This Row],[Cost Price]]*Table1[[#This Row],[Quantity]]</f>
        <v>1680000</v>
      </c>
      <c r="P1819" s="3">
        <f>Table1[[#This Row],[Revenue]]-Table1[[#This Row],[COGS]]</f>
        <v>420000</v>
      </c>
      <c r="Q1819" s="1">
        <v>1818</v>
      </c>
    </row>
    <row r="1820" spans="1:17">
      <c r="A1820" t="s">
        <v>174</v>
      </c>
      <c r="B1820" t="str">
        <f>TEXT(Table1[[#This Row],[Date]],"MMMM")</f>
        <v>February</v>
      </c>
      <c r="C1820" t="str">
        <f>TEXT(Table1[[#This Row],[Date]],"DDDD")</f>
        <v>Friday</v>
      </c>
      <c r="D1820" t="s">
        <v>44</v>
      </c>
      <c r="E1820" t="s">
        <v>36</v>
      </c>
      <c r="F1820" t="s">
        <v>41</v>
      </c>
      <c r="G1820" t="s">
        <v>37</v>
      </c>
      <c r="H1820" t="s">
        <v>54</v>
      </c>
      <c r="I1820" t="s">
        <v>39</v>
      </c>
      <c r="J1820" s="3">
        <v>180000</v>
      </c>
      <c r="K1820">
        <v>5</v>
      </c>
      <c r="L1820" t="s">
        <v>33</v>
      </c>
      <c r="M1820" s="3">
        <v>144000</v>
      </c>
      <c r="N1820" s="3">
        <f>Table1[[#This Row],[Unit Price]]*Table1[[#This Row],[Quantity]]</f>
        <v>900000</v>
      </c>
      <c r="O1820" s="3">
        <f>Table1[[#This Row],[Cost Price]]*Table1[[#This Row],[Quantity]]</f>
        <v>720000</v>
      </c>
      <c r="P1820" s="3">
        <f>Table1[[#This Row],[Revenue]]-Table1[[#This Row],[COGS]]</f>
        <v>180000</v>
      </c>
      <c r="Q1820" s="1">
        <v>1819</v>
      </c>
    </row>
    <row r="1821" spans="1:17">
      <c r="A1821" t="s">
        <v>55</v>
      </c>
      <c r="B1821" t="str">
        <f>TEXT(Table1[[#This Row],[Date]],"MMMM")</f>
        <v>March</v>
      </c>
      <c r="C1821" t="str">
        <f>TEXT(Table1[[#This Row],[Date]],"DDDD")</f>
        <v>Sunday</v>
      </c>
      <c r="D1821" t="s">
        <v>27</v>
      </c>
      <c r="E1821" t="s">
        <v>28</v>
      </c>
      <c r="F1821" t="s">
        <v>41</v>
      </c>
      <c r="G1821" t="s">
        <v>37</v>
      </c>
      <c r="H1821" t="s">
        <v>50</v>
      </c>
      <c r="I1821" t="s">
        <v>51</v>
      </c>
      <c r="J1821" s="3">
        <v>300000</v>
      </c>
      <c r="K1821">
        <v>1</v>
      </c>
      <c r="L1821" t="s">
        <v>65</v>
      </c>
      <c r="M1821" s="3">
        <v>240000</v>
      </c>
      <c r="N1821" s="3">
        <f>Table1[[#This Row],[Unit Price]]*Table1[[#This Row],[Quantity]]</f>
        <v>300000</v>
      </c>
      <c r="O1821" s="3">
        <f>Table1[[#This Row],[Cost Price]]*Table1[[#This Row],[Quantity]]</f>
        <v>240000</v>
      </c>
      <c r="P1821" s="3">
        <f>Table1[[#This Row],[Revenue]]-Table1[[#This Row],[COGS]]</f>
        <v>60000</v>
      </c>
      <c r="Q1821" s="1">
        <v>1820</v>
      </c>
    </row>
    <row r="1822" spans="1:17">
      <c r="A1822" t="s">
        <v>175</v>
      </c>
      <c r="B1822" t="str">
        <f>TEXT(Table1[[#This Row],[Date]],"MMMM")</f>
        <v>January</v>
      </c>
      <c r="C1822" t="str">
        <f>TEXT(Table1[[#This Row],[Date]],"DDDD")</f>
        <v>Wednesday</v>
      </c>
      <c r="D1822" t="s">
        <v>44</v>
      </c>
      <c r="E1822" t="s">
        <v>28</v>
      </c>
      <c r="F1822" t="s">
        <v>29</v>
      </c>
      <c r="G1822" t="s">
        <v>37</v>
      </c>
      <c r="H1822" t="s">
        <v>54</v>
      </c>
      <c r="I1822" t="s">
        <v>39</v>
      </c>
      <c r="J1822" s="3">
        <v>180000</v>
      </c>
      <c r="K1822">
        <v>7</v>
      </c>
      <c r="L1822" t="s">
        <v>65</v>
      </c>
      <c r="M1822" s="3">
        <v>144000</v>
      </c>
      <c r="N1822" s="3">
        <f>Table1[[#This Row],[Unit Price]]*Table1[[#This Row],[Quantity]]</f>
        <v>1260000</v>
      </c>
      <c r="O1822" s="3">
        <f>Table1[[#This Row],[Cost Price]]*Table1[[#This Row],[Quantity]]</f>
        <v>1008000</v>
      </c>
      <c r="P1822" s="3">
        <f>Table1[[#This Row],[Revenue]]-Table1[[#This Row],[COGS]]</f>
        <v>252000</v>
      </c>
      <c r="Q1822" s="1">
        <v>1821</v>
      </c>
    </row>
    <row r="1823" spans="1:17">
      <c r="A1823" t="s">
        <v>160</v>
      </c>
      <c r="B1823" t="str">
        <f>TEXT(Table1[[#This Row],[Date]],"MMMM")</f>
        <v>January</v>
      </c>
      <c r="C1823" t="str">
        <f>TEXT(Table1[[#This Row],[Date]],"DDDD")</f>
        <v>Saturday</v>
      </c>
      <c r="D1823" t="s">
        <v>35</v>
      </c>
      <c r="E1823" t="s">
        <v>45</v>
      </c>
      <c r="F1823" t="s">
        <v>41</v>
      </c>
      <c r="G1823" t="s">
        <v>37</v>
      </c>
      <c r="H1823" t="s">
        <v>38</v>
      </c>
      <c r="I1823" t="s">
        <v>39</v>
      </c>
      <c r="J1823" s="3">
        <v>30000</v>
      </c>
      <c r="K1823">
        <v>8</v>
      </c>
      <c r="L1823" t="s">
        <v>65</v>
      </c>
      <c r="M1823" s="3">
        <v>24000</v>
      </c>
      <c r="N1823" s="3">
        <f>Table1[[#This Row],[Unit Price]]*Table1[[#This Row],[Quantity]]</f>
        <v>240000</v>
      </c>
      <c r="O1823" s="3">
        <f>Table1[[#This Row],[Cost Price]]*Table1[[#This Row],[Quantity]]</f>
        <v>192000</v>
      </c>
      <c r="P1823" s="3">
        <f>Table1[[#This Row],[Revenue]]-Table1[[#This Row],[COGS]]</f>
        <v>48000</v>
      </c>
      <c r="Q1823" s="1">
        <v>1822</v>
      </c>
    </row>
    <row r="1824" spans="1:17">
      <c r="A1824" t="s">
        <v>92</v>
      </c>
      <c r="B1824" t="str">
        <f>TEXT(Table1[[#This Row],[Date]],"MMMM")</f>
        <v>January</v>
      </c>
      <c r="C1824" t="str">
        <f>TEXT(Table1[[#This Row],[Date]],"DDDD")</f>
        <v>Tuesday</v>
      </c>
      <c r="D1824" t="s">
        <v>49</v>
      </c>
      <c r="E1824" t="s">
        <v>28</v>
      </c>
      <c r="F1824" t="s">
        <v>29</v>
      </c>
      <c r="G1824" t="s">
        <v>37</v>
      </c>
      <c r="H1824" t="s">
        <v>31</v>
      </c>
      <c r="I1824" t="s">
        <v>32</v>
      </c>
      <c r="J1824" s="3">
        <v>85000</v>
      </c>
      <c r="K1824">
        <v>10</v>
      </c>
      <c r="L1824" t="s">
        <v>47</v>
      </c>
      <c r="M1824" s="3">
        <v>68000</v>
      </c>
      <c r="N1824" s="3">
        <f>Table1[[#This Row],[Unit Price]]*Table1[[#This Row],[Quantity]]</f>
        <v>850000</v>
      </c>
      <c r="O1824" s="3">
        <f>Table1[[#This Row],[Cost Price]]*Table1[[#This Row],[Quantity]]</f>
        <v>680000</v>
      </c>
      <c r="P1824" s="3">
        <f>Table1[[#This Row],[Revenue]]-Table1[[#This Row],[COGS]]</f>
        <v>170000</v>
      </c>
      <c r="Q1824" s="1">
        <v>1823</v>
      </c>
    </row>
    <row r="1825" spans="1:17">
      <c r="A1825" t="s">
        <v>26</v>
      </c>
      <c r="B1825" t="str">
        <f>TEXT(Table1[[#This Row],[Date]],"MMMM")</f>
        <v>January</v>
      </c>
      <c r="C1825" t="str">
        <f>TEXT(Table1[[#This Row],[Date]],"DDDD")</f>
        <v>Sunday</v>
      </c>
      <c r="D1825" t="s">
        <v>35</v>
      </c>
      <c r="E1825" t="s">
        <v>45</v>
      </c>
      <c r="F1825" t="s">
        <v>29</v>
      </c>
      <c r="G1825" t="s">
        <v>37</v>
      </c>
      <c r="H1825" t="s">
        <v>31</v>
      </c>
      <c r="I1825" t="s">
        <v>32</v>
      </c>
      <c r="J1825" s="3">
        <v>85000</v>
      </c>
      <c r="K1825">
        <v>1</v>
      </c>
      <c r="L1825" t="s">
        <v>33</v>
      </c>
      <c r="M1825" s="3">
        <v>68000</v>
      </c>
      <c r="N1825" s="3">
        <f>Table1[[#This Row],[Unit Price]]*Table1[[#This Row],[Quantity]]</f>
        <v>85000</v>
      </c>
      <c r="O1825" s="3">
        <f>Table1[[#This Row],[Cost Price]]*Table1[[#This Row],[Quantity]]</f>
        <v>68000</v>
      </c>
      <c r="P1825" s="3">
        <f>Table1[[#This Row],[Revenue]]-Table1[[#This Row],[COGS]]</f>
        <v>17000</v>
      </c>
      <c r="Q1825" s="1">
        <v>1824</v>
      </c>
    </row>
    <row r="1826" spans="1:17">
      <c r="A1826" t="s">
        <v>72</v>
      </c>
      <c r="B1826" t="str">
        <f>TEXT(Table1[[#This Row],[Date]],"MMMM")</f>
        <v>February</v>
      </c>
      <c r="C1826" t="str">
        <f>TEXT(Table1[[#This Row],[Date]],"DDDD")</f>
        <v>Wednesday</v>
      </c>
      <c r="D1826" t="s">
        <v>49</v>
      </c>
      <c r="E1826" t="s">
        <v>36</v>
      </c>
      <c r="F1826" t="s">
        <v>41</v>
      </c>
      <c r="G1826" t="s">
        <v>37</v>
      </c>
      <c r="H1826" t="s">
        <v>62</v>
      </c>
      <c r="I1826" t="s">
        <v>51</v>
      </c>
      <c r="J1826" s="3">
        <v>150000</v>
      </c>
      <c r="K1826">
        <v>8</v>
      </c>
      <c r="L1826" t="s">
        <v>65</v>
      </c>
      <c r="M1826" s="3">
        <v>120000</v>
      </c>
      <c r="N1826" s="3">
        <f>Table1[[#This Row],[Unit Price]]*Table1[[#This Row],[Quantity]]</f>
        <v>1200000</v>
      </c>
      <c r="O1826" s="3">
        <f>Table1[[#This Row],[Cost Price]]*Table1[[#This Row],[Quantity]]</f>
        <v>960000</v>
      </c>
      <c r="P1826" s="3">
        <f>Table1[[#This Row],[Revenue]]-Table1[[#This Row],[COGS]]</f>
        <v>240000</v>
      </c>
      <c r="Q1826" s="1">
        <v>1825</v>
      </c>
    </row>
    <row r="1827" spans="1:17">
      <c r="A1827" t="s">
        <v>128</v>
      </c>
      <c r="B1827" t="str">
        <f>TEXT(Table1[[#This Row],[Date]],"MMMM")</f>
        <v>March</v>
      </c>
      <c r="C1827" t="str">
        <f>TEXT(Table1[[#This Row],[Date]],"DDDD")</f>
        <v>Friday</v>
      </c>
      <c r="D1827" t="s">
        <v>27</v>
      </c>
      <c r="E1827" t="s">
        <v>36</v>
      </c>
      <c r="F1827" t="s">
        <v>41</v>
      </c>
      <c r="G1827" t="s">
        <v>37</v>
      </c>
      <c r="H1827" t="s">
        <v>67</v>
      </c>
      <c r="I1827" t="s">
        <v>51</v>
      </c>
      <c r="J1827" s="3">
        <v>420000</v>
      </c>
      <c r="K1827">
        <v>6</v>
      </c>
      <c r="L1827" t="s">
        <v>58</v>
      </c>
      <c r="M1827" s="3">
        <v>336000</v>
      </c>
      <c r="N1827" s="3">
        <f>Table1[[#This Row],[Unit Price]]*Table1[[#This Row],[Quantity]]</f>
        <v>2520000</v>
      </c>
      <c r="O1827" s="3">
        <f>Table1[[#This Row],[Cost Price]]*Table1[[#This Row],[Quantity]]</f>
        <v>2016000</v>
      </c>
      <c r="P1827" s="3">
        <f>Table1[[#This Row],[Revenue]]-Table1[[#This Row],[COGS]]</f>
        <v>504000</v>
      </c>
      <c r="Q1827" s="1">
        <v>1826</v>
      </c>
    </row>
    <row r="1828" spans="1:17">
      <c r="A1828" t="s">
        <v>172</v>
      </c>
      <c r="B1828" t="str">
        <f>TEXT(Table1[[#This Row],[Date]],"MMMM")</f>
        <v>March</v>
      </c>
      <c r="C1828" t="str">
        <f>TEXT(Table1[[#This Row],[Date]],"DDDD")</f>
        <v>Saturday</v>
      </c>
      <c r="D1828" t="s">
        <v>44</v>
      </c>
      <c r="E1828" t="s">
        <v>53</v>
      </c>
      <c r="F1828" t="s">
        <v>29</v>
      </c>
      <c r="G1828" t="s">
        <v>37</v>
      </c>
      <c r="H1828" t="s">
        <v>46</v>
      </c>
      <c r="I1828" t="s">
        <v>39</v>
      </c>
      <c r="J1828" s="3">
        <v>60000</v>
      </c>
      <c r="K1828">
        <v>8</v>
      </c>
      <c r="L1828" t="s">
        <v>58</v>
      </c>
      <c r="M1828" s="3">
        <v>48000</v>
      </c>
      <c r="N1828" s="3">
        <f>Table1[[#This Row],[Unit Price]]*Table1[[#This Row],[Quantity]]</f>
        <v>480000</v>
      </c>
      <c r="O1828" s="3">
        <f>Table1[[#This Row],[Cost Price]]*Table1[[#This Row],[Quantity]]</f>
        <v>384000</v>
      </c>
      <c r="P1828" s="3">
        <f>Table1[[#This Row],[Revenue]]-Table1[[#This Row],[COGS]]</f>
        <v>96000</v>
      </c>
      <c r="Q1828" s="1">
        <v>1827</v>
      </c>
    </row>
    <row r="1829" spans="1:17">
      <c r="A1829" t="s">
        <v>34</v>
      </c>
      <c r="B1829" t="str">
        <f>TEXT(Table1[[#This Row],[Date]],"MMMM")</f>
        <v>April</v>
      </c>
      <c r="C1829" t="str">
        <f>TEXT(Table1[[#This Row],[Date]],"DDDD")</f>
        <v>Tuesday</v>
      </c>
      <c r="D1829" t="s">
        <v>44</v>
      </c>
      <c r="E1829" t="s">
        <v>28</v>
      </c>
      <c r="F1829" t="s">
        <v>29</v>
      </c>
      <c r="G1829" t="s">
        <v>37</v>
      </c>
      <c r="H1829" t="s">
        <v>50</v>
      </c>
      <c r="I1829" t="s">
        <v>51</v>
      </c>
      <c r="J1829" s="3">
        <v>300000</v>
      </c>
      <c r="K1829">
        <v>7</v>
      </c>
      <c r="L1829" t="s">
        <v>47</v>
      </c>
      <c r="M1829" s="3">
        <v>240000</v>
      </c>
      <c r="N1829" s="3">
        <f>Table1[[#This Row],[Unit Price]]*Table1[[#This Row],[Quantity]]</f>
        <v>2100000</v>
      </c>
      <c r="O1829" s="3">
        <f>Table1[[#This Row],[Cost Price]]*Table1[[#This Row],[Quantity]]</f>
        <v>1680000</v>
      </c>
      <c r="P1829" s="3">
        <f>Table1[[#This Row],[Revenue]]-Table1[[#This Row],[COGS]]</f>
        <v>420000</v>
      </c>
      <c r="Q1829" s="1">
        <v>1828</v>
      </c>
    </row>
    <row r="1830" spans="1:17">
      <c r="A1830" t="s">
        <v>74</v>
      </c>
      <c r="B1830" t="str">
        <f>TEXT(Table1[[#This Row],[Date]],"MMMM")</f>
        <v>February</v>
      </c>
      <c r="C1830" t="str">
        <f>TEXT(Table1[[#This Row],[Date]],"DDDD")</f>
        <v>Monday</v>
      </c>
      <c r="D1830" t="s">
        <v>35</v>
      </c>
      <c r="E1830" t="s">
        <v>36</v>
      </c>
      <c r="F1830" t="s">
        <v>41</v>
      </c>
      <c r="G1830" t="s">
        <v>37</v>
      </c>
      <c r="H1830" t="s">
        <v>62</v>
      </c>
      <c r="I1830" t="s">
        <v>51</v>
      </c>
      <c r="J1830" s="3">
        <v>150000</v>
      </c>
      <c r="K1830">
        <v>8</v>
      </c>
      <c r="L1830" t="s">
        <v>65</v>
      </c>
      <c r="M1830" s="3">
        <v>120000</v>
      </c>
      <c r="N1830" s="3">
        <f>Table1[[#This Row],[Unit Price]]*Table1[[#This Row],[Quantity]]</f>
        <v>1200000</v>
      </c>
      <c r="O1830" s="3">
        <f>Table1[[#This Row],[Cost Price]]*Table1[[#This Row],[Quantity]]</f>
        <v>960000</v>
      </c>
      <c r="P1830" s="3">
        <f>Table1[[#This Row],[Revenue]]-Table1[[#This Row],[COGS]]</f>
        <v>240000</v>
      </c>
      <c r="Q1830" s="1">
        <v>1829</v>
      </c>
    </row>
    <row r="1831" spans="1:17">
      <c r="A1831" t="s">
        <v>114</v>
      </c>
      <c r="B1831" t="str">
        <f>TEXT(Table1[[#This Row],[Date]],"MMMM")</f>
        <v>April</v>
      </c>
      <c r="C1831" t="str">
        <f>TEXT(Table1[[#This Row],[Date]],"DDDD")</f>
        <v>Sunday</v>
      </c>
      <c r="D1831" t="s">
        <v>35</v>
      </c>
      <c r="E1831" t="s">
        <v>28</v>
      </c>
      <c r="F1831" t="s">
        <v>41</v>
      </c>
      <c r="G1831" t="s">
        <v>37</v>
      </c>
      <c r="H1831" t="s">
        <v>46</v>
      </c>
      <c r="I1831" t="s">
        <v>39</v>
      </c>
      <c r="J1831" s="3">
        <v>60000</v>
      </c>
      <c r="K1831">
        <v>10</v>
      </c>
      <c r="L1831" t="s">
        <v>33</v>
      </c>
      <c r="M1831" s="3">
        <v>48000</v>
      </c>
      <c r="N1831" s="3">
        <f>Table1[[#This Row],[Unit Price]]*Table1[[#This Row],[Quantity]]</f>
        <v>600000</v>
      </c>
      <c r="O1831" s="3">
        <f>Table1[[#This Row],[Cost Price]]*Table1[[#This Row],[Quantity]]</f>
        <v>480000</v>
      </c>
      <c r="P1831" s="3">
        <f>Table1[[#This Row],[Revenue]]-Table1[[#This Row],[COGS]]</f>
        <v>120000</v>
      </c>
      <c r="Q1831" s="1">
        <v>1830</v>
      </c>
    </row>
    <row r="1832" spans="1:17">
      <c r="A1832" t="s">
        <v>52</v>
      </c>
      <c r="B1832" t="str">
        <f>TEXT(Table1[[#This Row],[Date]],"MMMM")</f>
        <v>March</v>
      </c>
      <c r="C1832" t="str">
        <f>TEXT(Table1[[#This Row],[Date]],"DDDD")</f>
        <v>Saturday</v>
      </c>
      <c r="D1832" t="s">
        <v>49</v>
      </c>
      <c r="E1832" t="s">
        <v>45</v>
      </c>
      <c r="F1832" t="s">
        <v>29</v>
      </c>
      <c r="G1832" t="s">
        <v>37</v>
      </c>
      <c r="H1832" t="s">
        <v>56</v>
      </c>
      <c r="I1832" t="s">
        <v>32</v>
      </c>
      <c r="J1832" s="3">
        <v>320000</v>
      </c>
      <c r="K1832">
        <v>9</v>
      </c>
      <c r="L1832" t="s">
        <v>58</v>
      </c>
      <c r="M1832" s="3">
        <v>256000</v>
      </c>
      <c r="N1832" s="3">
        <f>Table1[[#This Row],[Unit Price]]*Table1[[#This Row],[Quantity]]</f>
        <v>2880000</v>
      </c>
      <c r="O1832" s="3">
        <f>Table1[[#This Row],[Cost Price]]*Table1[[#This Row],[Quantity]]</f>
        <v>2304000</v>
      </c>
      <c r="P1832" s="3">
        <f>Table1[[#This Row],[Revenue]]-Table1[[#This Row],[COGS]]</f>
        <v>576000</v>
      </c>
      <c r="Q1832" s="1">
        <v>1831</v>
      </c>
    </row>
    <row r="1833" spans="1:17">
      <c r="A1833" t="s">
        <v>161</v>
      </c>
      <c r="B1833" t="str">
        <f>TEXT(Table1[[#This Row],[Date]],"MMMM")</f>
        <v>March</v>
      </c>
      <c r="C1833" t="str">
        <f>TEXT(Table1[[#This Row],[Date]],"DDDD")</f>
        <v>Thursday</v>
      </c>
      <c r="D1833" t="s">
        <v>27</v>
      </c>
      <c r="E1833" t="s">
        <v>28</v>
      </c>
      <c r="F1833" t="s">
        <v>29</v>
      </c>
      <c r="G1833" t="s">
        <v>37</v>
      </c>
      <c r="H1833" t="s">
        <v>71</v>
      </c>
      <c r="I1833" t="s">
        <v>51</v>
      </c>
      <c r="J1833" s="3">
        <v>250000</v>
      </c>
      <c r="K1833">
        <v>9</v>
      </c>
      <c r="L1833" t="s">
        <v>47</v>
      </c>
      <c r="M1833" s="3">
        <v>200000</v>
      </c>
      <c r="N1833" s="3">
        <f>Table1[[#This Row],[Unit Price]]*Table1[[#This Row],[Quantity]]</f>
        <v>2250000</v>
      </c>
      <c r="O1833" s="3">
        <f>Table1[[#This Row],[Cost Price]]*Table1[[#This Row],[Quantity]]</f>
        <v>1800000</v>
      </c>
      <c r="P1833" s="3">
        <f>Table1[[#This Row],[Revenue]]-Table1[[#This Row],[COGS]]</f>
        <v>450000</v>
      </c>
      <c r="Q1833" s="1">
        <v>1832</v>
      </c>
    </row>
    <row r="1834" spans="1:17">
      <c r="A1834" t="s">
        <v>145</v>
      </c>
      <c r="B1834" t="str">
        <f>TEXT(Table1[[#This Row],[Date]],"MMMM")</f>
        <v>January</v>
      </c>
      <c r="C1834" t="str">
        <f>TEXT(Table1[[#This Row],[Date]],"DDDD")</f>
        <v>Friday</v>
      </c>
      <c r="D1834" t="s">
        <v>44</v>
      </c>
      <c r="E1834" t="s">
        <v>45</v>
      </c>
      <c r="F1834" t="s">
        <v>29</v>
      </c>
      <c r="G1834" t="s">
        <v>37</v>
      </c>
      <c r="H1834" t="s">
        <v>73</v>
      </c>
      <c r="I1834" t="s">
        <v>39</v>
      </c>
      <c r="J1834" s="3">
        <v>220000</v>
      </c>
      <c r="K1834">
        <v>7</v>
      </c>
      <c r="L1834" t="s">
        <v>58</v>
      </c>
      <c r="M1834" s="3">
        <v>176000</v>
      </c>
      <c r="N1834" s="3">
        <f>Table1[[#This Row],[Unit Price]]*Table1[[#This Row],[Quantity]]</f>
        <v>1540000</v>
      </c>
      <c r="O1834" s="3">
        <f>Table1[[#This Row],[Cost Price]]*Table1[[#This Row],[Quantity]]</f>
        <v>1232000</v>
      </c>
      <c r="P1834" s="3">
        <f>Table1[[#This Row],[Revenue]]-Table1[[#This Row],[COGS]]</f>
        <v>308000</v>
      </c>
      <c r="Q1834" s="1">
        <v>1833</v>
      </c>
    </row>
    <row r="1835" spans="1:17">
      <c r="A1835" t="s">
        <v>171</v>
      </c>
      <c r="B1835" t="str">
        <f>TEXT(Table1[[#This Row],[Date]],"MMMM")</f>
        <v>March</v>
      </c>
      <c r="C1835" t="str">
        <f>TEXT(Table1[[#This Row],[Date]],"DDDD")</f>
        <v>Monday</v>
      </c>
      <c r="D1835" t="s">
        <v>44</v>
      </c>
      <c r="E1835" t="s">
        <v>36</v>
      </c>
      <c r="F1835" t="s">
        <v>29</v>
      </c>
      <c r="G1835" t="s">
        <v>37</v>
      </c>
      <c r="H1835" t="s">
        <v>56</v>
      </c>
      <c r="I1835" t="s">
        <v>32</v>
      </c>
      <c r="J1835" s="3">
        <v>320000</v>
      </c>
      <c r="K1835">
        <v>4</v>
      </c>
      <c r="L1835" t="s">
        <v>42</v>
      </c>
      <c r="M1835" s="3">
        <v>256000</v>
      </c>
      <c r="N1835" s="3">
        <f>Table1[[#This Row],[Unit Price]]*Table1[[#This Row],[Quantity]]</f>
        <v>1280000</v>
      </c>
      <c r="O1835" s="3">
        <f>Table1[[#This Row],[Cost Price]]*Table1[[#This Row],[Quantity]]</f>
        <v>1024000</v>
      </c>
      <c r="P1835" s="3">
        <f>Table1[[#This Row],[Revenue]]-Table1[[#This Row],[COGS]]</f>
        <v>256000</v>
      </c>
      <c r="Q1835" s="1">
        <v>1834</v>
      </c>
    </row>
    <row r="1836" spans="1:17">
      <c r="A1836" t="s">
        <v>106</v>
      </c>
      <c r="B1836" t="str">
        <f>TEXT(Table1[[#This Row],[Date]],"MMMM")</f>
        <v>April</v>
      </c>
      <c r="C1836" t="str">
        <f>TEXT(Table1[[#This Row],[Date]],"DDDD")</f>
        <v>Wednesday</v>
      </c>
      <c r="D1836" t="s">
        <v>44</v>
      </c>
      <c r="E1836" t="s">
        <v>36</v>
      </c>
      <c r="F1836" t="s">
        <v>41</v>
      </c>
      <c r="G1836" t="s">
        <v>37</v>
      </c>
      <c r="H1836" t="s">
        <v>73</v>
      </c>
      <c r="I1836" t="s">
        <v>39</v>
      </c>
      <c r="J1836" s="3">
        <v>220000</v>
      </c>
      <c r="K1836">
        <v>1</v>
      </c>
      <c r="L1836" t="s">
        <v>65</v>
      </c>
      <c r="M1836" s="3">
        <v>176000</v>
      </c>
      <c r="N1836" s="3">
        <f>Table1[[#This Row],[Unit Price]]*Table1[[#This Row],[Quantity]]</f>
        <v>220000</v>
      </c>
      <c r="O1836" s="3">
        <f>Table1[[#This Row],[Cost Price]]*Table1[[#This Row],[Quantity]]</f>
        <v>176000</v>
      </c>
      <c r="P1836" s="3">
        <f>Table1[[#This Row],[Revenue]]-Table1[[#This Row],[COGS]]</f>
        <v>44000</v>
      </c>
      <c r="Q1836" s="1">
        <v>1835</v>
      </c>
    </row>
    <row r="1837" spans="1:17">
      <c r="A1837" t="s">
        <v>174</v>
      </c>
      <c r="B1837" t="str">
        <f>TEXT(Table1[[#This Row],[Date]],"MMMM")</f>
        <v>February</v>
      </c>
      <c r="C1837" t="str">
        <f>TEXT(Table1[[#This Row],[Date]],"DDDD")</f>
        <v>Friday</v>
      </c>
      <c r="D1837" t="s">
        <v>27</v>
      </c>
      <c r="E1837" t="s">
        <v>36</v>
      </c>
      <c r="F1837" t="s">
        <v>29</v>
      </c>
      <c r="G1837" t="s">
        <v>37</v>
      </c>
      <c r="H1837" t="s">
        <v>38</v>
      </c>
      <c r="I1837" t="s">
        <v>39</v>
      </c>
      <c r="J1837" s="3">
        <v>30000</v>
      </c>
      <c r="K1837">
        <v>9</v>
      </c>
      <c r="L1837" t="s">
        <v>65</v>
      </c>
      <c r="M1837" s="3">
        <v>24000</v>
      </c>
      <c r="N1837" s="3">
        <f>Table1[[#This Row],[Unit Price]]*Table1[[#This Row],[Quantity]]</f>
        <v>270000</v>
      </c>
      <c r="O1837" s="3">
        <f>Table1[[#This Row],[Cost Price]]*Table1[[#This Row],[Quantity]]</f>
        <v>216000</v>
      </c>
      <c r="P1837" s="3">
        <f>Table1[[#This Row],[Revenue]]-Table1[[#This Row],[COGS]]</f>
        <v>54000</v>
      </c>
      <c r="Q1837" s="1">
        <v>1836</v>
      </c>
    </row>
    <row r="1838" spans="1:17">
      <c r="A1838" t="s">
        <v>123</v>
      </c>
      <c r="B1838" t="str">
        <f>TEXT(Table1[[#This Row],[Date]],"MMMM")</f>
        <v>April</v>
      </c>
      <c r="C1838" t="str">
        <f>TEXT(Table1[[#This Row],[Date]],"DDDD")</f>
        <v>Monday</v>
      </c>
      <c r="D1838" t="s">
        <v>49</v>
      </c>
      <c r="E1838" t="s">
        <v>36</v>
      </c>
      <c r="F1838" t="s">
        <v>41</v>
      </c>
      <c r="G1838" t="s">
        <v>37</v>
      </c>
      <c r="H1838" t="s">
        <v>38</v>
      </c>
      <c r="I1838" t="s">
        <v>39</v>
      </c>
      <c r="J1838" s="3">
        <v>30000</v>
      </c>
      <c r="K1838">
        <v>8</v>
      </c>
      <c r="L1838" t="s">
        <v>65</v>
      </c>
      <c r="M1838" s="3">
        <v>24000</v>
      </c>
      <c r="N1838" s="3">
        <f>Table1[[#This Row],[Unit Price]]*Table1[[#This Row],[Quantity]]</f>
        <v>240000</v>
      </c>
      <c r="O1838" s="3">
        <f>Table1[[#This Row],[Cost Price]]*Table1[[#This Row],[Quantity]]</f>
        <v>192000</v>
      </c>
      <c r="P1838" s="3">
        <f>Table1[[#This Row],[Revenue]]-Table1[[#This Row],[COGS]]</f>
        <v>48000</v>
      </c>
      <c r="Q1838" s="1">
        <v>1837</v>
      </c>
    </row>
    <row r="1839" spans="1:17">
      <c r="A1839" t="s">
        <v>147</v>
      </c>
      <c r="B1839" t="str">
        <f>TEXT(Table1[[#This Row],[Date]],"MMMM")</f>
        <v>January</v>
      </c>
      <c r="C1839" t="str">
        <f>TEXT(Table1[[#This Row],[Date]],"DDDD")</f>
        <v>Saturday</v>
      </c>
      <c r="D1839" t="s">
        <v>44</v>
      </c>
      <c r="E1839" t="s">
        <v>36</v>
      </c>
      <c r="F1839" t="s">
        <v>41</v>
      </c>
      <c r="G1839" t="s">
        <v>37</v>
      </c>
      <c r="H1839" t="s">
        <v>46</v>
      </c>
      <c r="I1839" t="s">
        <v>39</v>
      </c>
      <c r="J1839" s="3">
        <v>60000</v>
      </c>
      <c r="K1839">
        <v>7</v>
      </c>
      <c r="L1839" t="s">
        <v>42</v>
      </c>
      <c r="M1839" s="3">
        <v>48000</v>
      </c>
      <c r="N1839" s="3">
        <f>Table1[[#This Row],[Unit Price]]*Table1[[#This Row],[Quantity]]</f>
        <v>420000</v>
      </c>
      <c r="O1839" s="3">
        <f>Table1[[#This Row],[Cost Price]]*Table1[[#This Row],[Quantity]]</f>
        <v>336000</v>
      </c>
      <c r="P1839" s="3">
        <f>Table1[[#This Row],[Revenue]]-Table1[[#This Row],[COGS]]</f>
        <v>84000</v>
      </c>
      <c r="Q1839" s="1">
        <v>1838</v>
      </c>
    </row>
    <row r="1840" spans="1:17">
      <c r="A1840" t="s">
        <v>153</v>
      </c>
      <c r="B1840" t="str">
        <f>TEXT(Table1[[#This Row],[Date]],"MMMM")</f>
        <v>March</v>
      </c>
      <c r="C1840" t="str">
        <f>TEXT(Table1[[#This Row],[Date]],"DDDD")</f>
        <v>Tuesday</v>
      </c>
      <c r="D1840" t="s">
        <v>27</v>
      </c>
      <c r="E1840" t="s">
        <v>45</v>
      </c>
      <c r="F1840" t="s">
        <v>29</v>
      </c>
      <c r="G1840" t="s">
        <v>37</v>
      </c>
      <c r="H1840" t="s">
        <v>38</v>
      </c>
      <c r="I1840" t="s">
        <v>39</v>
      </c>
      <c r="J1840" s="3">
        <v>30000</v>
      </c>
      <c r="K1840">
        <v>7</v>
      </c>
      <c r="L1840" t="s">
        <v>69</v>
      </c>
      <c r="M1840" s="3">
        <v>24000</v>
      </c>
      <c r="N1840" s="3">
        <f>Table1[[#This Row],[Unit Price]]*Table1[[#This Row],[Quantity]]</f>
        <v>210000</v>
      </c>
      <c r="O1840" s="3">
        <f>Table1[[#This Row],[Cost Price]]*Table1[[#This Row],[Quantity]]</f>
        <v>168000</v>
      </c>
      <c r="P1840" s="3">
        <f>Table1[[#This Row],[Revenue]]-Table1[[#This Row],[COGS]]</f>
        <v>42000</v>
      </c>
      <c r="Q1840" s="1">
        <v>1839</v>
      </c>
    </row>
    <row r="1841" spans="1:17">
      <c r="A1841" t="s">
        <v>84</v>
      </c>
      <c r="B1841" t="str">
        <f>TEXT(Table1[[#This Row],[Date]],"MMMM")</f>
        <v>January</v>
      </c>
      <c r="C1841" t="str">
        <f>TEXT(Table1[[#This Row],[Date]],"DDDD")</f>
        <v>Wednesday</v>
      </c>
      <c r="D1841" t="s">
        <v>27</v>
      </c>
      <c r="E1841" t="s">
        <v>28</v>
      </c>
      <c r="F1841" t="s">
        <v>29</v>
      </c>
      <c r="G1841" t="s">
        <v>37</v>
      </c>
      <c r="H1841" t="s">
        <v>50</v>
      </c>
      <c r="I1841" t="s">
        <v>51</v>
      </c>
      <c r="J1841" s="3">
        <v>300000</v>
      </c>
      <c r="K1841">
        <v>6</v>
      </c>
      <c r="L1841" t="s">
        <v>65</v>
      </c>
      <c r="M1841" s="3">
        <v>240000</v>
      </c>
      <c r="N1841" s="3">
        <f>Table1[[#This Row],[Unit Price]]*Table1[[#This Row],[Quantity]]</f>
        <v>1800000</v>
      </c>
      <c r="O1841" s="3">
        <f>Table1[[#This Row],[Cost Price]]*Table1[[#This Row],[Quantity]]</f>
        <v>1440000</v>
      </c>
      <c r="P1841" s="3">
        <f>Table1[[#This Row],[Revenue]]-Table1[[#This Row],[COGS]]</f>
        <v>360000</v>
      </c>
      <c r="Q1841" s="1">
        <v>1840</v>
      </c>
    </row>
    <row r="1842" spans="1:17">
      <c r="A1842" t="s">
        <v>79</v>
      </c>
      <c r="B1842" t="str">
        <f>TEXT(Table1[[#This Row],[Date]],"MMMM")</f>
        <v>February</v>
      </c>
      <c r="C1842" t="str">
        <f>TEXT(Table1[[#This Row],[Date]],"DDDD")</f>
        <v>Wednesday</v>
      </c>
      <c r="D1842" t="s">
        <v>49</v>
      </c>
      <c r="E1842" t="s">
        <v>53</v>
      </c>
      <c r="F1842" t="s">
        <v>41</v>
      </c>
      <c r="G1842" t="s">
        <v>37</v>
      </c>
      <c r="H1842" t="s">
        <v>50</v>
      </c>
      <c r="I1842" t="s">
        <v>51</v>
      </c>
      <c r="J1842" s="3">
        <v>300000</v>
      </c>
      <c r="K1842">
        <v>4</v>
      </c>
      <c r="L1842" t="s">
        <v>69</v>
      </c>
      <c r="M1842" s="3">
        <v>240000</v>
      </c>
      <c r="N1842" s="3">
        <f>Table1[[#This Row],[Unit Price]]*Table1[[#This Row],[Quantity]]</f>
        <v>1200000</v>
      </c>
      <c r="O1842" s="3">
        <f>Table1[[#This Row],[Cost Price]]*Table1[[#This Row],[Quantity]]</f>
        <v>960000</v>
      </c>
      <c r="P1842" s="3">
        <f>Table1[[#This Row],[Revenue]]-Table1[[#This Row],[COGS]]</f>
        <v>240000</v>
      </c>
      <c r="Q1842" s="1">
        <v>1841</v>
      </c>
    </row>
    <row r="1843" spans="1:17">
      <c r="A1843" t="s">
        <v>156</v>
      </c>
      <c r="B1843" t="str">
        <f>TEXT(Table1[[#This Row],[Date]],"MMMM")</f>
        <v>February</v>
      </c>
      <c r="C1843" t="str">
        <f>TEXT(Table1[[#This Row],[Date]],"DDDD")</f>
        <v>Friday</v>
      </c>
      <c r="D1843" t="s">
        <v>44</v>
      </c>
      <c r="E1843" t="s">
        <v>45</v>
      </c>
      <c r="F1843" t="s">
        <v>29</v>
      </c>
      <c r="G1843" t="s">
        <v>37</v>
      </c>
      <c r="H1843" t="s">
        <v>31</v>
      </c>
      <c r="I1843" t="s">
        <v>32</v>
      </c>
      <c r="J1843" s="3">
        <v>85000</v>
      </c>
      <c r="K1843">
        <v>2</v>
      </c>
      <c r="L1843" t="s">
        <v>33</v>
      </c>
      <c r="M1843" s="3">
        <v>68000</v>
      </c>
      <c r="N1843" s="3">
        <f>Table1[[#This Row],[Unit Price]]*Table1[[#This Row],[Quantity]]</f>
        <v>170000</v>
      </c>
      <c r="O1843" s="3">
        <f>Table1[[#This Row],[Cost Price]]*Table1[[#This Row],[Quantity]]</f>
        <v>136000</v>
      </c>
      <c r="P1843" s="3">
        <f>Table1[[#This Row],[Revenue]]-Table1[[#This Row],[COGS]]</f>
        <v>34000</v>
      </c>
      <c r="Q1843" s="1">
        <v>1842</v>
      </c>
    </row>
    <row r="1844" spans="1:17">
      <c r="A1844" t="s">
        <v>76</v>
      </c>
      <c r="B1844" t="str">
        <f>TEXT(Table1[[#This Row],[Date]],"MMMM")</f>
        <v>May</v>
      </c>
      <c r="C1844" t="str">
        <f>TEXT(Table1[[#This Row],[Date]],"DDDD")</f>
        <v>Thursday</v>
      </c>
      <c r="D1844" t="s">
        <v>49</v>
      </c>
      <c r="E1844" t="s">
        <v>45</v>
      </c>
      <c r="F1844" t="s">
        <v>41</v>
      </c>
      <c r="G1844" t="s">
        <v>37</v>
      </c>
      <c r="H1844" t="s">
        <v>62</v>
      </c>
      <c r="I1844" t="s">
        <v>51</v>
      </c>
      <c r="J1844" s="3">
        <v>150000</v>
      </c>
      <c r="K1844">
        <v>3</v>
      </c>
      <c r="L1844" t="s">
        <v>42</v>
      </c>
      <c r="M1844" s="3">
        <v>120000</v>
      </c>
      <c r="N1844" s="3">
        <f>Table1[[#This Row],[Unit Price]]*Table1[[#This Row],[Quantity]]</f>
        <v>450000</v>
      </c>
      <c r="O1844" s="3">
        <f>Table1[[#This Row],[Cost Price]]*Table1[[#This Row],[Quantity]]</f>
        <v>360000</v>
      </c>
      <c r="P1844" s="3">
        <f>Table1[[#This Row],[Revenue]]-Table1[[#This Row],[COGS]]</f>
        <v>90000</v>
      </c>
      <c r="Q1844" s="1">
        <v>1843</v>
      </c>
    </row>
    <row r="1845" spans="1:17">
      <c r="A1845" t="s">
        <v>173</v>
      </c>
      <c r="B1845" t="str">
        <f>TEXT(Table1[[#This Row],[Date]],"MMMM")</f>
        <v>March</v>
      </c>
      <c r="C1845" t="str">
        <f>TEXT(Table1[[#This Row],[Date]],"DDDD")</f>
        <v>Saturday</v>
      </c>
      <c r="D1845" t="s">
        <v>27</v>
      </c>
      <c r="E1845" t="s">
        <v>53</v>
      </c>
      <c r="F1845" t="s">
        <v>41</v>
      </c>
      <c r="G1845" t="s">
        <v>37</v>
      </c>
      <c r="H1845" t="s">
        <v>71</v>
      </c>
      <c r="I1845" t="s">
        <v>51</v>
      </c>
      <c r="J1845" s="3">
        <v>250000</v>
      </c>
      <c r="K1845">
        <v>4</v>
      </c>
      <c r="L1845" t="s">
        <v>47</v>
      </c>
      <c r="M1845" s="3">
        <v>200000</v>
      </c>
      <c r="N1845" s="3">
        <f>Table1[[#This Row],[Unit Price]]*Table1[[#This Row],[Quantity]]</f>
        <v>1000000</v>
      </c>
      <c r="O1845" s="3">
        <f>Table1[[#This Row],[Cost Price]]*Table1[[#This Row],[Quantity]]</f>
        <v>800000</v>
      </c>
      <c r="P1845" s="3">
        <f>Table1[[#This Row],[Revenue]]-Table1[[#This Row],[COGS]]</f>
        <v>200000</v>
      </c>
      <c r="Q1845" s="1">
        <v>1844</v>
      </c>
    </row>
    <row r="1846" spans="1:17">
      <c r="A1846" t="s">
        <v>63</v>
      </c>
      <c r="B1846" t="str">
        <f>TEXT(Table1[[#This Row],[Date]],"MMMM")</f>
        <v>January</v>
      </c>
      <c r="C1846" t="str">
        <f>TEXT(Table1[[#This Row],[Date]],"DDDD")</f>
        <v>Monday</v>
      </c>
      <c r="D1846" t="s">
        <v>49</v>
      </c>
      <c r="E1846" t="s">
        <v>28</v>
      </c>
      <c r="F1846" t="s">
        <v>29</v>
      </c>
      <c r="G1846" t="s">
        <v>37</v>
      </c>
      <c r="H1846" t="s">
        <v>71</v>
      </c>
      <c r="I1846" t="s">
        <v>51</v>
      </c>
      <c r="J1846" s="3">
        <v>250000</v>
      </c>
      <c r="K1846">
        <v>7</v>
      </c>
      <c r="L1846" t="s">
        <v>33</v>
      </c>
      <c r="M1846" s="3">
        <v>200000</v>
      </c>
      <c r="N1846" s="3">
        <f>Table1[[#This Row],[Unit Price]]*Table1[[#This Row],[Quantity]]</f>
        <v>1750000</v>
      </c>
      <c r="O1846" s="3">
        <f>Table1[[#This Row],[Cost Price]]*Table1[[#This Row],[Quantity]]</f>
        <v>1400000</v>
      </c>
      <c r="P1846" s="3">
        <f>Table1[[#This Row],[Revenue]]-Table1[[#This Row],[COGS]]</f>
        <v>350000</v>
      </c>
      <c r="Q1846" s="1">
        <v>1845</v>
      </c>
    </row>
    <row r="1847" spans="1:17">
      <c r="A1847" t="s">
        <v>170</v>
      </c>
      <c r="B1847" t="str">
        <f>TEXT(Table1[[#This Row],[Date]],"MMMM")</f>
        <v>January</v>
      </c>
      <c r="C1847" t="str">
        <f>TEXT(Table1[[#This Row],[Date]],"DDDD")</f>
        <v>Sunday</v>
      </c>
      <c r="D1847" t="s">
        <v>27</v>
      </c>
      <c r="E1847" t="s">
        <v>36</v>
      </c>
      <c r="F1847" t="s">
        <v>29</v>
      </c>
      <c r="G1847" t="s">
        <v>37</v>
      </c>
      <c r="H1847" t="s">
        <v>71</v>
      </c>
      <c r="I1847" t="s">
        <v>51</v>
      </c>
      <c r="J1847" s="3">
        <v>250000</v>
      </c>
      <c r="K1847">
        <v>3</v>
      </c>
      <c r="L1847" t="s">
        <v>42</v>
      </c>
      <c r="M1847" s="3">
        <v>200000</v>
      </c>
      <c r="N1847" s="3">
        <f>Table1[[#This Row],[Unit Price]]*Table1[[#This Row],[Quantity]]</f>
        <v>750000</v>
      </c>
      <c r="O1847" s="3">
        <f>Table1[[#This Row],[Cost Price]]*Table1[[#This Row],[Quantity]]</f>
        <v>600000</v>
      </c>
      <c r="P1847" s="3">
        <f>Table1[[#This Row],[Revenue]]-Table1[[#This Row],[COGS]]</f>
        <v>150000</v>
      </c>
      <c r="Q1847" s="1">
        <v>1846</v>
      </c>
    </row>
    <row r="1848" spans="1:17">
      <c r="A1848" t="s">
        <v>128</v>
      </c>
      <c r="B1848" t="str">
        <f>TEXT(Table1[[#This Row],[Date]],"MMMM")</f>
        <v>March</v>
      </c>
      <c r="C1848" t="str">
        <f>TEXT(Table1[[#This Row],[Date]],"DDDD")</f>
        <v>Friday</v>
      </c>
      <c r="D1848" t="s">
        <v>35</v>
      </c>
      <c r="E1848" t="s">
        <v>45</v>
      </c>
      <c r="F1848" t="s">
        <v>29</v>
      </c>
      <c r="G1848" t="s">
        <v>37</v>
      </c>
      <c r="H1848" t="s">
        <v>62</v>
      </c>
      <c r="I1848" t="s">
        <v>51</v>
      </c>
      <c r="J1848" s="3">
        <v>150000</v>
      </c>
      <c r="K1848">
        <v>8</v>
      </c>
      <c r="L1848" t="s">
        <v>33</v>
      </c>
      <c r="M1848" s="3">
        <v>120000</v>
      </c>
      <c r="N1848" s="3">
        <f>Table1[[#This Row],[Unit Price]]*Table1[[#This Row],[Quantity]]</f>
        <v>1200000</v>
      </c>
      <c r="O1848" s="3">
        <f>Table1[[#This Row],[Cost Price]]*Table1[[#This Row],[Quantity]]</f>
        <v>960000</v>
      </c>
      <c r="P1848" s="3">
        <f>Table1[[#This Row],[Revenue]]-Table1[[#This Row],[COGS]]</f>
        <v>240000</v>
      </c>
      <c r="Q1848" s="1">
        <v>1847</v>
      </c>
    </row>
    <row r="1849" spans="1:17">
      <c r="A1849" t="s">
        <v>156</v>
      </c>
      <c r="B1849" t="str">
        <f>TEXT(Table1[[#This Row],[Date]],"MMMM")</f>
        <v>February</v>
      </c>
      <c r="C1849" t="str">
        <f>TEXT(Table1[[#This Row],[Date]],"DDDD")</f>
        <v>Friday</v>
      </c>
      <c r="D1849" t="s">
        <v>35</v>
      </c>
      <c r="E1849" t="s">
        <v>45</v>
      </c>
      <c r="F1849" t="s">
        <v>41</v>
      </c>
      <c r="G1849" t="s">
        <v>37</v>
      </c>
      <c r="H1849" t="s">
        <v>31</v>
      </c>
      <c r="I1849" t="s">
        <v>32</v>
      </c>
      <c r="J1849" s="3">
        <v>85000</v>
      </c>
      <c r="K1849">
        <v>1</v>
      </c>
      <c r="L1849" t="s">
        <v>65</v>
      </c>
      <c r="M1849" s="3">
        <v>68000</v>
      </c>
      <c r="N1849" s="3">
        <f>Table1[[#This Row],[Unit Price]]*Table1[[#This Row],[Quantity]]</f>
        <v>85000</v>
      </c>
      <c r="O1849" s="3">
        <f>Table1[[#This Row],[Cost Price]]*Table1[[#This Row],[Quantity]]</f>
        <v>68000</v>
      </c>
      <c r="P1849" s="3">
        <f>Table1[[#This Row],[Revenue]]-Table1[[#This Row],[COGS]]</f>
        <v>17000</v>
      </c>
      <c r="Q1849" s="1">
        <v>1848</v>
      </c>
    </row>
    <row r="1850" spans="1:17">
      <c r="A1850" t="s">
        <v>100</v>
      </c>
      <c r="B1850" t="str">
        <f>TEXT(Table1[[#This Row],[Date]],"MMMM")</f>
        <v>January</v>
      </c>
      <c r="C1850" t="str">
        <f>TEXT(Table1[[#This Row],[Date]],"DDDD")</f>
        <v>Monday</v>
      </c>
      <c r="D1850" t="s">
        <v>35</v>
      </c>
      <c r="E1850" t="s">
        <v>53</v>
      </c>
      <c r="F1850" t="s">
        <v>29</v>
      </c>
      <c r="G1850" t="s">
        <v>37</v>
      </c>
      <c r="H1850" t="s">
        <v>73</v>
      </c>
      <c r="I1850" t="s">
        <v>39</v>
      </c>
      <c r="J1850" s="3">
        <v>220000</v>
      </c>
      <c r="K1850">
        <v>6</v>
      </c>
      <c r="L1850" t="s">
        <v>33</v>
      </c>
      <c r="M1850" s="3">
        <v>176000</v>
      </c>
      <c r="N1850" s="3">
        <f>Table1[[#This Row],[Unit Price]]*Table1[[#This Row],[Quantity]]</f>
        <v>1320000</v>
      </c>
      <c r="O1850" s="3">
        <f>Table1[[#This Row],[Cost Price]]*Table1[[#This Row],[Quantity]]</f>
        <v>1056000</v>
      </c>
      <c r="P1850" s="3">
        <f>Table1[[#This Row],[Revenue]]-Table1[[#This Row],[COGS]]</f>
        <v>264000</v>
      </c>
      <c r="Q1850" s="1">
        <v>1849</v>
      </c>
    </row>
    <row r="1851" spans="1:17">
      <c r="A1851" t="s">
        <v>156</v>
      </c>
      <c r="B1851" t="str">
        <f>TEXT(Table1[[#This Row],[Date]],"MMMM")</f>
        <v>February</v>
      </c>
      <c r="C1851" t="str">
        <f>TEXT(Table1[[#This Row],[Date]],"DDDD")</f>
        <v>Friday</v>
      </c>
      <c r="D1851" t="s">
        <v>35</v>
      </c>
      <c r="E1851" t="s">
        <v>28</v>
      </c>
      <c r="F1851" t="s">
        <v>41</v>
      </c>
      <c r="G1851" t="s">
        <v>37</v>
      </c>
      <c r="H1851" t="s">
        <v>38</v>
      </c>
      <c r="I1851" t="s">
        <v>39</v>
      </c>
      <c r="J1851" s="3">
        <v>30000</v>
      </c>
      <c r="K1851">
        <v>3</v>
      </c>
      <c r="L1851" t="s">
        <v>33</v>
      </c>
      <c r="M1851" s="3">
        <v>24000</v>
      </c>
      <c r="N1851" s="3">
        <f>Table1[[#This Row],[Unit Price]]*Table1[[#This Row],[Quantity]]</f>
        <v>90000</v>
      </c>
      <c r="O1851" s="3">
        <f>Table1[[#This Row],[Cost Price]]*Table1[[#This Row],[Quantity]]</f>
        <v>72000</v>
      </c>
      <c r="P1851" s="3">
        <f>Table1[[#This Row],[Revenue]]-Table1[[#This Row],[COGS]]</f>
        <v>18000</v>
      </c>
      <c r="Q1851" s="1">
        <v>1850</v>
      </c>
    </row>
    <row r="1852" spans="1:17">
      <c r="A1852" t="s">
        <v>40</v>
      </c>
      <c r="B1852" t="str">
        <f>TEXT(Table1[[#This Row],[Date]],"MMMM")</f>
        <v>February</v>
      </c>
      <c r="C1852" t="str">
        <f>TEXT(Table1[[#This Row],[Date]],"DDDD")</f>
        <v>Thursday</v>
      </c>
      <c r="D1852" t="s">
        <v>49</v>
      </c>
      <c r="E1852" t="s">
        <v>53</v>
      </c>
      <c r="F1852" t="s">
        <v>41</v>
      </c>
      <c r="G1852" t="s">
        <v>37</v>
      </c>
      <c r="H1852" t="s">
        <v>50</v>
      </c>
      <c r="I1852" t="s">
        <v>51</v>
      </c>
      <c r="J1852" s="3">
        <v>300000</v>
      </c>
      <c r="K1852">
        <v>3</v>
      </c>
      <c r="L1852" t="s">
        <v>42</v>
      </c>
      <c r="M1852" s="3">
        <v>240000</v>
      </c>
      <c r="N1852" s="3">
        <f>Table1[[#This Row],[Unit Price]]*Table1[[#This Row],[Quantity]]</f>
        <v>900000</v>
      </c>
      <c r="O1852" s="3">
        <f>Table1[[#This Row],[Cost Price]]*Table1[[#This Row],[Quantity]]</f>
        <v>720000</v>
      </c>
      <c r="P1852" s="3">
        <f>Table1[[#This Row],[Revenue]]-Table1[[#This Row],[COGS]]</f>
        <v>180000</v>
      </c>
      <c r="Q1852" s="1">
        <v>1851</v>
      </c>
    </row>
    <row r="1853" spans="1:17">
      <c r="A1853" t="s">
        <v>64</v>
      </c>
      <c r="B1853" t="str">
        <f>TEXT(Table1[[#This Row],[Date]],"MMMM")</f>
        <v>April</v>
      </c>
      <c r="C1853" t="str">
        <f>TEXT(Table1[[#This Row],[Date]],"DDDD")</f>
        <v>Saturday</v>
      </c>
      <c r="D1853" t="s">
        <v>35</v>
      </c>
      <c r="E1853" t="s">
        <v>45</v>
      </c>
      <c r="F1853" t="s">
        <v>29</v>
      </c>
      <c r="G1853" t="s">
        <v>37</v>
      </c>
      <c r="H1853" t="s">
        <v>71</v>
      </c>
      <c r="I1853" t="s">
        <v>51</v>
      </c>
      <c r="J1853" s="3">
        <v>250000</v>
      </c>
      <c r="K1853">
        <v>10</v>
      </c>
      <c r="L1853" t="s">
        <v>65</v>
      </c>
      <c r="M1853" s="3">
        <v>200000</v>
      </c>
      <c r="N1853" s="3">
        <f>Table1[[#This Row],[Unit Price]]*Table1[[#This Row],[Quantity]]</f>
        <v>2500000</v>
      </c>
      <c r="O1853" s="3">
        <f>Table1[[#This Row],[Cost Price]]*Table1[[#This Row],[Quantity]]</f>
        <v>2000000</v>
      </c>
      <c r="P1853" s="3">
        <f>Table1[[#This Row],[Revenue]]-Table1[[#This Row],[COGS]]</f>
        <v>500000</v>
      </c>
      <c r="Q1853" s="1">
        <v>1852</v>
      </c>
    </row>
    <row r="1854" spans="1:17">
      <c r="A1854" t="s">
        <v>177</v>
      </c>
      <c r="B1854" t="str">
        <f>TEXT(Table1[[#This Row],[Date]],"MMMM")</f>
        <v>March</v>
      </c>
      <c r="C1854" t="str">
        <f>TEXT(Table1[[#This Row],[Date]],"DDDD")</f>
        <v>Wednesday</v>
      </c>
      <c r="D1854" t="s">
        <v>35</v>
      </c>
      <c r="E1854" t="s">
        <v>36</v>
      </c>
      <c r="F1854" t="s">
        <v>29</v>
      </c>
      <c r="G1854" t="s">
        <v>37</v>
      </c>
      <c r="H1854" t="s">
        <v>50</v>
      </c>
      <c r="I1854" t="s">
        <v>51</v>
      </c>
      <c r="J1854" s="3">
        <v>300000</v>
      </c>
      <c r="K1854">
        <v>4</v>
      </c>
      <c r="L1854" t="s">
        <v>58</v>
      </c>
      <c r="M1854" s="3">
        <v>240000</v>
      </c>
      <c r="N1854" s="3">
        <f>Table1[[#This Row],[Unit Price]]*Table1[[#This Row],[Quantity]]</f>
        <v>1200000</v>
      </c>
      <c r="O1854" s="3">
        <f>Table1[[#This Row],[Cost Price]]*Table1[[#This Row],[Quantity]]</f>
        <v>960000</v>
      </c>
      <c r="P1854" s="3">
        <f>Table1[[#This Row],[Revenue]]-Table1[[#This Row],[COGS]]</f>
        <v>240000</v>
      </c>
      <c r="Q1854" s="1">
        <v>1853</v>
      </c>
    </row>
    <row r="1855" spans="1:17">
      <c r="A1855" t="s">
        <v>163</v>
      </c>
      <c r="B1855" t="str">
        <f>TEXT(Table1[[#This Row],[Date]],"MMMM")</f>
        <v>April</v>
      </c>
      <c r="C1855" t="str">
        <f>TEXT(Table1[[#This Row],[Date]],"DDDD")</f>
        <v>Tuesday</v>
      </c>
      <c r="D1855" t="s">
        <v>44</v>
      </c>
      <c r="E1855" t="s">
        <v>45</v>
      </c>
      <c r="F1855" t="s">
        <v>29</v>
      </c>
      <c r="G1855" t="s">
        <v>37</v>
      </c>
      <c r="H1855" t="s">
        <v>56</v>
      </c>
      <c r="I1855" t="s">
        <v>32</v>
      </c>
      <c r="J1855" s="3">
        <v>320000</v>
      </c>
      <c r="K1855">
        <v>5</v>
      </c>
      <c r="L1855" t="s">
        <v>69</v>
      </c>
      <c r="M1855" s="3">
        <v>256000</v>
      </c>
      <c r="N1855" s="3">
        <f>Table1[[#This Row],[Unit Price]]*Table1[[#This Row],[Quantity]]</f>
        <v>1600000</v>
      </c>
      <c r="O1855" s="3">
        <f>Table1[[#This Row],[Cost Price]]*Table1[[#This Row],[Quantity]]</f>
        <v>1280000</v>
      </c>
      <c r="P1855" s="3">
        <f>Table1[[#This Row],[Revenue]]-Table1[[#This Row],[COGS]]</f>
        <v>320000</v>
      </c>
      <c r="Q1855" s="1">
        <v>1854</v>
      </c>
    </row>
    <row r="1856" spans="1:17">
      <c r="A1856" t="s">
        <v>167</v>
      </c>
      <c r="B1856" t="str">
        <f>TEXT(Table1[[#This Row],[Date]],"MMMM")</f>
        <v>April</v>
      </c>
      <c r="C1856" t="str">
        <f>TEXT(Table1[[#This Row],[Date]],"DDDD")</f>
        <v>Wednesday</v>
      </c>
      <c r="D1856" t="s">
        <v>44</v>
      </c>
      <c r="E1856" t="s">
        <v>36</v>
      </c>
      <c r="F1856" t="s">
        <v>29</v>
      </c>
      <c r="G1856" t="s">
        <v>37</v>
      </c>
      <c r="H1856" t="s">
        <v>56</v>
      </c>
      <c r="I1856" t="s">
        <v>32</v>
      </c>
      <c r="J1856" s="3">
        <v>320000</v>
      </c>
      <c r="K1856">
        <v>1</v>
      </c>
      <c r="L1856" t="s">
        <v>42</v>
      </c>
      <c r="M1856" s="3">
        <v>256000</v>
      </c>
      <c r="N1856" s="3">
        <f>Table1[[#This Row],[Unit Price]]*Table1[[#This Row],[Quantity]]</f>
        <v>320000</v>
      </c>
      <c r="O1856" s="3">
        <f>Table1[[#This Row],[Cost Price]]*Table1[[#This Row],[Quantity]]</f>
        <v>256000</v>
      </c>
      <c r="P1856" s="3">
        <f>Table1[[#This Row],[Revenue]]-Table1[[#This Row],[COGS]]</f>
        <v>64000</v>
      </c>
      <c r="Q1856" s="1">
        <v>1855</v>
      </c>
    </row>
    <row r="1857" spans="1:17">
      <c r="A1857" t="s">
        <v>63</v>
      </c>
      <c r="B1857" t="str">
        <f>TEXT(Table1[[#This Row],[Date]],"MMMM")</f>
        <v>January</v>
      </c>
      <c r="C1857" t="str">
        <f>TEXT(Table1[[#This Row],[Date]],"DDDD")</f>
        <v>Monday</v>
      </c>
      <c r="D1857" t="s">
        <v>49</v>
      </c>
      <c r="E1857" t="s">
        <v>28</v>
      </c>
      <c r="F1857" t="s">
        <v>29</v>
      </c>
      <c r="G1857" t="s">
        <v>37</v>
      </c>
      <c r="H1857" t="s">
        <v>67</v>
      </c>
      <c r="I1857" t="s">
        <v>51</v>
      </c>
      <c r="J1857" s="3">
        <v>420000</v>
      </c>
      <c r="K1857">
        <v>4</v>
      </c>
      <c r="L1857" t="s">
        <v>65</v>
      </c>
      <c r="M1857" s="3">
        <v>336000</v>
      </c>
      <c r="N1857" s="3">
        <f>Table1[[#This Row],[Unit Price]]*Table1[[#This Row],[Quantity]]</f>
        <v>1680000</v>
      </c>
      <c r="O1857" s="3">
        <f>Table1[[#This Row],[Cost Price]]*Table1[[#This Row],[Quantity]]</f>
        <v>1344000</v>
      </c>
      <c r="P1857" s="3">
        <f>Table1[[#This Row],[Revenue]]-Table1[[#This Row],[COGS]]</f>
        <v>336000</v>
      </c>
      <c r="Q1857" s="1">
        <v>1856</v>
      </c>
    </row>
    <row r="1858" spans="1:17">
      <c r="A1858" t="s">
        <v>132</v>
      </c>
      <c r="B1858" t="str">
        <f>TEXT(Table1[[#This Row],[Date]],"MMMM")</f>
        <v>April</v>
      </c>
      <c r="C1858" t="str">
        <f>TEXT(Table1[[#This Row],[Date]],"DDDD")</f>
        <v>Saturday</v>
      </c>
      <c r="D1858" t="s">
        <v>44</v>
      </c>
      <c r="E1858" t="s">
        <v>45</v>
      </c>
      <c r="F1858" t="s">
        <v>41</v>
      </c>
      <c r="G1858" t="s">
        <v>37</v>
      </c>
      <c r="H1858" t="s">
        <v>31</v>
      </c>
      <c r="I1858" t="s">
        <v>32</v>
      </c>
      <c r="J1858" s="3">
        <v>85000</v>
      </c>
      <c r="K1858">
        <v>5</v>
      </c>
      <c r="L1858" t="s">
        <v>47</v>
      </c>
      <c r="M1858" s="3">
        <v>68000</v>
      </c>
      <c r="N1858" s="3">
        <f>Table1[[#This Row],[Unit Price]]*Table1[[#This Row],[Quantity]]</f>
        <v>425000</v>
      </c>
      <c r="O1858" s="3">
        <f>Table1[[#This Row],[Cost Price]]*Table1[[#This Row],[Quantity]]</f>
        <v>340000</v>
      </c>
      <c r="P1858" s="3">
        <f>Table1[[#This Row],[Revenue]]-Table1[[#This Row],[COGS]]</f>
        <v>85000</v>
      </c>
      <c r="Q1858" s="1">
        <v>1857</v>
      </c>
    </row>
    <row r="1859" spans="1:17">
      <c r="A1859" t="s">
        <v>87</v>
      </c>
      <c r="B1859" t="str">
        <f>TEXT(Table1[[#This Row],[Date]],"MMMM")</f>
        <v>March</v>
      </c>
      <c r="C1859" t="str">
        <f>TEXT(Table1[[#This Row],[Date]],"DDDD")</f>
        <v>Thursday</v>
      </c>
      <c r="D1859" t="s">
        <v>35</v>
      </c>
      <c r="E1859" t="s">
        <v>36</v>
      </c>
      <c r="F1859" t="s">
        <v>41</v>
      </c>
      <c r="G1859" t="s">
        <v>37</v>
      </c>
      <c r="H1859" t="s">
        <v>46</v>
      </c>
      <c r="I1859" t="s">
        <v>39</v>
      </c>
      <c r="J1859" s="3">
        <v>60000</v>
      </c>
      <c r="K1859">
        <v>3</v>
      </c>
      <c r="L1859" t="s">
        <v>33</v>
      </c>
      <c r="M1859" s="3">
        <v>48000</v>
      </c>
      <c r="N1859" s="3">
        <f>Table1[[#This Row],[Unit Price]]*Table1[[#This Row],[Quantity]]</f>
        <v>180000</v>
      </c>
      <c r="O1859" s="3">
        <f>Table1[[#This Row],[Cost Price]]*Table1[[#This Row],[Quantity]]</f>
        <v>144000</v>
      </c>
      <c r="P1859" s="3">
        <f>Table1[[#This Row],[Revenue]]-Table1[[#This Row],[COGS]]</f>
        <v>36000</v>
      </c>
      <c r="Q1859" s="1">
        <v>1858</v>
      </c>
    </row>
    <row r="1860" spans="1:17">
      <c r="A1860" t="s">
        <v>117</v>
      </c>
      <c r="B1860" t="str">
        <f>TEXT(Table1[[#This Row],[Date]],"MMMM")</f>
        <v>January</v>
      </c>
      <c r="C1860" t="str">
        <f>TEXT(Table1[[#This Row],[Date]],"DDDD")</f>
        <v>Wednesday</v>
      </c>
      <c r="D1860" t="s">
        <v>27</v>
      </c>
      <c r="E1860" t="s">
        <v>53</v>
      </c>
      <c r="F1860" t="s">
        <v>29</v>
      </c>
      <c r="G1860" t="s">
        <v>37</v>
      </c>
      <c r="H1860" t="s">
        <v>71</v>
      </c>
      <c r="I1860" t="s">
        <v>51</v>
      </c>
      <c r="J1860" s="3">
        <v>250000</v>
      </c>
      <c r="K1860">
        <v>4</v>
      </c>
      <c r="L1860" t="s">
        <v>65</v>
      </c>
      <c r="M1860" s="3">
        <v>200000</v>
      </c>
      <c r="N1860" s="3">
        <f>Table1[[#This Row],[Unit Price]]*Table1[[#This Row],[Quantity]]</f>
        <v>1000000</v>
      </c>
      <c r="O1860" s="3">
        <f>Table1[[#This Row],[Cost Price]]*Table1[[#This Row],[Quantity]]</f>
        <v>800000</v>
      </c>
      <c r="P1860" s="3">
        <f>Table1[[#This Row],[Revenue]]-Table1[[#This Row],[COGS]]</f>
        <v>200000</v>
      </c>
      <c r="Q1860" s="1">
        <v>1859</v>
      </c>
    </row>
    <row r="1861" spans="1:17">
      <c r="A1861" t="s">
        <v>109</v>
      </c>
      <c r="B1861" t="str">
        <f>TEXT(Table1[[#This Row],[Date]],"MMMM")</f>
        <v>March</v>
      </c>
      <c r="C1861" t="str">
        <f>TEXT(Table1[[#This Row],[Date]],"DDDD")</f>
        <v>Monday</v>
      </c>
      <c r="D1861" t="s">
        <v>35</v>
      </c>
      <c r="E1861" t="s">
        <v>28</v>
      </c>
      <c r="F1861" t="s">
        <v>29</v>
      </c>
      <c r="G1861" t="s">
        <v>37</v>
      </c>
      <c r="H1861" t="s">
        <v>67</v>
      </c>
      <c r="I1861" t="s">
        <v>51</v>
      </c>
      <c r="J1861" s="3">
        <v>420000</v>
      </c>
      <c r="K1861">
        <v>5</v>
      </c>
      <c r="L1861" t="s">
        <v>33</v>
      </c>
      <c r="M1861" s="3">
        <v>336000</v>
      </c>
      <c r="N1861" s="3">
        <f>Table1[[#This Row],[Unit Price]]*Table1[[#This Row],[Quantity]]</f>
        <v>2100000</v>
      </c>
      <c r="O1861" s="3">
        <f>Table1[[#This Row],[Cost Price]]*Table1[[#This Row],[Quantity]]</f>
        <v>1680000</v>
      </c>
      <c r="P1861" s="3">
        <f>Table1[[#This Row],[Revenue]]-Table1[[#This Row],[COGS]]</f>
        <v>420000</v>
      </c>
      <c r="Q1861" s="1">
        <v>1860</v>
      </c>
    </row>
    <row r="1862" spans="1:17">
      <c r="A1862" t="s">
        <v>60</v>
      </c>
      <c r="B1862" t="str">
        <f>TEXT(Table1[[#This Row],[Date]],"MMMM")</f>
        <v>March</v>
      </c>
      <c r="C1862" t="str">
        <f>TEXT(Table1[[#This Row],[Date]],"DDDD")</f>
        <v>Wednesday</v>
      </c>
      <c r="D1862" t="s">
        <v>27</v>
      </c>
      <c r="E1862" t="s">
        <v>45</v>
      </c>
      <c r="F1862" t="s">
        <v>29</v>
      </c>
      <c r="G1862" t="s">
        <v>37</v>
      </c>
      <c r="H1862" t="s">
        <v>62</v>
      </c>
      <c r="I1862" t="s">
        <v>51</v>
      </c>
      <c r="J1862" s="3">
        <v>150000</v>
      </c>
      <c r="K1862">
        <v>5</v>
      </c>
      <c r="L1862" t="s">
        <v>47</v>
      </c>
      <c r="M1862" s="3">
        <v>120000</v>
      </c>
      <c r="N1862" s="3">
        <f>Table1[[#This Row],[Unit Price]]*Table1[[#This Row],[Quantity]]</f>
        <v>750000</v>
      </c>
      <c r="O1862" s="3">
        <f>Table1[[#This Row],[Cost Price]]*Table1[[#This Row],[Quantity]]</f>
        <v>600000</v>
      </c>
      <c r="P1862" s="3">
        <f>Table1[[#This Row],[Revenue]]-Table1[[#This Row],[COGS]]</f>
        <v>150000</v>
      </c>
      <c r="Q1862" s="1">
        <v>1861</v>
      </c>
    </row>
    <row r="1863" spans="1:17">
      <c r="A1863" t="s">
        <v>152</v>
      </c>
      <c r="B1863" t="str">
        <f>TEXT(Table1[[#This Row],[Date]],"MMMM")</f>
        <v>January</v>
      </c>
      <c r="C1863" t="str">
        <f>TEXT(Table1[[#This Row],[Date]],"DDDD")</f>
        <v>Friday</v>
      </c>
      <c r="D1863" t="s">
        <v>49</v>
      </c>
      <c r="E1863" t="s">
        <v>36</v>
      </c>
      <c r="F1863" t="s">
        <v>41</v>
      </c>
      <c r="G1863" t="s">
        <v>37</v>
      </c>
      <c r="H1863" t="s">
        <v>54</v>
      </c>
      <c r="I1863" t="s">
        <v>39</v>
      </c>
      <c r="J1863" s="3">
        <v>180000</v>
      </c>
      <c r="K1863">
        <v>1</v>
      </c>
      <c r="L1863" t="s">
        <v>58</v>
      </c>
      <c r="M1863" s="3">
        <v>144000</v>
      </c>
      <c r="N1863" s="3">
        <f>Table1[[#This Row],[Unit Price]]*Table1[[#This Row],[Quantity]]</f>
        <v>180000</v>
      </c>
      <c r="O1863" s="3">
        <f>Table1[[#This Row],[Cost Price]]*Table1[[#This Row],[Quantity]]</f>
        <v>144000</v>
      </c>
      <c r="P1863" s="3">
        <f>Table1[[#This Row],[Revenue]]-Table1[[#This Row],[COGS]]</f>
        <v>36000</v>
      </c>
      <c r="Q1863" s="1">
        <v>1862</v>
      </c>
    </row>
    <row r="1864" spans="1:17">
      <c r="A1864" t="s">
        <v>165</v>
      </c>
      <c r="B1864" t="str">
        <f>TEXT(Table1[[#This Row],[Date]],"MMMM")</f>
        <v>April</v>
      </c>
      <c r="C1864" t="str">
        <f>TEXT(Table1[[#This Row],[Date]],"DDDD")</f>
        <v>Sunday</v>
      </c>
      <c r="D1864" t="s">
        <v>44</v>
      </c>
      <c r="E1864" t="s">
        <v>53</v>
      </c>
      <c r="F1864" t="s">
        <v>41</v>
      </c>
      <c r="G1864" t="s">
        <v>37</v>
      </c>
      <c r="H1864" t="s">
        <v>54</v>
      </c>
      <c r="I1864" t="s">
        <v>39</v>
      </c>
      <c r="J1864" s="3">
        <v>180000</v>
      </c>
      <c r="K1864">
        <v>1</v>
      </c>
      <c r="L1864" t="s">
        <v>47</v>
      </c>
      <c r="M1864" s="3">
        <v>144000</v>
      </c>
      <c r="N1864" s="3">
        <f>Table1[[#This Row],[Unit Price]]*Table1[[#This Row],[Quantity]]</f>
        <v>180000</v>
      </c>
      <c r="O1864" s="3">
        <f>Table1[[#This Row],[Cost Price]]*Table1[[#This Row],[Quantity]]</f>
        <v>144000</v>
      </c>
      <c r="P1864" s="3">
        <f>Table1[[#This Row],[Revenue]]-Table1[[#This Row],[COGS]]</f>
        <v>36000</v>
      </c>
      <c r="Q1864" s="1">
        <v>1863</v>
      </c>
    </row>
    <row r="1865" spans="1:17">
      <c r="A1865" t="s">
        <v>114</v>
      </c>
      <c r="B1865" t="str">
        <f>TEXT(Table1[[#This Row],[Date]],"MMMM")</f>
        <v>April</v>
      </c>
      <c r="C1865" t="str">
        <f>TEXT(Table1[[#This Row],[Date]],"DDDD")</f>
        <v>Sunday</v>
      </c>
      <c r="D1865" t="s">
        <v>27</v>
      </c>
      <c r="E1865" t="s">
        <v>36</v>
      </c>
      <c r="F1865" t="s">
        <v>29</v>
      </c>
      <c r="G1865" t="s">
        <v>37</v>
      </c>
      <c r="H1865" t="s">
        <v>71</v>
      </c>
      <c r="I1865" t="s">
        <v>51</v>
      </c>
      <c r="J1865" s="3">
        <v>250000</v>
      </c>
      <c r="K1865">
        <v>9</v>
      </c>
      <c r="L1865" t="s">
        <v>33</v>
      </c>
      <c r="M1865" s="3">
        <v>200000</v>
      </c>
      <c r="N1865" s="3">
        <f>Table1[[#This Row],[Unit Price]]*Table1[[#This Row],[Quantity]]</f>
        <v>2250000</v>
      </c>
      <c r="O1865" s="3">
        <f>Table1[[#This Row],[Cost Price]]*Table1[[#This Row],[Quantity]]</f>
        <v>1800000</v>
      </c>
      <c r="P1865" s="3">
        <f>Table1[[#This Row],[Revenue]]-Table1[[#This Row],[COGS]]</f>
        <v>450000</v>
      </c>
      <c r="Q1865" s="1">
        <v>1864</v>
      </c>
    </row>
    <row r="1866" spans="1:17">
      <c r="A1866" t="s">
        <v>147</v>
      </c>
      <c r="B1866" t="str">
        <f>TEXT(Table1[[#This Row],[Date]],"MMMM")</f>
        <v>January</v>
      </c>
      <c r="C1866" t="str">
        <f>TEXT(Table1[[#This Row],[Date]],"DDDD")</f>
        <v>Saturday</v>
      </c>
      <c r="D1866" t="s">
        <v>49</v>
      </c>
      <c r="E1866" t="s">
        <v>28</v>
      </c>
      <c r="F1866" t="s">
        <v>29</v>
      </c>
      <c r="G1866" t="s">
        <v>37</v>
      </c>
      <c r="H1866" t="s">
        <v>31</v>
      </c>
      <c r="I1866" t="s">
        <v>32</v>
      </c>
      <c r="J1866" s="3">
        <v>85000</v>
      </c>
      <c r="K1866">
        <v>4</v>
      </c>
      <c r="L1866" t="s">
        <v>58</v>
      </c>
      <c r="M1866" s="3">
        <v>68000</v>
      </c>
      <c r="N1866" s="3">
        <f>Table1[[#This Row],[Unit Price]]*Table1[[#This Row],[Quantity]]</f>
        <v>340000</v>
      </c>
      <c r="O1866" s="3">
        <f>Table1[[#This Row],[Cost Price]]*Table1[[#This Row],[Quantity]]</f>
        <v>272000</v>
      </c>
      <c r="P1866" s="3">
        <f>Table1[[#This Row],[Revenue]]-Table1[[#This Row],[COGS]]</f>
        <v>68000</v>
      </c>
      <c r="Q1866" s="1">
        <v>1865</v>
      </c>
    </row>
    <row r="1867" spans="1:17">
      <c r="A1867" t="s">
        <v>72</v>
      </c>
      <c r="B1867" t="str">
        <f>TEXT(Table1[[#This Row],[Date]],"MMMM")</f>
        <v>February</v>
      </c>
      <c r="C1867" t="str">
        <f>TEXT(Table1[[#This Row],[Date]],"DDDD")</f>
        <v>Wednesday</v>
      </c>
      <c r="D1867" t="s">
        <v>27</v>
      </c>
      <c r="E1867" t="s">
        <v>53</v>
      </c>
      <c r="F1867" t="s">
        <v>41</v>
      </c>
      <c r="G1867" t="s">
        <v>37</v>
      </c>
      <c r="H1867" t="s">
        <v>67</v>
      </c>
      <c r="I1867" t="s">
        <v>51</v>
      </c>
      <c r="J1867" s="3">
        <v>420000</v>
      </c>
      <c r="K1867">
        <v>8</v>
      </c>
      <c r="L1867" t="s">
        <v>42</v>
      </c>
      <c r="M1867" s="3">
        <v>336000</v>
      </c>
      <c r="N1867" s="3">
        <f>Table1[[#This Row],[Unit Price]]*Table1[[#This Row],[Quantity]]</f>
        <v>3360000</v>
      </c>
      <c r="O1867" s="3">
        <f>Table1[[#This Row],[Cost Price]]*Table1[[#This Row],[Quantity]]</f>
        <v>2688000</v>
      </c>
      <c r="P1867" s="3">
        <f>Table1[[#This Row],[Revenue]]-Table1[[#This Row],[COGS]]</f>
        <v>672000</v>
      </c>
      <c r="Q1867" s="1">
        <v>1866</v>
      </c>
    </row>
    <row r="1868" spans="1:17">
      <c r="A1868" t="s">
        <v>52</v>
      </c>
      <c r="B1868" t="str">
        <f>TEXT(Table1[[#This Row],[Date]],"MMMM")</f>
        <v>March</v>
      </c>
      <c r="C1868" t="str">
        <f>TEXT(Table1[[#This Row],[Date]],"DDDD")</f>
        <v>Saturday</v>
      </c>
      <c r="D1868" t="s">
        <v>44</v>
      </c>
      <c r="E1868" t="s">
        <v>53</v>
      </c>
      <c r="F1868" t="s">
        <v>41</v>
      </c>
      <c r="G1868" t="s">
        <v>37</v>
      </c>
      <c r="H1868" t="s">
        <v>56</v>
      </c>
      <c r="I1868" t="s">
        <v>32</v>
      </c>
      <c r="J1868" s="3">
        <v>320000</v>
      </c>
      <c r="K1868">
        <v>6</v>
      </c>
      <c r="L1868" t="s">
        <v>42</v>
      </c>
      <c r="M1868" s="3">
        <v>256000</v>
      </c>
      <c r="N1868" s="3">
        <f>Table1[[#This Row],[Unit Price]]*Table1[[#This Row],[Quantity]]</f>
        <v>1920000</v>
      </c>
      <c r="O1868" s="3">
        <f>Table1[[#This Row],[Cost Price]]*Table1[[#This Row],[Quantity]]</f>
        <v>1536000</v>
      </c>
      <c r="P1868" s="3">
        <f>Table1[[#This Row],[Revenue]]-Table1[[#This Row],[COGS]]</f>
        <v>384000</v>
      </c>
      <c r="Q1868" s="1">
        <v>1867</v>
      </c>
    </row>
    <row r="1869" spans="1:17">
      <c r="A1869" t="s">
        <v>122</v>
      </c>
      <c r="B1869" t="str">
        <f>TEXT(Table1[[#This Row],[Date]],"MMMM")</f>
        <v>March</v>
      </c>
      <c r="C1869" t="str">
        <f>TEXT(Table1[[#This Row],[Date]],"DDDD")</f>
        <v>Thursday</v>
      </c>
      <c r="D1869" t="s">
        <v>49</v>
      </c>
      <c r="E1869" t="s">
        <v>36</v>
      </c>
      <c r="F1869" t="s">
        <v>29</v>
      </c>
      <c r="G1869" t="s">
        <v>37</v>
      </c>
      <c r="H1869" t="s">
        <v>62</v>
      </c>
      <c r="I1869" t="s">
        <v>51</v>
      </c>
      <c r="J1869" s="3">
        <v>150000</v>
      </c>
      <c r="K1869">
        <v>3</v>
      </c>
      <c r="L1869" t="s">
        <v>65</v>
      </c>
      <c r="M1869" s="3">
        <v>120000</v>
      </c>
      <c r="N1869" s="3">
        <f>Table1[[#This Row],[Unit Price]]*Table1[[#This Row],[Quantity]]</f>
        <v>450000</v>
      </c>
      <c r="O1869" s="3">
        <f>Table1[[#This Row],[Cost Price]]*Table1[[#This Row],[Quantity]]</f>
        <v>360000</v>
      </c>
      <c r="P1869" s="3">
        <f>Table1[[#This Row],[Revenue]]-Table1[[#This Row],[COGS]]</f>
        <v>90000</v>
      </c>
      <c r="Q1869" s="1">
        <v>1868</v>
      </c>
    </row>
    <row r="1870" spans="1:17">
      <c r="A1870" t="s">
        <v>63</v>
      </c>
      <c r="B1870" t="str">
        <f>TEXT(Table1[[#This Row],[Date]],"MMMM")</f>
        <v>January</v>
      </c>
      <c r="C1870" t="str">
        <f>TEXT(Table1[[#This Row],[Date]],"DDDD")</f>
        <v>Monday</v>
      </c>
      <c r="D1870" t="s">
        <v>27</v>
      </c>
      <c r="E1870" t="s">
        <v>53</v>
      </c>
      <c r="F1870" t="s">
        <v>29</v>
      </c>
      <c r="G1870" t="s">
        <v>37</v>
      </c>
      <c r="H1870" t="s">
        <v>31</v>
      </c>
      <c r="I1870" t="s">
        <v>32</v>
      </c>
      <c r="J1870" s="3">
        <v>85000</v>
      </c>
      <c r="K1870">
        <v>3</v>
      </c>
      <c r="L1870" t="s">
        <v>47</v>
      </c>
      <c r="M1870" s="3">
        <v>68000</v>
      </c>
      <c r="N1870" s="3">
        <f>Table1[[#This Row],[Unit Price]]*Table1[[#This Row],[Quantity]]</f>
        <v>255000</v>
      </c>
      <c r="O1870" s="3">
        <f>Table1[[#This Row],[Cost Price]]*Table1[[#This Row],[Quantity]]</f>
        <v>204000</v>
      </c>
      <c r="P1870" s="3">
        <f>Table1[[#This Row],[Revenue]]-Table1[[#This Row],[COGS]]</f>
        <v>51000</v>
      </c>
      <c r="Q1870" s="1">
        <v>1869</v>
      </c>
    </row>
    <row r="1871" spans="1:17">
      <c r="A1871" t="s">
        <v>96</v>
      </c>
      <c r="B1871" t="str">
        <f>TEXT(Table1[[#This Row],[Date]],"MMMM")</f>
        <v>March</v>
      </c>
      <c r="C1871" t="str">
        <f>TEXT(Table1[[#This Row],[Date]],"DDDD")</f>
        <v>Sunday</v>
      </c>
      <c r="D1871" t="s">
        <v>49</v>
      </c>
      <c r="E1871" t="s">
        <v>36</v>
      </c>
      <c r="F1871" t="s">
        <v>29</v>
      </c>
      <c r="G1871" t="s">
        <v>37</v>
      </c>
      <c r="H1871" t="s">
        <v>50</v>
      </c>
      <c r="I1871" t="s">
        <v>51</v>
      </c>
      <c r="J1871" s="3">
        <v>300000</v>
      </c>
      <c r="K1871">
        <v>1</v>
      </c>
      <c r="L1871" t="s">
        <v>47</v>
      </c>
      <c r="M1871" s="3">
        <v>240000</v>
      </c>
      <c r="N1871" s="3">
        <f>Table1[[#This Row],[Unit Price]]*Table1[[#This Row],[Quantity]]</f>
        <v>300000</v>
      </c>
      <c r="O1871" s="3">
        <f>Table1[[#This Row],[Cost Price]]*Table1[[#This Row],[Quantity]]</f>
        <v>240000</v>
      </c>
      <c r="P1871" s="3">
        <f>Table1[[#This Row],[Revenue]]-Table1[[#This Row],[COGS]]</f>
        <v>60000</v>
      </c>
      <c r="Q1871" s="1">
        <v>1870</v>
      </c>
    </row>
    <row r="1872" spans="1:17">
      <c r="A1872" t="s">
        <v>173</v>
      </c>
      <c r="B1872" t="str">
        <f>TEXT(Table1[[#This Row],[Date]],"MMMM")</f>
        <v>March</v>
      </c>
      <c r="C1872" t="str">
        <f>TEXT(Table1[[#This Row],[Date]],"DDDD")</f>
        <v>Saturday</v>
      </c>
      <c r="D1872" t="s">
        <v>44</v>
      </c>
      <c r="E1872" t="s">
        <v>36</v>
      </c>
      <c r="F1872" t="s">
        <v>41</v>
      </c>
      <c r="G1872" t="s">
        <v>30</v>
      </c>
      <c r="H1872" t="s">
        <v>54</v>
      </c>
      <c r="I1872" t="s">
        <v>39</v>
      </c>
      <c r="J1872" s="3">
        <v>180000</v>
      </c>
      <c r="K1872">
        <v>4</v>
      </c>
      <c r="L1872" t="s">
        <v>65</v>
      </c>
      <c r="M1872" s="3">
        <v>144000</v>
      </c>
      <c r="N1872" s="3">
        <f>Table1[[#This Row],[Unit Price]]*Table1[[#This Row],[Quantity]]</f>
        <v>720000</v>
      </c>
      <c r="O1872" s="3">
        <f>Table1[[#This Row],[Cost Price]]*Table1[[#This Row],[Quantity]]</f>
        <v>576000</v>
      </c>
      <c r="P1872" s="3">
        <f>Table1[[#This Row],[Revenue]]-Table1[[#This Row],[COGS]]</f>
        <v>144000</v>
      </c>
      <c r="Q1872" s="1">
        <v>1871</v>
      </c>
    </row>
    <row r="1873" spans="1:17">
      <c r="A1873" t="s">
        <v>177</v>
      </c>
      <c r="B1873" t="str">
        <f>TEXT(Table1[[#This Row],[Date]],"MMMM")</f>
        <v>March</v>
      </c>
      <c r="C1873" t="str">
        <f>TEXT(Table1[[#This Row],[Date]],"DDDD")</f>
        <v>Wednesday</v>
      </c>
      <c r="D1873" t="s">
        <v>27</v>
      </c>
      <c r="E1873" t="s">
        <v>36</v>
      </c>
      <c r="F1873" t="s">
        <v>29</v>
      </c>
      <c r="G1873" t="s">
        <v>30</v>
      </c>
      <c r="H1873" t="s">
        <v>67</v>
      </c>
      <c r="I1873" t="s">
        <v>51</v>
      </c>
      <c r="J1873" s="3">
        <v>420000</v>
      </c>
      <c r="K1873">
        <v>10</v>
      </c>
      <c r="L1873" t="s">
        <v>58</v>
      </c>
      <c r="M1873" s="3">
        <v>336000</v>
      </c>
      <c r="N1873" s="3">
        <f>Table1[[#This Row],[Unit Price]]*Table1[[#This Row],[Quantity]]</f>
        <v>4200000</v>
      </c>
      <c r="O1873" s="3">
        <f>Table1[[#This Row],[Cost Price]]*Table1[[#This Row],[Quantity]]</f>
        <v>3360000</v>
      </c>
      <c r="P1873" s="3">
        <f>Table1[[#This Row],[Revenue]]-Table1[[#This Row],[COGS]]</f>
        <v>840000</v>
      </c>
      <c r="Q1873" s="1">
        <v>1872</v>
      </c>
    </row>
    <row r="1874" spans="1:17">
      <c r="A1874" t="s">
        <v>143</v>
      </c>
      <c r="B1874" t="str">
        <f>TEXT(Table1[[#This Row],[Date]],"MMMM")</f>
        <v>April</v>
      </c>
      <c r="C1874" t="str">
        <f>TEXT(Table1[[#This Row],[Date]],"DDDD")</f>
        <v>Thursday</v>
      </c>
      <c r="D1874" t="s">
        <v>49</v>
      </c>
      <c r="E1874" t="s">
        <v>53</v>
      </c>
      <c r="F1874" t="s">
        <v>41</v>
      </c>
      <c r="G1874" t="s">
        <v>30</v>
      </c>
      <c r="H1874" t="s">
        <v>62</v>
      </c>
      <c r="I1874" t="s">
        <v>51</v>
      </c>
      <c r="J1874" s="3">
        <v>150000</v>
      </c>
      <c r="K1874">
        <v>4</v>
      </c>
      <c r="L1874" t="s">
        <v>69</v>
      </c>
      <c r="M1874" s="3">
        <v>120000</v>
      </c>
      <c r="N1874" s="3">
        <f>Table1[[#This Row],[Unit Price]]*Table1[[#This Row],[Quantity]]</f>
        <v>600000</v>
      </c>
      <c r="O1874" s="3">
        <f>Table1[[#This Row],[Cost Price]]*Table1[[#This Row],[Quantity]]</f>
        <v>480000</v>
      </c>
      <c r="P1874" s="3">
        <f>Table1[[#This Row],[Revenue]]-Table1[[#This Row],[COGS]]</f>
        <v>120000</v>
      </c>
      <c r="Q1874" s="1">
        <v>1873</v>
      </c>
    </row>
    <row r="1875" spans="1:17">
      <c r="A1875" t="s">
        <v>167</v>
      </c>
      <c r="B1875" t="str">
        <f>TEXT(Table1[[#This Row],[Date]],"MMMM")</f>
        <v>April</v>
      </c>
      <c r="C1875" t="str">
        <f>TEXT(Table1[[#This Row],[Date]],"DDDD")</f>
        <v>Wednesday</v>
      </c>
      <c r="D1875" t="s">
        <v>35</v>
      </c>
      <c r="E1875" t="s">
        <v>45</v>
      </c>
      <c r="F1875" t="s">
        <v>29</v>
      </c>
      <c r="G1875" t="s">
        <v>30</v>
      </c>
      <c r="H1875" t="s">
        <v>31</v>
      </c>
      <c r="I1875" t="s">
        <v>32</v>
      </c>
      <c r="J1875" s="3">
        <v>85000</v>
      </c>
      <c r="K1875">
        <v>6</v>
      </c>
      <c r="L1875" t="s">
        <v>69</v>
      </c>
      <c r="M1875" s="3">
        <v>68000</v>
      </c>
      <c r="N1875" s="3">
        <f>Table1[[#This Row],[Unit Price]]*Table1[[#This Row],[Quantity]]</f>
        <v>510000</v>
      </c>
      <c r="O1875" s="3">
        <f>Table1[[#This Row],[Cost Price]]*Table1[[#This Row],[Quantity]]</f>
        <v>408000</v>
      </c>
      <c r="P1875" s="3">
        <f>Table1[[#This Row],[Revenue]]-Table1[[#This Row],[COGS]]</f>
        <v>102000</v>
      </c>
      <c r="Q1875" s="1">
        <v>1874</v>
      </c>
    </row>
    <row r="1876" spans="1:17">
      <c r="A1876" t="s">
        <v>134</v>
      </c>
      <c r="B1876" t="str">
        <f>TEXT(Table1[[#This Row],[Date]],"MMMM")</f>
        <v>January</v>
      </c>
      <c r="C1876" t="str">
        <f>TEXT(Table1[[#This Row],[Date]],"DDDD")</f>
        <v>Wednesday</v>
      </c>
      <c r="D1876" t="s">
        <v>44</v>
      </c>
      <c r="E1876" t="s">
        <v>28</v>
      </c>
      <c r="F1876" t="s">
        <v>41</v>
      </c>
      <c r="G1876" t="s">
        <v>37</v>
      </c>
      <c r="H1876" t="s">
        <v>50</v>
      </c>
      <c r="I1876" t="s">
        <v>51</v>
      </c>
      <c r="J1876" s="3">
        <v>300000</v>
      </c>
      <c r="K1876">
        <v>10</v>
      </c>
      <c r="L1876" t="s">
        <v>33</v>
      </c>
      <c r="M1876" s="3">
        <v>240000</v>
      </c>
      <c r="N1876" s="3">
        <f>Table1[[#This Row],[Unit Price]]*Table1[[#This Row],[Quantity]]</f>
        <v>3000000</v>
      </c>
      <c r="O1876" s="3">
        <f>Table1[[#This Row],[Cost Price]]*Table1[[#This Row],[Quantity]]</f>
        <v>2400000</v>
      </c>
      <c r="P1876" s="3">
        <f>Table1[[#This Row],[Revenue]]-Table1[[#This Row],[COGS]]</f>
        <v>600000</v>
      </c>
      <c r="Q1876" s="1">
        <v>1875</v>
      </c>
    </row>
    <row r="1877" spans="1:17">
      <c r="A1877" t="s">
        <v>76</v>
      </c>
      <c r="B1877" t="str">
        <f>TEXT(Table1[[#This Row],[Date]],"MMMM")</f>
        <v>May</v>
      </c>
      <c r="C1877" t="str">
        <f>TEXT(Table1[[#This Row],[Date]],"DDDD")</f>
        <v>Thursday</v>
      </c>
      <c r="D1877" t="s">
        <v>35</v>
      </c>
      <c r="E1877" t="s">
        <v>36</v>
      </c>
      <c r="F1877" t="s">
        <v>41</v>
      </c>
      <c r="G1877" t="s">
        <v>37</v>
      </c>
      <c r="H1877" t="s">
        <v>62</v>
      </c>
      <c r="I1877" t="s">
        <v>51</v>
      </c>
      <c r="J1877" s="3">
        <v>150000</v>
      </c>
      <c r="K1877">
        <v>6</v>
      </c>
      <c r="L1877" t="s">
        <v>69</v>
      </c>
      <c r="M1877" s="3">
        <v>120000</v>
      </c>
      <c r="N1877" s="3">
        <f>Table1[[#This Row],[Unit Price]]*Table1[[#This Row],[Quantity]]</f>
        <v>900000</v>
      </c>
      <c r="O1877" s="3">
        <f>Table1[[#This Row],[Cost Price]]*Table1[[#This Row],[Quantity]]</f>
        <v>720000</v>
      </c>
      <c r="P1877" s="3">
        <f>Table1[[#This Row],[Revenue]]-Table1[[#This Row],[COGS]]</f>
        <v>180000</v>
      </c>
      <c r="Q1877" s="1">
        <v>1876</v>
      </c>
    </row>
    <row r="1878" spans="1:17">
      <c r="A1878" t="s">
        <v>142</v>
      </c>
      <c r="B1878" t="str">
        <f>TEXT(Table1[[#This Row],[Date]],"MMMM")</f>
        <v>April</v>
      </c>
      <c r="C1878" t="str">
        <f>TEXT(Table1[[#This Row],[Date]],"DDDD")</f>
        <v>Monday</v>
      </c>
      <c r="D1878" t="s">
        <v>44</v>
      </c>
      <c r="E1878" t="s">
        <v>28</v>
      </c>
      <c r="F1878" t="s">
        <v>41</v>
      </c>
      <c r="G1878" t="s">
        <v>37</v>
      </c>
      <c r="H1878" t="s">
        <v>62</v>
      </c>
      <c r="I1878" t="s">
        <v>51</v>
      </c>
      <c r="J1878" s="3">
        <v>150000</v>
      </c>
      <c r="K1878">
        <v>1</v>
      </c>
      <c r="L1878" t="s">
        <v>69</v>
      </c>
      <c r="M1878" s="3">
        <v>120000</v>
      </c>
      <c r="N1878" s="3">
        <f>Table1[[#This Row],[Unit Price]]*Table1[[#This Row],[Quantity]]</f>
        <v>150000</v>
      </c>
      <c r="O1878" s="3">
        <f>Table1[[#This Row],[Cost Price]]*Table1[[#This Row],[Quantity]]</f>
        <v>120000</v>
      </c>
      <c r="P1878" s="3">
        <f>Table1[[#This Row],[Revenue]]-Table1[[#This Row],[COGS]]</f>
        <v>30000</v>
      </c>
      <c r="Q1878" s="1">
        <v>1877</v>
      </c>
    </row>
    <row r="1879" spans="1:17">
      <c r="A1879" t="s">
        <v>97</v>
      </c>
      <c r="B1879" t="str">
        <f>TEXT(Table1[[#This Row],[Date]],"MMMM")</f>
        <v>January</v>
      </c>
      <c r="C1879" t="str">
        <f>TEXT(Table1[[#This Row],[Date]],"DDDD")</f>
        <v>Sunday</v>
      </c>
      <c r="D1879" t="s">
        <v>49</v>
      </c>
      <c r="E1879" t="s">
        <v>28</v>
      </c>
      <c r="F1879" t="s">
        <v>29</v>
      </c>
      <c r="G1879" t="s">
        <v>37</v>
      </c>
      <c r="H1879" t="s">
        <v>50</v>
      </c>
      <c r="I1879" t="s">
        <v>51</v>
      </c>
      <c r="J1879" s="3">
        <v>300000</v>
      </c>
      <c r="K1879">
        <v>3</v>
      </c>
      <c r="L1879" t="s">
        <v>47</v>
      </c>
      <c r="M1879" s="3">
        <v>240000</v>
      </c>
      <c r="N1879" s="3">
        <f>Table1[[#This Row],[Unit Price]]*Table1[[#This Row],[Quantity]]</f>
        <v>900000</v>
      </c>
      <c r="O1879" s="3">
        <f>Table1[[#This Row],[Cost Price]]*Table1[[#This Row],[Quantity]]</f>
        <v>720000</v>
      </c>
      <c r="P1879" s="3">
        <f>Table1[[#This Row],[Revenue]]-Table1[[#This Row],[COGS]]</f>
        <v>180000</v>
      </c>
      <c r="Q1879" s="1">
        <v>1878</v>
      </c>
    </row>
    <row r="1880" spans="1:17">
      <c r="A1880" t="s">
        <v>97</v>
      </c>
      <c r="B1880" t="str">
        <f>TEXT(Table1[[#This Row],[Date]],"MMMM")</f>
        <v>January</v>
      </c>
      <c r="C1880" t="str">
        <f>TEXT(Table1[[#This Row],[Date]],"DDDD")</f>
        <v>Sunday</v>
      </c>
      <c r="D1880" t="s">
        <v>49</v>
      </c>
      <c r="E1880" t="s">
        <v>28</v>
      </c>
      <c r="F1880" t="s">
        <v>29</v>
      </c>
      <c r="G1880" t="s">
        <v>30</v>
      </c>
      <c r="H1880" t="s">
        <v>50</v>
      </c>
      <c r="I1880" t="s">
        <v>51</v>
      </c>
      <c r="J1880" s="3">
        <v>300000</v>
      </c>
      <c r="K1880">
        <v>8</v>
      </c>
      <c r="L1880" t="s">
        <v>65</v>
      </c>
      <c r="M1880" s="3">
        <v>240000</v>
      </c>
      <c r="N1880" s="3">
        <f>Table1[[#This Row],[Unit Price]]*Table1[[#This Row],[Quantity]]</f>
        <v>2400000</v>
      </c>
      <c r="O1880" s="3">
        <f>Table1[[#This Row],[Cost Price]]*Table1[[#This Row],[Quantity]]</f>
        <v>1920000</v>
      </c>
      <c r="P1880" s="3">
        <f>Table1[[#This Row],[Revenue]]-Table1[[#This Row],[COGS]]</f>
        <v>480000</v>
      </c>
      <c r="Q1880" s="1">
        <v>1879</v>
      </c>
    </row>
    <row r="1881" spans="1:17">
      <c r="A1881" t="s">
        <v>101</v>
      </c>
      <c r="B1881" t="str">
        <f>TEXT(Table1[[#This Row],[Date]],"MMMM")</f>
        <v>January</v>
      </c>
      <c r="C1881" t="str">
        <f>TEXT(Table1[[#This Row],[Date]],"DDDD")</f>
        <v>Thursday</v>
      </c>
      <c r="D1881" t="s">
        <v>35</v>
      </c>
      <c r="E1881" t="s">
        <v>28</v>
      </c>
      <c r="F1881" t="s">
        <v>41</v>
      </c>
      <c r="G1881" t="s">
        <v>30</v>
      </c>
      <c r="H1881" t="s">
        <v>50</v>
      </c>
      <c r="I1881" t="s">
        <v>51</v>
      </c>
      <c r="J1881" s="3">
        <v>300000</v>
      </c>
      <c r="K1881">
        <v>9</v>
      </c>
      <c r="L1881" t="s">
        <v>33</v>
      </c>
      <c r="M1881" s="3">
        <v>240000</v>
      </c>
      <c r="N1881" s="3">
        <f>Table1[[#This Row],[Unit Price]]*Table1[[#This Row],[Quantity]]</f>
        <v>2700000</v>
      </c>
      <c r="O1881" s="3">
        <f>Table1[[#This Row],[Cost Price]]*Table1[[#This Row],[Quantity]]</f>
        <v>2160000</v>
      </c>
      <c r="P1881" s="3">
        <f>Table1[[#This Row],[Revenue]]-Table1[[#This Row],[COGS]]</f>
        <v>540000</v>
      </c>
      <c r="Q1881" s="1">
        <v>1880</v>
      </c>
    </row>
    <row r="1882" spans="1:17">
      <c r="A1882" t="s">
        <v>158</v>
      </c>
      <c r="B1882" t="str">
        <f>TEXT(Table1[[#This Row],[Date]],"MMMM")</f>
        <v>January</v>
      </c>
      <c r="C1882" t="str">
        <f>TEXT(Table1[[#This Row],[Date]],"DDDD")</f>
        <v>Saturday</v>
      </c>
      <c r="D1882" t="s">
        <v>49</v>
      </c>
      <c r="E1882" t="s">
        <v>36</v>
      </c>
      <c r="F1882" t="s">
        <v>29</v>
      </c>
      <c r="G1882" t="s">
        <v>30</v>
      </c>
      <c r="H1882" t="s">
        <v>50</v>
      </c>
      <c r="I1882" t="s">
        <v>51</v>
      </c>
      <c r="J1882" s="3">
        <v>300000</v>
      </c>
      <c r="K1882">
        <v>2</v>
      </c>
      <c r="L1882" t="s">
        <v>58</v>
      </c>
      <c r="M1882" s="3">
        <v>240000</v>
      </c>
      <c r="N1882" s="3">
        <f>Table1[[#This Row],[Unit Price]]*Table1[[#This Row],[Quantity]]</f>
        <v>600000</v>
      </c>
      <c r="O1882" s="3">
        <f>Table1[[#This Row],[Cost Price]]*Table1[[#This Row],[Quantity]]</f>
        <v>480000</v>
      </c>
      <c r="P1882" s="3">
        <f>Table1[[#This Row],[Revenue]]-Table1[[#This Row],[COGS]]</f>
        <v>120000</v>
      </c>
      <c r="Q1882" s="1">
        <v>1881</v>
      </c>
    </row>
    <row r="1883" spans="1:17">
      <c r="A1883" t="s">
        <v>171</v>
      </c>
      <c r="B1883" t="str">
        <f>TEXT(Table1[[#This Row],[Date]],"MMMM")</f>
        <v>March</v>
      </c>
      <c r="C1883" t="str">
        <f>TEXT(Table1[[#This Row],[Date]],"DDDD")</f>
        <v>Monday</v>
      </c>
      <c r="D1883" t="s">
        <v>49</v>
      </c>
      <c r="E1883" t="s">
        <v>28</v>
      </c>
      <c r="F1883" t="s">
        <v>41</v>
      </c>
      <c r="G1883" t="s">
        <v>37</v>
      </c>
      <c r="H1883" t="s">
        <v>50</v>
      </c>
      <c r="I1883" t="s">
        <v>51</v>
      </c>
      <c r="J1883" s="3">
        <v>300000</v>
      </c>
      <c r="K1883">
        <v>10</v>
      </c>
      <c r="L1883" t="s">
        <v>47</v>
      </c>
      <c r="M1883" s="3">
        <v>240000</v>
      </c>
      <c r="N1883" s="3">
        <f>Table1[[#This Row],[Unit Price]]*Table1[[#This Row],[Quantity]]</f>
        <v>3000000</v>
      </c>
      <c r="O1883" s="3">
        <f>Table1[[#This Row],[Cost Price]]*Table1[[#This Row],[Quantity]]</f>
        <v>2400000</v>
      </c>
      <c r="P1883" s="3">
        <f>Table1[[#This Row],[Revenue]]-Table1[[#This Row],[COGS]]</f>
        <v>600000</v>
      </c>
      <c r="Q1883" s="1">
        <v>1882</v>
      </c>
    </row>
    <row r="1884" spans="1:17">
      <c r="A1884" t="s">
        <v>100</v>
      </c>
      <c r="B1884" t="str">
        <f>TEXT(Table1[[#This Row],[Date]],"MMMM")</f>
        <v>January</v>
      </c>
      <c r="C1884" t="str">
        <f>TEXT(Table1[[#This Row],[Date]],"DDDD")</f>
        <v>Monday</v>
      </c>
      <c r="D1884" t="s">
        <v>27</v>
      </c>
      <c r="E1884" t="s">
        <v>45</v>
      </c>
      <c r="F1884" t="s">
        <v>41</v>
      </c>
      <c r="G1884" t="s">
        <v>37</v>
      </c>
      <c r="H1884" t="s">
        <v>73</v>
      </c>
      <c r="I1884" t="s">
        <v>39</v>
      </c>
      <c r="J1884" s="3">
        <v>220000</v>
      </c>
      <c r="K1884">
        <v>4</v>
      </c>
      <c r="L1884" t="s">
        <v>65</v>
      </c>
      <c r="M1884" s="3">
        <v>176000</v>
      </c>
      <c r="N1884" s="3">
        <f>Table1[[#This Row],[Unit Price]]*Table1[[#This Row],[Quantity]]</f>
        <v>880000</v>
      </c>
      <c r="O1884" s="3">
        <f>Table1[[#This Row],[Cost Price]]*Table1[[#This Row],[Quantity]]</f>
        <v>704000</v>
      </c>
      <c r="P1884" s="3">
        <f>Table1[[#This Row],[Revenue]]-Table1[[#This Row],[COGS]]</f>
        <v>176000</v>
      </c>
      <c r="Q1884" s="1">
        <v>1883</v>
      </c>
    </row>
    <row r="1885" spans="1:17">
      <c r="A1885" t="s">
        <v>43</v>
      </c>
      <c r="B1885" t="str">
        <f>TEXT(Table1[[#This Row],[Date]],"MMMM")</f>
        <v>April</v>
      </c>
      <c r="C1885" t="str">
        <f>TEXT(Table1[[#This Row],[Date]],"DDDD")</f>
        <v>Friday</v>
      </c>
      <c r="D1885" t="s">
        <v>49</v>
      </c>
      <c r="E1885" t="s">
        <v>36</v>
      </c>
      <c r="F1885" t="s">
        <v>41</v>
      </c>
      <c r="G1885" t="s">
        <v>30</v>
      </c>
      <c r="H1885" t="s">
        <v>31</v>
      </c>
      <c r="I1885" t="s">
        <v>32</v>
      </c>
      <c r="J1885" s="3">
        <v>85000</v>
      </c>
      <c r="K1885">
        <v>6</v>
      </c>
      <c r="L1885" t="s">
        <v>65</v>
      </c>
      <c r="M1885" s="3">
        <v>68000</v>
      </c>
      <c r="N1885" s="3">
        <f>Table1[[#This Row],[Unit Price]]*Table1[[#This Row],[Quantity]]</f>
        <v>510000</v>
      </c>
      <c r="O1885" s="3">
        <f>Table1[[#This Row],[Cost Price]]*Table1[[#This Row],[Quantity]]</f>
        <v>408000</v>
      </c>
      <c r="P1885" s="3">
        <f>Table1[[#This Row],[Revenue]]-Table1[[#This Row],[COGS]]</f>
        <v>102000</v>
      </c>
      <c r="Q1885" s="1">
        <v>1884</v>
      </c>
    </row>
    <row r="1886" spans="1:17">
      <c r="A1886" t="s">
        <v>172</v>
      </c>
      <c r="B1886" t="str">
        <f>TEXT(Table1[[#This Row],[Date]],"MMMM")</f>
        <v>March</v>
      </c>
      <c r="C1886" t="str">
        <f>TEXT(Table1[[#This Row],[Date]],"DDDD")</f>
        <v>Saturday</v>
      </c>
      <c r="D1886" t="s">
        <v>27</v>
      </c>
      <c r="E1886" t="s">
        <v>45</v>
      </c>
      <c r="F1886" t="s">
        <v>41</v>
      </c>
      <c r="G1886" t="s">
        <v>37</v>
      </c>
      <c r="H1886" t="s">
        <v>46</v>
      </c>
      <c r="I1886" t="s">
        <v>39</v>
      </c>
      <c r="J1886" s="3">
        <v>60000</v>
      </c>
      <c r="K1886">
        <v>4</v>
      </c>
      <c r="L1886" t="s">
        <v>47</v>
      </c>
      <c r="M1886" s="3">
        <v>48000</v>
      </c>
      <c r="N1886" s="3">
        <f>Table1[[#This Row],[Unit Price]]*Table1[[#This Row],[Quantity]]</f>
        <v>240000</v>
      </c>
      <c r="O1886" s="3">
        <f>Table1[[#This Row],[Cost Price]]*Table1[[#This Row],[Quantity]]</f>
        <v>192000</v>
      </c>
      <c r="P1886" s="3">
        <f>Table1[[#This Row],[Revenue]]-Table1[[#This Row],[COGS]]</f>
        <v>48000</v>
      </c>
      <c r="Q1886" s="1">
        <v>1885</v>
      </c>
    </row>
    <row r="1887" spans="1:17">
      <c r="A1887" t="s">
        <v>163</v>
      </c>
      <c r="B1887" t="str">
        <f>TEXT(Table1[[#This Row],[Date]],"MMMM")</f>
        <v>April</v>
      </c>
      <c r="C1887" t="str">
        <f>TEXT(Table1[[#This Row],[Date]],"DDDD")</f>
        <v>Tuesday</v>
      </c>
      <c r="D1887" t="s">
        <v>35</v>
      </c>
      <c r="E1887" t="s">
        <v>28</v>
      </c>
      <c r="F1887" t="s">
        <v>29</v>
      </c>
      <c r="G1887" t="s">
        <v>37</v>
      </c>
      <c r="H1887" t="s">
        <v>73</v>
      </c>
      <c r="I1887" t="s">
        <v>39</v>
      </c>
      <c r="J1887" s="3">
        <v>220000</v>
      </c>
      <c r="K1887">
        <v>2</v>
      </c>
      <c r="L1887" t="s">
        <v>42</v>
      </c>
      <c r="M1887" s="3">
        <v>176000</v>
      </c>
      <c r="N1887" s="3">
        <f>Table1[[#This Row],[Unit Price]]*Table1[[#This Row],[Quantity]]</f>
        <v>440000</v>
      </c>
      <c r="O1887" s="3">
        <f>Table1[[#This Row],[Cost Price]]*Table1[[#This Row],[Quantity]]</f>
        <v>352000</v>
      </c>
      <c r="P1887" s="3">
        <f>Table1[[#This Row],[Revenue]]-Table1[[#This Row],[COGS]]</f>
        <v>88000</v>
      </c>
      <c r="Q1887" s="1">
        <v>1886</v>
      </c>
    </row>
    <row r="1888" spans="1:17">
      <c r="A1888" t="s">
        <v>68</v>
      </c>
      <c r="B1888" t="str">
        <f>TEXT(Table1[[#This Row],[Date]],"MMMM")</f>
        <v>March</v>
      </c>
      <c r="C1888" t="str">
        <f>TEXT(Table1[[#This Row],[Date]],"DDDD")</f>
        <v>Monday</v>
      </c>
      <c r="D1888" t="s">
        <v>35</v>
      </c>
      <c r="E1888" t="s">
        <v>53</v>
      </c>
      <c r="F1888" t="s">
        <v>41</v>
      </c>
      <c r="G1888" t="s">
        <v>30</v>
      </c>
      <c r="H1888" t="s">
        <v>50</v>
      </c>
      <c r="I1888" t="s">
        <v>51</v>
      </c>
      <c r="J1888" s="3">
        <v>300000</v>
      </c>
      <c r="K1888">
        <v>3</v>
      </c>
      <c r="L1888" t="s">
        <v>33</v>
      </c>
      <c r="M1888" s="3">
        <v>240000</v>
      </c>
      <c r="N1888" s="3">
        <f>Table1[[#This Row],[Unit Price]]*Table1[[#This Row],[Quantity]]</f>
        <v>900000</v>
      </c>
      <c r="O1888" s="3">
        <f>Table1[[#This Row],[Cost Price]]*Table1[[#This Row],[Quantity]]</f>
        <v>720000</v>
      </c>
      <c r="P1888" s="3">
        <f>Table1[[#This Row],[Revenue]]-Table1[[#This Row],[COGS]]</f>
        <v>180000</v>
      </c>
      <c r="Q1888" s="1">
        <v>1887</v>
      </c>
    </row>
    <row r="1889" spans="1:17">
      <c r="A1889" t="s">
        <v>149</v>
      </c>
      <c r="B1889" t="str">
        <f>TEXT(Table1[[#This Row],[Date]],"MMMM")</f>
        <v>April</v>
      </c>
      <c r="C1889" t="str">
        <f>TEXT(Table1[[#This Row],[Date]],"DDDD")</f>
        <v>Saturday</v>
      </c>
      <c r="D1889" t="s">
        <v>44</v>
      </c>
      <c r="E1889" t="s">
        <v>28</v>
      </c>
      <c r="F1889" t="s">
        <v>41</v>
      </c>
      <c r="G1889" t="s">
        <v>30</v>
      </c>
      <c r="H1889" t="s">
        <v>73</v>
      </c>
      <c r="I1889" t="s">
        <v>39</v>
      </c>
      <c r="J1889" s="3">
        <v>220000</v>
      </c>
      <c r="K1889">
        <v>8</v>
      </c>
      <c r="L1889" t="s">
        <v>69</v>
      </c>
      <c r="M1889" s="3">
        <v>176000</v>
      </c>
      <c r="N1889" s="3">
        <f>Table1[[#This Row],[Unit Price]]*Table1[[#This Row],[Quantity]]</f>
        <v>1760000</v>
      </c>
      <c r="O1889" s="3">
        <f>Table1[[#This Row],[Cost Price]]*Table1[[#This Row],[Quantity]]</f>
        <v>1408000</v>
      </c>
      <c r="P1889" s="3">
        <f>Table1[[#This Row],[Revenue]]-Table1[[#This Row],[COGS]]</f>
        <v>352000</v>
      </c>
      <c r="Q1889" s="1">
        <v>1888</v>
      </c>
    </row>
    <row r="1890" spans="1:17">
      <c r="A1890" t="s">
        <v>132</v>
      </c>
      <c r="B1890" t="str">
        <f>TEXT(Table1[[#This Row],[Date]],"MMMM")</f>
        <v>April</v>
      </c>
      <c r="C1890" t="str">
        <f>TEXT(Table1[[#This Row],[Date]],"DDDD")</f>
        <v>Saturday</v>
      </c>
      <c r="D1890" t="s">
        <v>27</v>
      </c>
      <c r="E1890" t="s">
        <v>28</v>
      </c>
      <c r="F1890" t="s">
        <v>29</v>
      </c>
      <c r="G1890" t="s">
        <v>30</v>
      </c>
      <c r="H1890" t="s">
        <v>71</v>
      </c>
      <c r="I1890" t="s">
        <v>51</v>
      </c>
      <c r="J1890" s="3">
        <v>250000</v>
      </c>
      <c r="K1890">
        <v>8</v>
      </c>
      <c r="L1890" t="s">
        <v>65</v>
      </c>
      <c r="M1890" s="3">
        <v>200000</v>
      </c>
      <c r="N1890" s="3">
        <f>Table1[[#This Row],[Unit Price]]*Table1[[#This Row],[Quantity]]</f>
        <v>2000000</v>
      </c>
      <c r="O1890" s="3">
        <f>Table1[[#This Row],[Cost Price]]*Table1[[#This Row],[Quantity]]</f>
        <v>1600000</v>
      </c>
      <c r="P1890" s="3">
        <f>Table1[[#This Row],[Revenue]]-Table1[[#This Row],[COGS]]</f>
        <v>400000</v>
      </c>
      <c r="Q1890" s="1">
        <v>1889</v>
      </c>
    </row>
    <row r="1891" spans="1:17">
      <c r="A1891" t="s">
        <v>172</v>
      </c>
      <c r="B1891" t="str">
        <f>TEXT(Table1[[#This Row],[Date]],"MMMM")</f>
        <v>March</v>
      </c>
      <c r="C1891" t="str">
        <f>TEXT(Table1[[#This Row],[Date]],"DDDD")</f>
        <v>Saturday</v>
      </c>
      <c r="D1891" t="s">
        <v>44</v>
      </c>
      <c r="E1891" t="s">
        <v>28</v>
      </c>
      <c r="F1891" t="s">
        <v>29</v>
      </c>
      <c r="G1891" t="s">
        <v>30</v>
      </c>
      <c r="H1891" t="s">
        <v>31</v>
      </c>
      <c r="I1891" t="s">
        <v>32</v>
      </c>
      <c r="J1891" s="3">
        <v>85000</v>
      </c>
      <c r="K1891">
        <v>2</v>
      </c>
      <c r="L1891" t="s">
        <v>33</v>
      </c>
      <c r="M1891" s="3">
        <v>68000</v>
      </c>
      <c r="N1891" s="3">
        <f>Table1[[#This Row],[Unit Price]]*Table1[[#This Row],[Quantity]]</f>
        <v>170000</v>
      </c>
      <c r="O1891" s="3">
        <f>Table1[[#This Row],[Cost Price]]*Table1[[#This Row],[Quantity]]</f>
        <v>136000</v>
      </c>
      <c r="P1891" s="3">
        <f>Table1[[#This Row],[Revenue]]-Table1[[#This Row],[COGS]]</f>
        <v>34000</v>
      </c>
      <c r="Q1891" s="1">
        <v>1890</v>
      </c>
    </row>
    <row r="1892" spans="1:17">
      <c r="A1892" t="s">
        <v>121</v>
      </c>
      <c r="B1892" t="str">
        <f>TEXT(Table1[[#This Row],[Date]],"MMMM")</f>
        <v>April</v>
      </c>
      <c r="C1892" t="str">
        <f>TEXT(Table1[[#This Row],[Date]],"DDDD")</f>
        <v>Wednesday</v>
      </c>
      <c r="D1892" t="s">
        <v>49</v>
      </c>
      <c r="E1892" t="s">
        <v>45</v>
      </c>
      <c r="F1892" t="s">
        <v>41</v>
      </c>
      <c r="G1892" t="s">
        <v>37</v>
      </c>
      <c r="H1892" t="s">
        <v>62</v>
      </c>
      <c r="I1892" t="s">
        <v>51</v>
      </c>
      <c r="J1892" s="3">
        <v>150000</v>
      </c>
      <c r="K1892">
        <v>7</v>
      </c>
      <c r="L1892" t="s">
        <v>65</v>
      </c>
      <c r="M1892" s="3">
        <v>120000</v>
      </c>
      <c r="N1892" s="3">
        <f>Table1[[#This Row],[Unit Price]]*Table1[[#This Row],[Quantity]]</f>
        <v>1050000</v>
      </c>
      <c r="O1892" s="3">
        <f>Table1[[#This Row],[Cost Price]]*Table1[[#This Row],[Quantity]]</f>
        <v>840000</v>
      </c>
      <c r="P1892" s="3">
        <f>Table1[[#This Row],[Revenue]]-Table1[[#This Row],[COGS]]</f>
        <v>210000</v>
      </c>
      <c r="Q1892" s="1">
        <v>1891</v>
      </c>
    </row>
    <row r="1893" spans="1:17">
      <c r="A1893" t="s">
        <v>128</v>
      </c>
      <c r="B1893" t="str">
        <f>TEXT(Table1[[#This Row],[Date]],"MMMM")</f>
        <v>March</v>
      </c>
      <c r="C1893" t="str">
        <f>TEXT(Table1[[#This Row],[Date]],"DDDD")</f>
        <v>Friday</v>
      </c>
      <c r="D1893" t="s">
        <v>44</v>
      </c>
      <c r="E1893" t="s">
        <v>45</v>
      </c>
      <c r="F1893" t="s">
        <v>29</v>
      </c>
      <c r="G1893" t="s">
        <v>30</v>
      </c>
      <c r="H1893" t="s">
        <v>38</v>
      </c>
      <c r="I1893" t="s">
        <v>39</v>
      </c>
      <c r="J1893" s="3">
        <v>30000</v>
      </c>
      <c r="K1893">
        <v>8</v>
      </c>
      <c r="L1893" t="s">
        <v>47</v>
      </c>
      <c r="M1893" s="3">
        <v>24000</v>
      </c>
      <c r="N1893" s="3">
        <f>Table1[[#This Row],[Unit Price]]*Table1[[#This Row],[Quantity]]</f>
        <v>240000</v>
      </c>
      <c r="O1893" s="3">
        <f>Table1[[#This Row],[Cost Price]]*Table1[[#This Row],[Quantity]]</f>
        <v>192000</v>
      </c>
      <c r="P1893" s="3">
        <f>Table1[[#This Row],[Revenue]]-Table1[[#This Row],[COGS]]</f>
        <v>48000</v>
      </c>
      <c r="Q1893" s="1">
        <v>1892</v>
      </c>
    </row>
    <row r="1894" spans="1:17">
      <c r="A1894" t="s">
        <v>139</v>
      </c>
      <c r="B1894" t="str">
        <f>TEXT(Table1[[#This Row],[Date]],"MMMM")</f>
        <v>January</v>
      </c>
      <c r="C1894" t="str">
        <f>TEXT(Table1[[#This Row],[Date]],"DDDD")</f>
        <v>Monday</v>
      </c>
      <c r="D1894" t="s">
        <v>27</v>
      </c>
      <c r="E1894" t="s">
        <v>28</v>
      </c>
      <c r="F1894" t="s">
        <v>41</v>
      </c>
      <c r="G1894" t="s">
        <v>30</v>
      </c>
      <c r="H1894" t="s">
        <v>31</v>
      </c>
      <c r="I1894" t="s">
        <v>32</v>
      </c>
      <c r="J1894" s="3">
        <v>85000</v>
      </c>
      <c r="K1894">
        <v>2</v>
      </c>
      <c r="L1894" t="s">
        <v>65</v>
      </c>
      <c r="M1894" s="3">
        <v>68000</v>
      </c>
      <c r="N1894" s="3">
        <f>Table1[[#This Row],[Unit Price]]*Table1[[#This Row],[Quantity]]</f>
        <v>170000</v>
      </c>
      <c r="O1894" s="3">
        <f>Table1[[#This Row],[Cost Price]]*Table1[[#This Row],[Quantity]]</f>
        <v>136000</v>
      </c>
      <c r="P1894" s="3">
        <f>Table1[[#This Row],[Revenue]]-Table1[[#This Row],[COGS]]</f>
        <v>34000</v>
      </c>
      <c r="Q1894" s="1">
        <v>1893</v>
      </c>
    </row>
    <row r="1895" spans="1:17">
      <c r="A1895" t="s">
        <v>105</v>
      </c>
      <c r="B1895" t="str">
        <f>TEXT(Table1[[#This Row],[Date]],"MMMM")</f>
        <v>March</v>
      </c>
      <c r="C1895" t="str">
        <f>TEXT(Table1[[#This Row],[Date]],"DDDD")</f>
        <v>Friday</v>
      </c>
      <c r="D1895" t="s">
        <v>27</v>
      </c>
      <c r="E1895" t="s">
        <v>53</v>
      </c>
      <c r="F1895" t="s">
        <v>29</v>
      </c>
      <c r="G1895" t="s">
        <v>30</v>
      </c>
      <c r="H1895" t="s">
        <v>54</v>
      </c>
      <c r="I1895" t="s">
        <v>39</v>
      </c>
      <c r="J1895" s="3">
        <v>180000</v>
      </c>
      <c r="K1895">
        <v>5</v>
      </c>
      <c r="L1895" t="s">
        <v>42</v>
      </c>
      <c r="M1895" s="3">
        <v>144000</v>
      </c>
      <c r="N1895" s="3">
        <f>Table1[[#This Row],[Unit Price]]*Table1[[#This Row],[Quantity]]</f>
        <v>900000</v>
      </c>
      <c r="O1895" s="3">
        <f>Table1[[#This Row],[Cost Price]]*Table1[[#This Row],[Quantity]]</f>
        <v>720000</v>
      </c>
      <c r="P1895" s="3">
        <f>Table1[[#This Row],[Revenue]]-Table1[[#This Row],[COGS]]</f>
        <v>180000</v>
      </c>
      <c r="Q1895" s="1">
        <v>1894</v>
      </c>
    </row>
    <row r="1896" spans="1:17">
      <c r="A1896" t="s">
        <v>171</v>
      </c>
      <c r="B1896" t="str">
        <f>TEXT(Table1[[#This Row],[Date]],"MMMM")</f>
        <v>March</v>
      </c>
      <c r="C1896" t="str">
        <f>TEXT(Table1[[#This Row],[Date]],"DDDD")</f>
        <v>Monday</v>
      </c>
      <c r="D1896" t="s">
        <v>27</v>
      </c>
      <c r="E1896" t="s">
        <v>45</v>
      </c>
      <c r="F1896" t="s">
        <v>29</v>
      </c>
      <c r="G1896" t="s">
        <v>30</v>
      </c>
      <c r="H1896" t="s">
        <v>31</v>
      </c>
      <c r="I1896" t="s">
        <v>32</v>
      </c>
      <c r="J1896" s="3">
        <v>85000</v>
      </c>
      <c r="K1896">
        <v>9</v>
      </c>
      <c r="L1896" t="s">
        <v>65</v>
      </c>
      <c r="M1896" s="3">
        <v>68000</v>
      </c>
      <c r="N1896" s="3">
        <f>Table1[[#This Row],[Unit Price]]*Table1[[#This Row],[Quantity]]</f>
        <v>765000</v>
      </c>
      <c r="O1896" s="3">
        <f>Table1[[#This Row],[Cost Price]]*Table1[[#This Row],[Quantity]]</f>
        <v>612000</v>
      </c>
      <c r="P1896" s="3">
        <f>Table1[[#This Row],[Revenue]]-Table1[[#This Row],[COGS]]</f>
        <v>153000</v>
      </c>
      <c r="Q1896" s="1">
        <v>1895</v>
      </c>
    </row>
    <row r="1897" spans="1:17">
      <c r="A1897" t="s">
        <v>146</v>
      </c>
      <c r="B1897" t="str">
        <f>TEXT(Table1[[#This Row],[Date]],"MMMM")</f>
        <v>January</v>
      </c>
      <c r="C1897" t="str">
        <f>TEXT(Table1[[#This Row],[Date]],"DDDD")</f>
        <v>Tuesday</v>
      </c>
      <c r="D1897" t="s">
        <v>27</v>
      </c>
      <c r="E1897" t="s">
        <v>53</v>
      </c>
      <c r="F1897" t="s">
        <v>41</v>
      </c>
      <c r="G1897" t="s">
        <v>30</v>
      </c>
      <c r="H1897" t="s">
        <v>67</v>
      </c>
      <c r="I1897" t="s">
        <v>51</v>
      </c>
      <c r="J1897" s="3">
        <v>420000</v>
      </c>
      <c r="K1897">
        <v>9</v>
      </c>
      <c r="L1897" t="s">
        <v>42</v>
      </c>
      <c r="M1897" s="3">
        <v>336000</v>
      </c>
      <c r="N1897" s="3">
        <f>Table1[[#This Row],[Unit Price]]*Table1[[#This Row],[Quantity]]</f>
        <v>3780000</v>
      </c>
      <c r="O1897" s="3">
        <f>Table1[[#This Row],[Cost Price]]*Table1[[#This Row],[Quantity]]</f>
        <v>3024000</v>
      </c>
      <c r="P1897" s="3">
        <f>Table1[[#This Row],[Revenue]]-Table1[[#This Row],[COGS]]</f>
        <v>756000</v>
      </c>
      <c r="Q1897" s="1">
        <v>1896</v>
      </c>
    </row>
    <row r="1898" spans="1:17">
      <c r="A1898" t="s">
        <v>177</v>
      </c>
      <c r="B1898" t="str">
        <f>TEXT(Table1[[#This Row],[Date]],"MMMM")</f>
        <v>March</v>
      </c>
      <c r="C1898" t="str">
        <f>TEXT(Table1[[#This Row],[Date]],"DDDD")</f>
        <v>Wednesday</v>
      </c>
      <c r="D1898" t="s">
        <v>49</v>
      </c>
      <c r="E1898" t="s">
        <v>53</v>
      </c>
      <c r="F1898" t="s">
        <v>29</v>
      </c>
      <c r="G1898" t="s">
        <v>30</v>
      </c>
      <c r="H1898" t="s">
        <v>56</v>
      </c>
      <c r="I1898" t="s">
        <v>32</v>
      </c>
      <c r="J1898" s="3">
        <v>320000</v>
      </c>
      <c r="K1898">
        <v>5</v>
      </c>
      <c r="L1898" t="s">
        <v>33</v>
      </c>
      <c r="M1898" s="3">
        <v>256000</v>
      </c>
      <c r="N1898" s="3">
        <f>Table1[[#This Row],[Unit Price]]*Table1[[#This Row],[Quantity]]</f>
        <v>1600000</v>
      </c>
      <c r="O1898" s="3">
        <f>Table1[[#This Row],[Cost Price]]*Table1[[#This Row],[Quantity]]</f>
        <v>1280000</v>
      </c>
      <c r="P1898" s="3">
        <f>Table1[[#This Row],[Revenue]]-Table1[[#This Row],[COGS]]</f>
        <v>320000</v>
      </c>
      <c r="Q1898" s="1">
        <v>1897</v>
      </c>
    </row>
    <row r="1899" spans="1:17">
      <c r="A1899" t="s">
        <v>163</v>
      </c>
      <c r="B1899" t="str">
        <f>TEXT(Table1[[#This Row],[Date]],"MMMM")</f>
        <v>April</v>
      </c>
      <c r="C1899" t="str">
        <f>TEXT(Table1[[#This Row],[Date]],"DDDD")</f>
        <v>Tuesday</v>
      </c>
      <c r="D1899" t="s">
        <v>27</v>
      </c>
      <c r="E1899" t="s">
        <v>36</v>
      </c>
      <c r="F1899" t="s">
        <v>29</v>
      </c>
      <c r="G1899" t="s">
        <v>30</v>
      </c>
      <c r="H1899" t="s">
        <v>56</v>
      </c>
      <c r="I1899" t="s">
        <v>32</v>
      </c>
      <c r="J1899" s="3">
        <v>320000</v>
      </c>
      <c r="K1899">
        <v>1</v>
      </c>
      <c r="L1899" t="s">
        <v>65</v>
      </c>
      <c r="M1899" s="3">
        <v>256000</v>
      </c>
      <c r="N1899" s="3">
        <f>Table1[[#This Row],[Unit Price]]*Table1[[#This Row],[Quantity]]</f>
        <v>320000</v>
      </c>
      <c r="O1899" s="3">
        <f>Table1[[#This Row],[Cost Price]]*Table1[[#This Row],[Quantity]]</f>
        <v>256000</v>
      </c>
      <c r="P1899" s="3">
        <f>Table1[[#This Row],[Revenue]]-Table1[[#This Row],[COGS]]</f>
        <v>64000</v>
      </c>
      <c r="Q1899" s="1">
        <v>1898</v>
      </c>
    </row>
    <row r="1900" spans="1:17">
      <c r="A1900" t="s">
        <v>68</v>
      </c>
      <c r="B1900" t="str">
        <f>TEXT(Table1[[#This Row],[Date]],"MMMM")</f>
        <v>March</v>
      </c>
      <c r="C1900" t="str">
        <f>TEXT(Table1[[#This Row],[Date]],"DDDD")</f>
        <v>Monday</v>
      </c>
      <c r="D1900" t="s">
        <v>49</v>
      </c>
      <c r="E1900" t="s">
        <v>45</v>
      </c>
      <c r="F1900" t="s">
        <v>29</v>
      </c>
      <c r="G1900" t="s">
        <v>30</v>
      </c>
      <c r="H1900" t="s">
        <v>38</v>
      </c>
      <c r="I1900" t="s">
        <v>39</v>
      </c>
      <c r="J1900" s="3">
        <v>30000</v>
      </c>
      <c r="K1900">
        <v>10</v>
      </c>
      <c r="L1900" t="s">
        <v>58</v>
      </c>
      <c r="M1900" s="3">
        <v>24000</v>
      </c>
      <c r="N1900" s="3">
        <f>Table1[[#This Row],[Unit Price]]*Table1[[#This Row],[Quantity]]</f>
        <v>300000</v>
      </c>
      <c r="O1900" s="3">
        <f>Table1[[#This Row],[Cost Price]]*Table1[[#This Row],[Quantity]]</f>
        <v>240000</v>
      </c>
      <c r="P1900" s="3">
        <f>Table1[[#This Row],[Revenue]]-Table1[[#This Row],[COGS]]</f>
        <v>60000</v>
      </c>
      <c r="Q1900" s="1">
        <v>1899</v>
      </c>
    </row>
    <row r="1901" spans="1:17">
      <c r="A1901" t="s">
        <v>156</v>
      </c>
      <c r="B1901" t="str">
        <f>TEXT(Table1[[#This Row],[Date]],"MMMM")</f>
        <v>February</v>
      </c>
      <c r="C1901" t="str">
        <f>TEXT(Table1[[#This Row],[Date]],"DDDD")</f>
        <v>Friday</v>
      </c>
      <c r="D1901" t="s">
        <v>35</v>
      </c>
      <c r="E1901" t="s">
        <v>28</v>
      </c>
      <c r="F1901" t="s">
        <v>29</v>
      </c>
      <c r="G1901" t="s">
        <v>37</v>
      </c>
      <c r="H1901" t="s">
        <v>54</v>
      </c>
      <c r="I1901" t="s">
        <v>39</v>
      </c>
      <c r="J1901" s="3">
        <v>180000</v>
      </c>
      <c r="K1901">
        <v>10</v>
      </c>
      <c r="L1901" t="s">
        <v>69</v>
      </c>
      <c r="M1901" s="3">
        <v>144000</v>
      </c>
      <c r="N1901" s="3">
        <f>Table1[[#This Row],[Unit Price]]*Table1[[#This Row],[Quantity]]</f>
        <v>1800000</v>
      </c>
      <c r="O1901" s="3">
        <f>Table1[[#This Row],[Cost Price]]*Table1[[#This Row],[Quantity]]</f>
        <v>1440000</v>
      </c>
      <c r="P1901" s="3">
        <f>Table1[[#This Row],[Revenue]]-Table1[[#This Row],[COGS]]</f>
        <v>360000</v>
      </c>
      <c r="Q1901" s="1">
        <v>1900</v>
      </c>
    </row>
    <row r="1902" spans="1:17">
      <c r="A1902" t="s">
        <v>96</v>
      </c>
      <c r="B1902" t="str">
        <f>TEXT(Table1[[#This Row],[Date]],"MMMM")</f>
        <v>March</v>
      </c>
      <c r="C1902" t="str">
        <f>TEXT(Table1[[#This Row],[Date]],"DDDD")</f>
        <v>Sunday</v>
      </c>
      <c r="D1902" t="s">
        <v>27</v>
      </c>
      <c r="E1902" t="s">
        <v>45</v>
      </c>
      <c r="F1902" t="s">
        <v>41</v>
      </c>
      <c r="G1902" t="s">
        <v>30</v>
      </c>
      <c r="H1902" t="s">
        <v>56</v>
      </c>
      <c r="I1902" t="s">
        <v>32</v>
      </c>
      <c r="J1902" s="3">
        <v>320000</v>
      </c>
      <c r="K1902">
        <v>9</v>
      </c>
      <c r="L1902" t="s">
        <v>47</v>
      </c>
      <c r="M1902" s="3">
        <v>256000</v>
      </c>
      <c r="N1902" s="3">
        <f>Table1[[#This Row],[Unit Price]]*Table1[[#This Row],[Quantity]]</f>
        <v>2880000</v>
      </c>
      <c r="O1902" s="3">
        <f>Table1[[#This Row],[Cost Price]]*Table1[[#This Row],[Quantity]]</f>
        <v>2304000</v>
      </c>
      <c r="P1902" s="3">
        <f>Table1[[#This Row],[Revenue]]-Table1[[#This Row],[COGS]]</f>
        <v>576000</v>
      </c>
      <c r="Q1902" s="1">
        <v>1901</v>
      </c>
    </row>
    <row r="1903" spans="1:17">
      <c r="A1903" t="s">
        <v>101</v>
      </c>
      <c r="B1903" t="str">
        <f>TEXT(Table1[[#This Row],[Date]],"MMMM")</f>
        <v>January</v>
      </c>
      <c r="C1903" t="str">
        <f>TEXT(Table1[[#This Row],[Date]],"DDDD")</f>
        <v>Thursday</v>
      </c>
      <c r="D1903" t="s">
        <v>27</v>
      </c>
      <c r="E1903" t="s">
        <v>53</v>
      </c>
      <c r="F1903" t="s">
        <v>41</v>
      </c>
      <c r="G1903" t="s">
        <v>30</v>
      </c>
      <c r="H1903" t="s">
        <v>67</v>
      </c>
      <c r="I1903" t="s">
        <v>51</v>
      </c>
      <c r="J1903" s="3">
        <v>420000</v>
      </c>
      <c r="K1903">
        <v>2</v>
      </c>
      <c r="L1903" t="s">
        <v>65</v>
      </c>
      <c r="M1903" s="3">
        <v>336000</v>
      </c>
      <c r="N1903" s="3">
        <f>Table1[[#This Row],[Unit Price]]*Table1[[#This Row],[Quantity]]</f>
        <v>840000</v>
      </c>
      <c r="O1903" s="3">
        <f>Table1[[#This Row],[Cost Price]]*Table1[[#This Row],[Quantity]]</f>
        <v>672000</v>
      </c>
      <c r="P1903" s="3">
        <f>Table1[[#This Row],[Revenue]]-Table1[[#This Row],[COGS]]</f>
        <v>168000</v>
      </c>
      <c r="Q1903" s="1">
        <v>1902</v>
      </c>
    </row>
    <row r="1904" spans="1:17">
      <c r="A1904" t="s">
        <v>139</v>
      </c>
      <c r="B1904" t="str">
        <f>TEXT(Table1[[#This Row],[Date]],"MMMM")</f>
        <v>January</v>
      </c>
      <c r="C1904" t="str">
        <f>TEXT(Table1[[#This Row],[Date]],"DDDD")</f>
        <v>Monday</v>
      </c>
      <c r="D1904" t="s">
        <v>49</v>
      </c>
      <c r="E1904" t="s">
        <v>28</v>
      </c>
      <c r="F1904" t="s">
        <v>29</v>
      </c>
      <c r="G1904" t="s">
        <v>30</v>
      </c>
      <c r="H1904" t="s">
        <v>50</v>
      </c>
      <c r="I1904" t="s">
        <v>51</v>
      </c>
      <c r="J1904" s="3">
        <v>300000</v>
      </c>
      <c r="K1904">
        <v>6</v>
      </c>
      <c r="L1904" t="s">
        <v>47</v>
      </c>
      <c r="M1904" s="3">
        <v>240000</v>
      </c>
      <c r="N1904" s="3">
        <f>Table1[[#This Row],[Unit Price]]*Table1[[#This Row],[Quantity]]</f>
        <v>1800000</v>
      </c>
      <c r="O1904" s="3">
        <f>Table1[[#This Row],[Cost Price]]*Table1[[#This Row],[Quantity]]</f>
        <v>1440000</v>
      </c>
      <c r="P1904" s="3">
        <f>Table1[[#This Row],[Revenue]]-Table1[[#This Row],[COGS]]</f>
        <v>360000</v>
      </c>
      <c r="Q1904" s="1">
        <v>1903</v>
      </c>
    </row>
    <row r="1905" spans="1:17">
      <c r="A1905" t="s">
        <v>139</v>
      </c>
      <c r="B1905" t="str">
        <f>TEXT(Table1[[#This Row],[Date]],"MMMM")</f>
        <v>January</v>
      </c>
      <c r="C1905" t="str">
        <f>TEXT(Table1[[#This Row],[Date]],"DDDD")</f>
        <v>Monday</v>
      </c>
      <c r="D1905" t="s">
        <v>49</v>
      </c>
      <c r="E1905" t="s">
        <v>45</v>
      </c>
      <c r="F1905" t="s">
        <v>41</v>
      </c>
      <c r="G1905" t="s">
        <v>37</v>
      </c>
      <c r="H1905" t="s">
        <v>38</v>
      </c>
      <c r="I1905" t="s">
        <v>39</v>
      </c>
      <c r="J1905" s="3">
        <v>30000</v>
      </c>
      <c r="K1905">
        <v>4</v>
      </c>
      <c r="L1905" t="s">
        <v>42</v>
      </c>
      <c r="M1905" s="3">
        <v>24000</v>
      </c>
      <c r="N1905" s="3">
        <f>Table1[[#This Row],[Unit Price]]*Table1[[#This Row],[Quantity]]</f>
        <v>120000</v>
      </c>
      <c r="O1905" s="3">
        <f>Table1[[#This Row],[Cost Price]]*Table1[[#This Row],[Quantity]]</f>
        <v>96000</v>
      </c>
      <c r="P1905" s="3">
        <f>Table1[[#This Row],[Revenue]]-Table1[[#This Row],[COGS]]</f>
        <v>24000</v>
      </c>
      <c r="Q1905" s="1">
        <v>1904</v>
      </c>
    </row>
    <row r="1906" spans="1:17">
      <c r="A1906" t="s">
        <v>136</v>
      </c>
      <c r="B1906" t="str">
        <f>TEXT(Table1[[#This Row],[Date]],"MMMM")</f>
        <v>February</v>
      </c>
      <c r="C1906" t="str">
        <f>TEXT(Table1[[#This Row],[Date]],"DDDD")</f>
        <v>Saturday</v>
      </c>
      <c r="D1906" t="s">
        <v>44</v>
      </c>
      <c r="E1906" t="s">
        <v>53</v>
      </c>
      <c r="F1906" t="s">
        <v>41</v>
      </c>
      <c r="G1906" t="s">
        <v>37</v>
      </c>
      <c r="H1906" t="s">
        <v>56</v>
      </c>
      <c r="I1906" t="s">
        <v>32</v>
      </c>
      <c r="J1906" s="3">
        <v>320000</v>
      </c>
      <c r="K1906">
        <v>7</v>
      </c>
      <c r="L1906" t="s">
        <v>47</v>
      </c>
      <c r="M1906" s="3">
        <v>256000</v>
      </c>
      <c r="N1906" s="3">
        <f>Table1[[#This Row],[Unit Price]]*Table1[[#This Row],[Quantity]]</f>
        <v>2240000</v>
      </c>
      <c r="O1906" s="3">
        <f>Table1[[#This Row],[Cost Price]]*Table1[[#This Row],[Quantity]]</f>
        <v>1792000</v>
      </c>
      <c r="P1906" s="3">
        <f>Table1[[#This Row],[Revenue]]-Table1[[#This Row],[COGS]]</f>
        <v>448000</v>
      </c>
      <c r="Q1906" s="1">
        <v>1905</v>
      </c>
    </row>
    <row r="1907" spans="1:17">
      <c r="A1907" t="s">
        <v>158</v>
      </c>
      <c r="B1907" t="str">
        <f>TEXT(Table1[[#This Row],[Date]],"MMMM")</f>
        <v>January</v>
      </c>
      <c r="C1907" t="str">
        <f>TEXT(Table1[[#This Row],[Date]],"DDDD")</f>
        <v>Saturday</v>
      </c>
      <c r="D1907" t="s">
        <v>49</v>
      </c>
      <c r="E1907" t="s">
        <v>45</v>
      </c>
      <c r="F1907" t="s">
        <v>41</v>
      </c>
      <c r="G1907" t="s">
        <v>37</v>
      </c>
      <c r="H1907" t="s">
        <v>56</v>
      </c>
      <c r="I1907" t="s">
        <v>32</v>
      </c>
      <c r="J1907" s="3">
        <v>320000</v>
      </c>
      <c r="K1907">
        <v>1</v>
      </c>
      <c r="L1907" t="s">
        <v>65</v>
      </c>
      <c r="M1907" s="3">
        <v>256000</v>
      </c>
      <c r="N1907" s="3">
        <f>Table1[[#This Row],[Unit Price]]*Table1[[#This Row],[Quantity]]</f>
        <v>320000</v>
      </c>
      <c r="O1907" s="3">
        <f>Table1[[#This Row],[Cost Price]]*Table1[[#This Row],[Quantity]]</f>
        <v>256000</v>
      </c>
      <c r="P1907" s="3">
        <f>Table1[[#This Row],[Revenue]]-Table1[[#This Row],[COGS]]</f>
        <v>64000</v>
      </c>
      <c r="Q1907" s="1">
        <v>1906</v>
      </c>
    </row>
    <row r="1908" spans="1:17">
      <c r="A1908" t="s">
        <v>114</v>
      </c>
      <c r="B1908" t="str">
        <f>TEXT(Table1[[#This Row],[Date]],"MMMM")</f>
        <v>April</v>
      </c>
      <c r="C1908" t="str">
        <f>TEXT(Table1[[#This Row],[Date]],"DDDD")</f>
        <v>Sunday</v>
      </c>
      <c r="D1908" t="s">
        <v>49</v>
      </c>
      <c r="E1908" t="s">
        <v>45</v>
      </c>
      <c r="F1908" t="s">
        <v>41</v>
      </c>
      <c r="G1908" t="s">
        <v>30</v>
      </c>
      <c r="H1908" t="s">
        <v>50</v>
      </c>
      <c r="I1908" t="s">
        <v>51</v>
      </c>
      <c r="J1908" s="3">
        <v>300000</v>
      </c>
      <c r="K1908">
        <v>3</v>
      </c>
      <c r="L1908" t="s">
        <v>58</v>
      </c>
      <c r="M1908" s="3">
        <v>240000</v>
      </c>
      <c r="N1908" s="3">
        <f>Table1[[#This Row],[Unit Price]]*Table1[[#This Row],[Quantity]]</f>
        <v>900000</v>
      </c>
      <c r="O1908" s="3">
        <f>Table1[[#This Row],[Cost Price]]*Table1[[#This Row],[Quantity]]</f>
        <v>720000</v>
      </c>
      <c r="P1908" s="3">
        <f>Table1[[#This Row],[Revenue]]-Table1[[#This Row],[COGS]]</f>
        <v>180000</v>
      </c>
      <c r="Q1908" s="1">
        <v>1907</v>
      </c>
    </row>
    <row r="1909" spans="1:17">
      <c r="A1909" t="s">
        <v>89</v>
      </c>
      <c r="B1909" t="str">
        <f>TEXT(Table1[[#This Row],[Date]],"MMMM")</f>
        <v>February</v>
      </c>
      <c r="C1909" t="str">
        <f>TEXT(Table1[[#This Row],[Date]],"DDDD")</f>
        <v>Tuesday</v>
      </c>
      <c r="D1909" t="s">
        <v>49</v>
      </c>
      <c r="E1909" t="s">
        <v>36</v>
      </c>
      <c r="F1909" t="s">
        <v>41</v>
      </c>
      <c r="G1909" t="s">
        <v>30</v>
      </c>
      <c r="H1909" t="s">
        <v>38</v>
      </c>
      <c r="I1909" t="s">
        <v>39</v>
      </c>
      <c r="J1909" s="3">
        <v>30000</v>
      </c>
      <c r="K1909">
        <v>6</v>
      </c>
      <c r="L1909" t="s">
        <v>47</v>
      </c>
      <c r="M1909" s="3">
        <v>24000</v>
      </c>
      <c r="N1909" s="3">
        <f>Table1[[#This Row],[Unit Price]]*Table1[[#This Row],[Quantity]]</f>
        <v>180000</v>
      </c>
      <c r="O1909" s="3">
        <f>Table1[[#This Row],[Cost Price]]*Table1[[#This Row],[Quantity]]</f>
        <v>144000</v>
      </c>
      <c r="P1909" s="3">
        <f>Table1[[#This Row],[Revenue]]-Table1[[#This Row],[COGS]]</f>
        <v>36000</v>
      </c>
      <c r="Q1909" s="1">
        <v>1908</v>
      </c>
    </row>
    <row r="1910" spans="1:17">
      <c r="A1910" t="s">
        <v>103</v>
      </c>
      <c r="B1910" t="str">
        <f>TEXT(Table1[[#This Row],[Date]],"MMMM")</f>
        <v>March</v>
      </c>
      <c r="C1910" t="str">
        <f>TEXT(Table1[[#This Row],[Date]],"DDDD")</f>
        <v>Wednesday</v>
      </c>
      <c r="D1910" t="s">
        <v>35</v>
      </c>
      <c r="E1910" t="s">
        <v>45</v>
      </c>
      <c r="F1910" t="s">
        <v>41</v>
      </c>
      <c r="G1910" t="s">
        <v>37</v>
      </c>
      <c r="H1910" t="s">
        <v>73</v>
      </c>
      <c r="I1910" t="s">
        <v>39</v>
      </c>
      <c r="J1910" s="3">
        <v>220000</v>
      </c>
      <c r="K1910">
        <v>1</v>
      </c>
      <c r="L1910" t="s">
        <v>47</v>
      </c>
      <c r="M1910" s="3">
        <v>176000</v>
      </c>
      <c r="N1910" s="3">
        <f>Table1[[#This Row],[Unit Price]]*Table1[[#This Row],[Quantity]]</f>
        <v>220000</v>
      </c>
      <c r="O1910" s="3">
        <f>Table1[[#This Row],[Cost Price]]*Table1[[#This Row],[Quantity]]</f>
        <v>176000</v>
      </c>
      <c r="P1910" s="3">
        <f>Table1[[#This Row],[Revenue]]-Table1[[#This Row],[COGS]]</f>
        <v>44000</v>
      </c>
      <c r="Q1910" s="1">
        <v>1909</v>
      </c>
    </row>
    <row r="1911" spans="1:17">
      <c r="A1911" t="s">
        <v>175</v>
      </c>
      <c r="B1911" t="str">
        <f>TEXT(Table1[[#This Row],[Date]],"MMMM")</f>
        <v>January</v>
      </c>
      <c r="C1911" t="str">
        <f>TEXT(Table1[[#This Row],[Date]],"DDDD")</f>
        <v>Wednesday</v>
      </c>
      <c r="D1911" t="s">
        <v>49</v>
      </c>
      <c r="E1911" t="s">
        <v>53</v>
      </c>
      <c r="F1911" t="s">
        <v>29</v>
      </c>
      <c r="G1911" t="s">
        <v>30</v>
      </c>
      <c r="H1911" t="s">
        <v>38</v>
      </c>
      <c r="I1911" t="s">
        <v>39</v>
      </c>
      <c r="J1911" s="3">
        <v>30000</v>
      </c>
      <c r="K1911">
        <v>9</v>
      </c>
      <c r="L1911" t="s">
        <v>58</v>
      </c>
      <c r="M1911" s="3">
        <v>24000</v>
      </c>
      <c r="N1911" s="3">
        <f>Table1[[#This Row],[Unit Price]]*Table1[[#This Row],[Quantity]]</f>
        <v>270000</v>
      </c>
      <c r="O1911" s="3">
        <f>Table1[[#This Row],[Cost Price]]*Table1[[#This Row],[Quantity]]</f>
        <v>216000</v>
      </c>
      <c r="P1911" s="3">
        <f>Table1[[#This Row],[Revenue]]-Table1[[#This Row],[COGS]]</f>
        <v>54000</v>
      </c>
      <c r="Q1911" s="1">
        <v>1910</v>
      </c>
    </row>
    <row r="1912" spans="1:17">
      <c r="A1912" t="s">
        <v>131</v>
      </c>
      <c r="B1912" t="str">
        <f>TEXT(Table1[[#This Row],[Date]],"MMMM")</f>
        <v>March</v>
      </c>
      <c r="C1912" t="str">
        <f>TEXT(Table1[[#This Row],[Date]],"DDDD")</f>
        <v>Friday</v>
      </c>
      <c r="D1912" t="s">
        <v>27</v>
      </c>
      <c r="E1912" t="s">
        <v>28</v>
      </c>
      <c r="F1912" t="s">
        <v>41</v>
      </c>
      <c r="G1912" t="s">
        <v>30</v>
      </c>
      <c r="H1912" t="s">
        <v>73</v>
      </c>
      <c r="I1912" t="s">
        <v>39</v>
      </c>
      <c r="J1912" s="3">
        <v>220000</v>
      </c>
      <c r="K1912">
        <v>10</v>
      </c>
      <c r="L1912" t="s">
        <v>58</v>
      </c>
      <c r="M1912" s="3">
        <v>176000</v>
      </c>
      <c r="N1912" s="3">
        <f>Table1[[#This Row],[Unit Price]]*Table1[[#This Row],[Quantity]]</f>
        <v>2200000</v>
      </c>
      <c r="O1912" s="3">
        <f>Table1[[#This Row],[Cost Price]]*Table1[[#This Row],[Quantity]]</f>
        <v>1760000</v>
      </c>
      <c r="P1912" s="3">
        <f>Table1[[#This Row],[Revenue]]-Table1[[#This Row],[COGS]]</f>
        <v>440000</v>
      </c>
      <c r="Q1912" s="1">
        <v>1911</v>
      </c>
    </row>
    <row r="1913" spans="1:17">
      <c r="A1913" t="s">
        <v>142</v>
      </c>
      <c r="B1913" t="str">
        <f>TEXT(Table1[[#This Row],[Date]],"MMMM")</f>
        <v>April</v>
      </c>
      <c r="C1913" t="str">
        <f>TEXT(Table1[[#This Row],[Date]],"DDDD")</f>
        <v>Monday</v>
      </c>
      <c r="D1913" t="s">
        <v>35</v>
      </c>
      <c r="E1913" t="s">
        <v>45</v>
      </c>
      <c r="F1913" t="s">
        <v>29</v>
      </c>
      <c r="G1913" t="s">
        <v>30</v>
      </c>
      <c r="H1913" t="s">
        <v>73</v>
      </c>
      <c r="I1913" t="s">
        <v>39</v>
      </c>
      <c r="J1913" s="3">
        <v>220000</v>
      </c>
      <c r="K1913">
        <v>9</v>
      </c>
      <c r="L1913" t="s">
        <v>33</v>
      </c>
      <c r="M1913" s="3">
        <v>176000</v>
      </c>
      <c r="N1913" s="3">
        <f>Table1[[#This Row],[Unit Price]]*Table1[[#This Row],[Quantity]]</f>
        <v>1980000</v>
      </c>
      <c r="O1913" s="3">
        <f>Table1[[#This Row],[Cost Price]]*Table1[[#This Row],[Quantity]]</f>
        <v>1584000</v>
      </c>
      <c r="P1913" s="3">
        <f>Table1[[#This Row],[Revenue]]-Table1[[#This Row],[COGS]]</f>
        <v>396000</v>
      </c>
      <c r="Q1913" s="1">
        <v>1912</v>
      </c>
    </row>
    <row r="1914" spans="1:17">
      <c r="A1914" t="s">
        <v>141</v>
      </c>
      <c r="B1914" t="str">
        <f>TEXT(Table1[[#This Row],[Date]],"MMMM")</f>
        <v>March</v>
      </c>
      <c r="C1914" t="str">
        <f>TEXT(Table1[[#This Row],[Date]],"DDDD")</f>
        <v>Sunday</v>
      </c>
      <c r="D1914" t="s">
        <v>27</v>
      </c>
      <c r="E1914" t="s">
        <v>53</v>
      </c>
      <c r="F1914" t="s">
        <v>41</v>
      </c>
      <c r="G1914" t="s">
        <v>30</v>
      </c>
      <c r="H1914" t="s">
        <v>46</v>
      </c>
      <c r="I1914" t="s">
        <v>39</v>
      </c>
      <c r="J1914" s="3">
        <v>60000</v>
      </c>
      <c r="K1914">
        <v>4</v>
      </c>
      <c r="L1914" t="s">
        <v>42</v>
      </c>
      <c r="M1914" s="3">
        <v>48000</v>
      </c>
      <c r="N1914" s="3">
        <f>Table1[[#This Row],[Unit Price]]*Table1[[#This Row],[Quantity]]</f>
        <v>240000</v>
      </c>
      <c r="O1914" s="3">
        <f>Table1[[#This Row],[Cost Price]]*Table1[[#This Row],[Quantity]]</f>
        <v>192000</v>
      </c>
      <c r="P1914" s="3">
        <f>Table1[[#This Row],[Revenue]]-Table1[[#This Row],[COGS]]</f>
        <v>48000</v>
      </c>
      <c r="Q1914" s="1">
        <v>1913</v>
      </c>
    </row>
    <row r="1915" spans="1:17">
      <c r="A1915" t="s">
        <v>114</v>
      </c>
      <c r="B1915" t="str">
        <f>TEXT(Table1[[#This Row],[Date]],"MMMM")</f>
        <v>April</v>
      </c>
      <c r="C1915" t="str">
        <f>TEXT(Table1[[#This Row],[Date]],"DDDD")</f>
        <v>Sunday</v>
      </c>
      <c r="D1915" t="s">
        <v>44</v>
      </c>
      <c r="E1915" t="s">
        <v>45</v>
      </c>
      <c r="F1915" t="s">
        <v>41</v>
      </c>
      <c r="G1915" t="s">
        <v>37</v>
      </c>
      <c r="H1915" t="s">
        <v>73</v>
      </c>
      <c r="I1915" t="s">
        <v>39</v>
      </c>
      <c r="J1915" s="3">
        <v>220000</v>
      </c>
      <c r="K1915">
        <v>7</v>
      </c>
      <c r="L1915" t="s">
        <v>42</v>
      </c>
      <c r="M1915" s="3">
        <v>176000</v>
      </c>
      <c r="N1915" s="3">
        <f>Table1[[#This Row],[Unit Price]]*Table1[[#This Row],[Quantity]]</f>
        <v>1540000</v>
      </c>
      <c r="O1915" s="3">
        <f>Table1[[#This Row],[Cost Price]]*Table1[[#This Row],[Quantity]]</f>
        <v>1232000</v>
      </c>
      <c r="P1915" s="3">
        <f>Table1[[#This Row],[Revenue]]-Table1[[#This Row],[COGS]]</f>
        <v>308000</v>
      </c>
      <c r="Q1915" s="1">
        <v>1914</v>
      </c>
    </row>
    <row r="1916" spans="1:17">
      <c r="A1916" t="s">
        <v>103</v>
      </c>
      <c r="B1916" t="str">
        <f>TEXT(Table1[[#This Row],[Date]],"MMMM")</f>
        <v>March</v>
      </c>
      <c r="C1916" t="str">
        <f>TEXT(Table1[[#This Row],[Date]],"DDDD")</f>
        <v>Wednesday</v>
      </c>
      <c r="D1916" t="s">
        <v>27</v>
      </c>
      <c r="E1916" t="s">
        <v>45</v>
      </c>
      <c r="F1916" t="s">
        <v>29</v>
      </c>
      <c r="G1916" t="s">
        <v>37</v>
      </c>
      <c r="H1916" t="s">
        <v>56</v>
      </c>
      <c r="I1916" t="s">
        <v>32</v>
      </c>
      <c r="J1916" s="3">
        <v>320000</v>
      </c>
      <c r="K1916">
        <v>9</v>
      </c>
      <c r="L1916" t="s">
        <v>47</v>
      </c>
      <c r="M1916" s="3">
        <v>256000</v>
      </c>
      <c r="N1916" s="3">
        <f>Table1[[#This Row],[Unit Price]]*Table1[[#This Row],[Quantity]]</f>
        <v>2880000</v>
      </c>
      <c r="O1916" s="3">
        <f>Table1[[#This Row],[Cost Price]]*Table1[[#This Row],[Quantity]]</f>
        <v>2304000</v>
      </c>
      <c r="P1916" s="3">
        <f>Table1[[#This Row],[Revenue]]-Table1[[#This Row],[COGS]]</f>
        <v>576000</v>
      </c>
      <c r="Q1916" s="1">
        <v>1915</v>
      </c>
    </row>
    <row r="1917" spans="1:17">
      <c r="A1917" t="s">
        <v>155</v>
      </c>
      <c r="B1917" t="str">
        <f>TEXT(Table1[[#This Row],[Date]],"MMMM")</f>
        <v>April</v>
      </c>
      <c r="C1917" t="str">
        <f>TEXT(Table1[[#This Row],[Date]],"DDDD")</f>
        <v>Thursday</v>
      </c>
      <c r="D1917" t="s">
        <v>27</v>
      </c>
      <c r="E1917" t="s">
        <v>36</v>
      </c>
      <c r="F1917" t="s">
        <v>41</v>
      </c>
      <c r="G1917" t="s">
        <v>37</v>
      </c>
      <c r="H1917" t="s">
        <v>31</v>
      </c>
      <c r="I1917" t="s">
        <v>32</v>
      </c>
      <c r="J1917" s="3">
        <v>85000</v>
      </c>
      <c r="K1917">
        <v>5</v>
      </c>
      <c r="L1917" t="s">
        <v>69</v>
      </c>
      <c r="M1917" s="3">
        <v>68000</v>
      </c>
      <c r="N1917" s="3">
        <f>Table1[[#This Row],[Unit Price]]*Table1[[#This Row],[Quantity]]</f>
        <v>425000</v>
      </c>
      <c r="O1917" s="3">
        <f>Table1[[#This Row],[Cost Price]]*Table1[[#This Row],[Quantity]]</f>
        <v>340000</v>
      </c>
      <c r="P1917" s="3">
        <f>Table1[[#This Row],[Revenue]]-Table1[[#This Row],[COGS]]</f>
        <v>85000</v>
      </c>
      <c r="Q1917" s="1">
        <v>1916</v>
      </c>
    </row>
    <row r="1918" spans="1:17">
      <c r="A1918" t="s">
        <v>170</v>
      </c>
      <c r="B1918" t="str">
        <f>TEXT(Table1[[#This Row],[Date]],"MMMM")</f>
        <v>January</v>
      </c>
      <c r="C1918" t="str">
        <f>TEXT(Table1[[#This Row],[Date]],"DDDD")</f>
        <v>Sunday</v>
      </c>
      <c r="D1918" t="s">
        <v>49</v>
      </c>
      <c r="E1918" t="s">
        <v>53</v>
      </c>
      <c r="F1918" t="s">
        <v>29</v>
      </c>
      <c r="G1918" t="s">
        <v>30</v>
      </c>
      <c r="H1918" t="s">
        <v>71</v>
      </c>
      <c r="I1918" t="s">
        <v>51</v>
      </c>
      <c r="J1918" s="3">
        <v>250000</v>
      </c>
      <c r="K1918">
        <v>10</v>
      </c>
      <c r="L1918" t="s">
        <v>65</v>
      </c>
      <c r="M1918" s="3">
        <v>200000</v>
      </c>
      <c r="N1918" s="3">
        <f>Table1[[#This Row],[Unit Price]]*Table1[[#This Row],[Quantity]]</f>
        <v>2500000</v>
      </c>
      <c r="O1918" s="3">
        <f>Table1[[#This Row],[Cost Price]]*Table1[[#This Row],[Quantity]]</f>
        <v>2000000</v>
      </c>
      <c r="P1918" s="3">
        <f>Table1[[#This Row],[Revenue]]-Table1[[#This Row],[COGS]]</f>
        <v>500000</v>
      </c>
      <c r="Q1918" s="1">
        <v>1917</v>
      </c>
    </row>
    <row r="1919" spans="1:17">
      <c r="A1919" t="s">
        <v>113</v>
      </c>
      <c r="B1919" t="str">
        <f>TEXT(Table1[[#This Row],[Date]],"MMMM")</f>
        <v>April</v>
      </c>
      <c r="C1919" t="str">
        <f>TEXT(Table1[[#This Row],[Date]],"DDDD")</f>
        <v>Monday</v>
      </c>
      <c r="D1919" t="s">
        <v>35</v>
      </c>
      <c r="E1919" t="s">
        <v>53</v>
      </c>
      <c r="F1919" t="s">
        <v>29</v>
      </c>
      <c r="G1919" t="s">
        <v>37</v>
      </c>
      <c r="H1919" t="s">
        <v>56</v>
      </c>
      <c r="I1919" t="s">
        <v>32</v>
      </c>
      <c r="J1919" s="3">
        <v>320000</v>
      </c>
      <c r="K1919">
        <v>8</v>
      </c>
      <c r="L1919" t="s">
        <v>47</v>
      </c>
      <c r="M1919" s="3">
        <v>256000</v>
      </c>
      <c r="N1919" s="3">
        <f>Table1[[#This Row],[Unit Price]]*Table1[[#This Row],[Quantity]]</f>
        <v>2560000</v>
      </c>
      <c r="O1919" s="3">
        <f>Table1[[#This Row],[Cost Price]]*Table1[[#This Row],[Quantity]]</f>
        <v>2048000</v>
      </c>
      <c r="P1919" s="3">
        <f>Table1[[#This Row],[Revenue]]-Table1[[#This Row],[COGS]]</f>
        <v>512000</v>
      </c>
      <c r="Q1919" s="1">
        <v>1918</v>
      </c>
    </row>
    <row r="1920" spans="1:17">
      <c r="A1920" t="s">
        <v>160</v>
      </c>
      <c r="B1920" t="str">
        <f>TEXT(Table1[[#This Row],[Date]],"MMMM")</f>
        <v>January</v>
      </c>
      <c r="C1920" t="str">
        <f>TEXT(Table1[[#This Row],[Date]],"DDDD")</f>
        <v>Saturday</v>
      </c>
      <c r="D1920" t="s">
        <v>49</v>
      </c>
      <c r="E1920" t="s">
        <v>28</v>
      </c>
      <c r="F1920" t="s">
        <v>41</v>
      </c>
      <c r="G1920" t="s">
        <v>37</v>
      </c>
      <c r="H1920" t="s">
        <v>62</v>
      </c>
      <c r="I1920" t="s">
        <v>51</v>
      </c>
      <c r="J1920" s="3">
        <v>150000</v>
      </c>
      <c r="K1920">
        <v>7</v>
      </c>
      <c r="L1920" t="s">
        <v>58</v>
      </c>
      <c r="M1920" s="3">
        <v>120000</v>
      </c>
      <c r="N1920" s="3">
        <f>Table1[[#This Row],[Unit Price]]*Table1[[#This Row],[Quantity]]</f>
        <v>1050000</v>
      </c>
      <c r="O1920" s="3">
        <f>Table1[[#This Row],[Cost Price]]*Table1[[#This Row],[Quantity]]</f>
        <v>840000</v>
      </c>
      <c r="P1920" s="3">
        <f>Table1[[#This Row],[Revenue]]-Table1[[#This Row],[COGS]]</f>
        <v>210000</v>
      </c>
      <c r="Q1920" s="1">
        <v>1919</v>
      </c>
    </row>
    <row r="1921" spans="1:17">
      <c r="A1921" t="s">
        <v>170</v>
      </c>
      <c r="B1921" t="str">
        <f>TEXT(Table1[[#This Row],[Date]],"MMMM")</f>
        <v>January</v>
      </c>
      <c r="C1921" t="str">
        <f>TEXT(Table1[[#This Row],[Date]],"DDDD")</f>
        <v>Sunday</v>
      </c>
      <c r="D1921" t="s">
        <v>49</v>
      </c>
      <c r="E1921" t="s">
        <v>45</v>
      </c>
      <c r="F1921" t="s">
        <v>29</v>
      </c>
      <c r="G1921" t="s">
        <v>37</v>
      </c>
      <c r="H1921" t="s">
        <v>54</v>
      </c>
      <c r="I1921" t="s">
        <v>39</v>
      </c>
      <c r="J1921" s="3">
        <v>180000</v>
      </c>
      <c r="K1921">
        <v>8</v>
      </c>
      <c r="L1921" t="s">
        <v>58</v>
      </c>
      <c r="M1921" s="3">
        <v>144000</v>
      </c>
      <c r="N1921" s="3">
        <f>Table1[[#This Row],[Unit Price]]*Table1[[#This Row],[Quantity]]</f>
        <v>1440000</v>
      </c>
      <c r="O1921" s="3">
        <f>Table1[[#This Row],[Cost Price]]*Table1[[#This Row],[Quantity]]</f>
        <v>1152000</v>
      </c>
      <c r="P1921" s="3">
        <f>Table1[[#This Row],[Revenue]]-Table1[[#This Row],[COGS]]</f>
        <v>288000</v>
      </c>
      <c r="Q1921" s="1">
        <v>1920</v>
      </c>
    </row>
    <row r="1922" spans="1:17">
      <c r="A1922" t="s">
        <v>99</v>
      </c>
      <c r="B1922" t="str">
        <f>TEXT(Table1[[#This Row],[Date]],"MMMM")</f>
        <v>April</v>
      </c>
      <c r="C1922" t="str">
        <f>TEXT(Table1[[#This Row],[Date]],"DDDD")</f>
        <v>Sunday</v>
      </c>
      <c r="D1922" t="s">
        <v>27</v>
      </c>
      <c r="E1922" t="s">
        <v>53</v>
      </c>
      <c r="F1922" t="s">
        <v>29</v>
      </c>
      <c r="G1922" t="s">
        <v>30</v>
      </c>
      <c r="H1922" t="s">
        <v>56</v>
      </c>
      <c r="I1922" t="s">
        <v>32</v>
      </c>
      <c r="J1922" s="3">
        <v>320000</v>
      </c>
      <c r="K1922">
        <v>10</v>
      </c>
      <c r="L1922" t="s">
        <v>47</v>
      </c>
      <c r="M1922" s="3">
        <v>256000</v>
      </c>
      <c r="N1922" s="3">
        <f>Table1[[#This Row],[Unit Price]]*Table1[[#This Row],[Quantity]]</f>
        <v>3200000</v>
      </c>
      <c r="O1922" s="3">
        <f>Table1[[#This Row],[Cost Price]]*Table1[[#This Row],[Quantity]]</f>
        <v>2560000</v>
      </c>
      <c r="P1922" s="3">
        <f>Table1[[#This Row],[Revenue]]-Table1[[#This Row],[COGS]]</f>
        <v>640000</v>
      </c>
      <c r="Q1922" s="1">
        <v>1921</v>
      </c>
    </row>
    <row r="1923" spans="1:17">
      <c r="A1923" t="s">
        <v>107</v>
      </c>
      <c r="B1923" t="str">
        <f>TEXT(Table1[[#This Row],[Date]],"MMMM")</f>
        <v>February</v>
      </c>
      <c r="C1923" t="str">
        <f>TEXT(Table1[[#This Row],[Date]],"DDDD")</f>
        <v>Wednesday</v>
      </c>
      <c r="D1923" t="s">
        <v>49</v>
      </c>
      <c r="E1923" t="s">
        <v>28</v>
      </c>
      <c r="F1923" t="s">
        <v>41</v>
      </c>
      <c r="G1923" t="s">
        <v>37</v>
      </c>
      <c r="H1923" t="s">
        <v>62</v>
      </c>
      <c r="I1923" t="s">
        <v>51</v>
      </c>
      <c r="J1923" s="3">
        <v>150000</v>
      </c>
      <c r="K1923">
        <v>7</v>
      </c>
      <c r="L1923" t="s">
        <v>69</v>
      </c>
      <c r="M1923" s="3">
        <v>120000</v>
      </c>
      <c r="N1923" s="3">
        <f>Table1[[#This Row],[Unit Price]]*Table1[[#This Row],[Quantity]]</f>
        <v>1050000</v>
      </c>
      <c r="O1923" s="3">
        <f>Table1[[#This Row],[Cost Price]]*Table1[[#This Row],[Quantity]]</f>
        <v>840000</v>
      </c>
      <c r="P1923" s="3">
        <f>Table1[[#This Row],[Revenue]]-Table1[[#This Row],[COGS]]</f>
        <v>210000</v>
      </c>
      <c r="Q1923" s="1">
        <v>1922</v>
      </c>
    </row>
    <row r="1924" spans="1:17">
      <c r="A1924" t="s">
        <v>129</v>
      </c>
      <c r="B1924" t="str">
        <f>TEXT(Table1[[#This Row],[Date]],"MMMM")</f>
        <v>March</v>
      </c>
      <c r="C1924" t="str">
        <f>TEXT(Table1[[#This Row],[Date]],"DDDD")</f>
        <v>Tuesday</v>
      </c>
      <c r="D1924" t="s">
        <v>44</v>
      </c>
      <c r="E1924" t="s">
        <v>36</v>
      </c>
      <c r="F1924" t="s">
        <v>41</v>
      </c>
      <c r="G1924" t="s">
        <v>37</v>
      </c>
      <c r="H1924" t="s">
        <v>73</v>
      </c>
      <c r="I1924" t="s">
        <v>39</v>
      </c>
      <c r="J1924" s="3">
        <v>220000</v>
      </c>
      <c r="K1924">
        <v>1</v>
      </c>
      <c r="L1924" t="s">
        <v>42</v>
      </c>
      <c r="M1924" s="3">
        <v>176000</v>
      </c>
      <c r="N1924" s="3">
        <f>Table1[[#This Row],[Unit Price]]*Table1[[#This Row],[Quantity]]</f>
        <v>220000</v>
      </c>
      <c r="O1924" s="3">
        <f>Table1[[#This Row],[Cost Price]]*Table1[[#This Row],[Quantity]]</f>
        <v>176000</v>
      </c>
      <c r="P1924" s="3">
        <f>Table1[[#This Row],[Revenue]]-Table1[[#This Row],[COGS]]</f>
        <v>44000</v>
      </c>
      <c r="Q1924" s="1">
        <v>1923</v>
      </c>
    </row>
    <row r="1925" spans="1:17">
      <c r="A1925" t="s">
        <v>166</v>
      </c>
      <c r="B1925" t="str">
        <f>TEXT(Table1[[#This Row],[Date]],"MMMM")</f>
        <v>January</v>
      </c>
      <c r="C1925" t="str">
        <f>TEXT(Table1[[#This Row],[Date]],"DDDD")</f>
        <v>Thursday</v>
      </c>
      <c r="D1925" t="s">
        <v>49</v>
      </c>
      <c r="E1925" t="s">
        <v>53</v>
      </c>
      <c r="F1925" t="s">
        <v>41</v>
      </c>
      <c r="G1925" t="s">
        <v>30</v>
      </c>
      <c r="H1925" t="s">
        <v>73</v>
      </c>
      <c r="I1925" t="s">
        <v>39</v>
      </c>
      <c r="J1925" s="3">
        <v>220000</v>
      </c>
      <c r="K1925">
        <v>7</v>
      </c>
      <c r="L1925" t="s">
        <v>42</v>
      </c>
      <c r="M1925" s="3">
        <v>176000</v>
      </c>
      <c r="N1925" s="3">
        <f>Table1[[#This Row],[Unit Price]]*Table1[[#This Row],[Quantity]]</f>
        <v>1540000</v>
      </c>
      <c r="O1925" s="3">
        <f>Table1[[#This Row],[Cost Price]]*Table1[[#This Row],[Quantity]]</f>
        <v>1232000</v>
      </c>
      <c r="P1925" s="3">
        <f>Table1[[#This Row],[Revenue]]-Table1[[#This Row],[COGS]]</f>
        <v>308000</v>
      </c>
      <c r="Q1925" s="1">
        <v>1924</v>
      </c>
    </row>
    <row r="1926" spans="1:17">
      <c r="A1926" t="s">
        <v>174</v>
      </c>
      <c r="B1926" t="str">
        <f>TEXT(Table1[[#This Row],[Date]],"MMMM")</f>
        <v>February</v>
      </c>
      <c r="C1926" t="str">
        <f>TEXT(Table1[[#This Row],[Date]],"DDDD")</f>
        <v>Friday</v>
      </c>
      <c r="D1926" t="s">
        <v>44</v>
      </c>
      <c r="E1926" t="s">
        <v>53</v>
      </c>
      <c r="F1926" t="s">
        <v>41</v>
      </c>
      <c r="G1926" t="s">
        <v>37</v>
      </c>
      <c r="H1926" t="s">
        <v>62</v>
      </c>
      <c r="I1926" t="s">
        <v>51</v>
      </c>
      <c r="J1926" s="3">
        <v>150000</v>
      </c>
      <c r="K1926">
        <v>6</v>
      </c>
      <c r="L1926" t="s">
        <v>42</v>
      </c>
      <c r="M1926" s="3">
        <v>120000</v>
      </c>
      <c r="N1926" s="3">
        <f>Table1[[#This Row],[Unit Price]]*Table1[[#This Row],[Quantity]]</f>
        <v>900000</v>
      </c>
      <c r="O1926" s="3">
        <f>Table1[[#This Row],[Cost Price]]*Table1[[#This Row],[Quantity]]</f>
        <v>720000</v>
      </c>
      <c r="P1926" s="3">
        <f>Table1[[#This Row],[Revenue]]-Table1[[#This Row],[COGS]]</f>
        <v>180000</v>
      </c>
      <c r="Q1926" s="1">
        <v>1925</v>
      </c>
    </row>
    <row r="1927" spans="1:17">
      <c r="A1927" t="s">
        <v>57</v>
      </c>
      <c r="B1927" t="str">
        <f>TEXT(Table1[[#This Row],[Date]],"MMMM")</f>
        <v>February</v>
      </c>
      <c r="C1927" t="str">
        <f>TEXT(Table1[[#This Row],[Date]],"DDDD")</f>
        <v>Thursday</v>
      </c>
      <c r="D1927" t="s">
        <v>35</v>
      </c>
      <c r="E1927" t="s">
        <v>28</v>
      </c>
      <c r="F1927" t="s">
        <v>29</v>
      </c>
      <c r="G1927" t="s">
        <v>30</v>
      </c>
      <c r="H1927" t="s">
        <v>50</v>
      </c>
      <c r="I1927" t="s">
        <v>51</v>
      </c>
      <c r="J1927" s="3">
        <v>300000</v>
      </c>
      <c r="K1927">
        <v>8</v>
      </c>
      <c r="L1927" t="s">
        <v>47</v>
      </c>
      <c r="M1927" s="3">
        <v>240000</v>
      </c>
      <c r="N1927" s="3">
        <f>Table1[[#This Row],[Unit Price]]*Table1[[#This Row],[Quantity]]</f>
        <v>2400000</v>
      </c>
      <c r="O1927" s="3">
        <f>Table1[[#This Row],[Cost Price]]*Table1[[#This Row],[Quantity]]</f>
        <v>1920000</v>
      </c>
      <c r="P1927" s="3">
        <f>Table1[[#This Row],[Revenue]]-Table1[[#This Row],[COGS]]</f>
        <v>480000</v>
      </c>
      <c r="Q1927" s="1">
        <v>1926</v>
      </c>
    </row>
    <row r="1928" spans="1:17">
      <c r="A1928" t="s">
        <v>117</v>
      </c>
      <c r="B1928" t="str">
        <f>TEXT(Table1[[#This Row],[Date]],"MMMM")</f>
        <v>January</v>
      </c>
      <c r="C1928" t="str">
        <f>TEXT(Table1[[#This Row],[Date]],"DDDD")</f>
        <v>Wednesday</v>
      </c>
      <c r="D1928" t="s">
        <v>35</v>
      </c>
      <c r="E1928" t="s">
        <v>53</v>
      </c>
      <c r="F1928" t="s">
        <v>41</v>
      </c>
      <c r="G1928" t="s">
        <v>37</v>
      </c>
      <c r="H1928" t="s">
        <v>67</v>
      </c>
      <c r="I1928" t="s">
        <v>51</v>
      </c>
      <c r="J1928" s="3">
        <v>420000</v>
      </c>
      <c r="K1928">
        <v>10</v>
      </c>
      <c r="L1928" t="s">
        <v>69</v>
      </c>
      <c r="M1928" s="3">
        <v>336000</v>
      </c>
      <c r="N1928" s="3">
        <f>Table1[[#This Row],[Unit Price]]*Table1[[#This Row],[Quantity]]</f>
        <v>4200000</v>
      </c>
      <c r="O1928" s="3">
        <f>Table1[[#This Row],[Cost Price]]*Table1[[#This Row],[Quantity]]</f>
        <v>3360000</v>
      </c>
      <c r="P1928" s="3">
        <f>Table1[[#This Row],[Revenue]]-Table1[[#This Row],[COGS]]</f>
        <v>840000</v>
      </c>
      <c r="Q1928" s="1">
        <v>1927</v>
      </c>
    </row>
    <row r="1929" spans="1:17">
      <c r="A1929" t="s">
        <v>155</v>
      </c>
      <c r="B1929" t="str">
        <f>TEXT(Table1[[#This Row],[Date]],"MMMM")</f>
        <v>April</v>
      </c>
      <c r="C1929" t="str">
        <f>TEXT(Table1[[#This Row],[Date]],"DDDD")</f>
        <v>Thursday</v>
      </c>
      <c r="D1929" t="s">
        <v>49</v>
      </c>
      <c r="E1929" t="s">
        <v>36</v>
      </c>
      <c r="F1929" t="s">
        <v>29</v>
      </c>
      <c r="G1929" t="s">
        <v>37</v>
      </c>
      <c r="H1929" t="s">
        <v>38</v>
      </c>
      <c r="I1929" t="s">
        <v>39</v>
      </c>
      <c r="J1929" s="3">
        <v>30000</v>
      </c>
      <c r="K1929">
        <v>1</v>
      </c>
      <c r="L1929" t="s">
        <v>42</v>
      </c>
      <c r="M1929" s="3">
        <v>24000</v>
      </c>
      <c r="N1929" s="3">
        <f>Table1[[#This Row],[Unit Price]]*Table1[[#This Row],[Quantity]]</f>
        <v>30000</v>
      </c>
      <c r="O1929" s="3">
        <f>Table1[[#This Row],[Cost Price]]*Table1[[#This Row],[Quantity]]</f>
        <v>24000</v>
      </c>
      <c r="P1929" s="3">
        <f>Table1[[#This Row],[Revenue]]-Table1[[#This Row],[COGS]]</f>
        <v>6000</v>
      </c>
      <c r="Q1929" s="1">
        <v>1928</v>
      </c>
    </row>
    <row r="1930" spans="1:17">
      <c r="A1930" t="s">
        <v>98</v>
      </c>
      <c r="B1930" t="str">
        <f>TEXT(Table1[[#This Row],[Date]],"MMMM")</f>
        <v>January</v>
      </c>
      <c r="C1930" t="str">
        <f>TEXT(Table1[[#This Row],[Date]],"DDDD")</f>
        <v>Friday</v>
      </c>
      <c r="D1930" t="s">
        <v>35</v>
      </c>
      <c r="E1930" t="s">
        <v>28</v>
      </c>
      <c r="F1930" t="s">
        <v>41</v>
      </c>
      <c r="G1930" t="s">
        <v>30</v>
      </c>
      <c r="H1930" t="s">
        <v>67</v>
      </c>
      <c r="I1930" t="s">
        <v>51</v>
      </c>
      <c r="J1930" s="3">
        <v>420000</v>
      </c>
      <c r="K1930">
        <v>7</v>
      </c>
      <c r="L1930" t="s">
        <v>33</v>
      </c>
      <c r="M1930" s="3">
        <v>336000</v>
      </c>
      <c r="N1930" s="3">
        <f>Table1[[#This Row],[Unit Price]]*Table1[[#This Row],[Quantity]]</f>
        <v>2940000</v>
      </c>
      <c r="O1930" s="3">
        <f>Table1[[#This Row],[Cost Price]]*Table1[[#This Row],[Quantity]]</f>
        <v>2352000</v>
      </c>
      <c r="P1930" s="3">
        <f>Table1[[#This Row],[Revenue]]-Table1[[#This Row],[COGS]]</f>
        <v>588000</v>
      </c>
      <c r="Q1930" s="1">
        <v>1929</v>
      </c>
    </row>
    <row r="1931" spans="1:17">
      <c r="A1931" t="s">
        <v>159</v>
      </c>
      <c r="B1931" t="str">
        <f>TEXT(Table1[[#This Row],[Date]],"MMMM")</f>
        <v>February</v>
      </c>
      <c r="C1931" t="str">
        <f>TEXT(Table1[[#This Row],[Date]],"DDDD")</f>
        <v>Sunday</v>
      </c>
      <c r="D1931" t="s">
        <v>49</v>
      </c>
      <c r="E1931" t="s">
        <v>28</v>
      </c>
      <c r="F1931" t="s">
        <v>41</v>
      </c>
      <c r="G1931" t="s">
        <v>37</v>
      </c>
      <c r="H1931" t="s">
        <v>54</v>
      </c>
      <c r="I1931" t="s">
        <v>39</v>
      </c>
      <c r="J1931" s="3">
        <v>180000</v>
      </c>
      <c r="K1931">
        <v>6</v>
      </c>
      <c r="L1931" t="s">
        <v>58</v>
      </c>
      <c r="M1931" s="3">
        <v>144000</v>
      </c>
      <c r="N1931" s="3">
        <f>Table1[[#This Row],[Unit Price]]*Table1[[#This Row],[Quantity]]</f>
        <v>1080000</v>
      </c>
      <c r="O1931" s="3">
        <f>Table1[[#This Row],[Cost Price]]*Table1[[#This Row],[Quantity]]</f>
        <v>864000</v>
      </c>
      <c r="P1931" s="3">
        <f>Table1[[#This Row],[Revenue]]-Table1[[#This Row],[COGS]]</f>
        <v>216000</v>
      </c>
      <c r="Q1931" s="1">
        <v>1930</v>
      </c>
    </row>
    <row r="1932" spans="1:17">
      <c r="A1932" t="s">
        <v>59</v>
      </c>
      <c r="B1932" t="str">
        <f>TEXT(Table1[[#This Row],[Date]],"MMMM")</f>
        <v>March</v>
      </c>
      <c r="C1932" t="str">
        <f>TEXT(Table1[[#This Row],[Date]],"DDDD")</f>
        <v>Monday</v>
      </c>
      <c r="D1932" t="s">
        <v>44</v>
      </c>
      <c r="E1932" t="s">
        <v>45</v>
      </c>
      <c r="F1932" t="s">
        <v>29</v>
      </c>
      <c r="G1932" t="s">
        <v>30</v>
      </c>
      <c r="H1932" t="s">
        <v>38</v>
      </c>
      <c r="I1932" t="s">
        <v>39</v>
      </c>
      <c r="J1932" s="3">
        <v>30000</v>
      </c>
      <c r="K1932">
        <v>10</v>
      </c>
      <c r="L1932" t="s">
        <v>69</v>
      </c>
      <c r="M1932" s="3">
        <v>24000</v>
      </c>
      <c r="N1932" s="3">
        <f>Table1[[#This Row],[Unit Price]]*Table1[[#This Row],[Quantity]]</f>
        <v>300000</v>
      </c>
      <c r="O1932" s="3">
        <f>Table1[[#This Row],[Cost Price]]*Table1[[#This Row],[Quantity]]</f>
        <v>240000</v>
      </c>
      <c r="P1932" s="3">
        <f>Table1[[#This Row],[Revenue]]-Table1[[#This Row],[COGS]]</f>
        <v>60000</v>
      </c>
      <c r="Q1932" s="1">
        <v>1931</v>
      </c>
    </row>
    <row r="1933" spans="1:17">
      <c r="A1933" t="s">
        <v>136</v>
      </c>
      <c r="B1933" t="str">
        <f>TEXT(Table1[[#This Row],[Date]],"MMMM")</f>
        <v>February</v>
      </c>
      <c r="C1933" t="str">
        <f>TEXT(Table1[[#This Row],[Date]],"DDDD")</f>
        <v>Saturday</v>
      </c>
      <c r="D1933" t="s">
        <v>27</v>
      </c>
      <c r="E1933" t="s">
        <v>28</v>
      </c>
      <c r="F1933" t="s">
        <v>29</v>
      </c>
      <c r="G1933" t="s">
        <v>37</v>
      </c>
      <c r="H1933" t="s">
        <v>73</v>
      </c>
      <c r="I1933" t="s">
        <v>39</v>
      </c>
      <c r="J1933" s="3">
        <v>220000</v>
      </c>
      <c r="K1933">
        <v>1</v>
      </c>
      <c r="L1933" t="s">
        <v>69</v>
      </c>
      <c r="M1933" s="3">
        <v>176000</v>
      </c>
      <c r="N1933" s="3">
        <f>Table1[[#This Row],[Unit Price]]*Table1[[#This Row],[Quantity]]</f>
        <v>220000</v>
      </c>
      <c r="O1933" s="3">
        <f>Table1[[#This Row],[Cost Price]]*Table1[[#This Row],[Quantity]]</f>
        <v>176000</v>
      </c>
      <c r="P1933" s="3">
        <f>Table1[[#This Row],[Revenue]]-Table1[[#This Row],[COGS]]</f>
        <v>44000</v>
      </c>
      <c r="Q1933" s="1">
        <v>1932</v>
      </c>
    </row>
    <row r="1934" spans="1:17">
      <c r="A1934" t="s">
        <v>137</v>
      </c>
      <c r="B1934" t="str">
        <f>TEXT(Table1[[#This Row],[Date]],"MMMM")</f>
        <v>April</v>
      </c>
      <c r="C1934" t="str">
        <f>TEXT(Table1[[#This Row],[Date]],"DDDD")</f>
        <v>Wednesday</v>
      </c>
      <c r="D1934" t="s">
        <v>44</v>
      </c>
      <c r="E1934" t="s">
        <v>45</v>
      </c>
      <c r="F1934" t="s">
        <v>29</v>
      </c>
      <c r="G1934" t="s">
        <v>30</v>
      </c>
      <c r="H1934" t="s">
        <v>56</v>
      </c>
      <c r="I1934" t="s">
        <v>32</v>
      </c>
      <c r="J1934" s="3">
        <v>320000</v>
      </c>
      <c r="K1934">
        <v>6</v>
      </c>
      <c r="L1934" t="s">
        <v>58</v>
      </c>
      <c r="M1934" s="3">
        <v>256000</v>
      </c>
      <c r="N1934" s="3">
        <f>Table1[[#This Row],[Unit Price]]*Table1[[#This Row],[Quantity]]</f>
        <v>1920000</v>
      </c>
      <c r="O1934" s="3">
        <f>Table1[[#This Row],[Cost Price]]*Table1[[#This Row],[Quantity]]</f>
        <v>1536000</v>
      </c>
      <c r="P1934" s="3">
        <f>Table1[[#This Row],[Revenue]]-Table1[[#This Row],[COGS]]</f>
        <v>384000</v>
      </c>
      <c r="Q1934" s="1">
        <v>1933</v>
      </c>
    </row>
    <row r="1935" spans="1:17">
      <c r="A1935" t="s">
        <v>105</v>
      </c>
      <c r="B1935" t="str">
        <f>TEXT(Table1[[#This Row],[Date]],"MMMM")</f>
        <v>March</v>
      </c>
      <c r="C1935" t="str">
        <f>TEXT(Table1[[#This Row],[Date]],"DDDD")</f>
        <v>Friday</v>
      </c>
      <c r="D1935" t="s">
        <v>44</v>
      </c>
      <c r="E1935" t="s">
        <v>53</v>
      </c>
      <c r="F1935" t="s">
        <v>41</v>
      </c>
      <c r="G1935" t="s">
        <v>37</v>
      </c>
      <c r="H1935" t="s">
        <v>46</v>
      </c>
      <c r="I1935" t="s">
        <v>39</v>
      </c>
      <c r="J1935" s="3">
        <v>60000</v>
      </c>
      <c r="K1935">
        <v>10</v>
      </c>
      <c r="L1935" t="s">
        <v>42</v>
      </c>
      <c r="M1935" s="3">
        <v>48000</v>
      </c>
      <c r="N1935" s="3">
        <f>Table1[[#This Row],[Unit Price]]*Table1[[#This Row],[Quantity]]</f>
        <v>600000</v>
      </c>
      <c r="O1935" s="3">
        <f>Table1[[#This Row],[Cost Price]]*Table1[[#This Row],[Quantity]]</f>
        <v>480000</v>
      </c>
      <c r="P1935" s="3">
        <f>Table1[[#This Row],[Revenue]]-Table1[[#This Row],[COGS]]</f>
        <v>120000</v>
      </c>
      <c r="Q1935" s="1">
        <v>1934</v>
      </c>
    </row>
    <row r="1936" spans="1:17">
      <c r="A1936" t="s">
        <v>108</v>
      </c>
      <c r="B1936" t="str">
        <f>TEXT(Table1[[#This Row],[Date]],"MMMM")</f>
        <v>April</v>
      </c>
      <c r="C1936" t="str">
        <f>TEXT(Table1[[#This Row],[Date]],"DDDD")</f>
        <v>Thursday</v>
      </c>
      <c r="D1936" t="s">
        <v>27</v>
      </c>
      <c r="E1936" t="s">
        <v>53</v>
      </c>
      <c r="F1936" t="s">
        <v>29</v>
      </c>
      <c r="G1936" t="s">
        <v>30</v>
      </c>
      <c r="H1936" t="s">
        <v>31</v>
      </c>
      <c r="I1936" t="s">
        <v>32</v>
      </c>
      <c r="J1936" s="3">
        <v>85000</v>
      </c>
      <c r="K1936">
        <v>7</v>
      </c>
      <c r="L1936" t="s">
        <v>69</v>
      </c>
      <c r="M1936" s="3">
        <v>68000</v>
      </c>
      <c r="N1936" s="3">
        <f>Table1[[#This Row],[Unit Price]]*Table1[[#This Row],[Quantity]]</f>
        <v>595000</v>
      </c>
      <c r="O1936" s="3">
        <f>Table1[[#This Row],[Cost Price]]*Table1[[#This Row],[Quantity]]</f>
        <v>476000</v>
      </c>
      <c r="P1936" s="3">
        <f>Table1[[#This Row],[Revenue]]-Table1[[#This Row],[COGS]]</f>
        <v>119000</v>
      </c>
      <c r="Q1936" s="1">
        <v>1935</v>
      </c>
    </row>
    <row r="1937" spans="1:17">
      <c r="A1937" t="s">
        <v>157</v>
      </c>
      <c r="B1937" t="str">
        <f>TEXT(Table1[[#This Row],[Date]],"MMMM")</f>
        <v>April</v>
      </c>
      <c r="C1937" t="str">
        <f>TEXT(Table1[[#This Row],[Date]],"DDDD")</f>
        <v>Tuesday</v>
      </c>
      <c r="D1937" t="s">
        <v>35</v>
      </c>
      <c r="E1937" t="s">
        <v>53</v>
      </c>
      <c r="F1937" t="s">
        <v>41</v>
      </c>
      <c r="G1937" t="s">
        <v>30</v>
      </c>
      <c r="H1937" t="s">
        <v>71</v>
      </c>
      <c r="I1937" t="s">
        <v>51</v>
      </c>
      <c r="J1937" s="3">
        <v>250000</v>
      </c>
      <c r="K1937">
        <v>1</v>
      </c>
      <c r="L1937" t="s">
        <v>69</v>
      </c>
      <c r="M1937" s="3">
        <v>200000</v>
      </c>
      <c r="N1937" s="3">
        <f>Table1[[#This Row],[Unit Price]]*Table1[[#This Row],[Quantity]]</f>
        <v>250000</v>
      </c>
      <c r="O1937" s="3">
        <f>Table1[[#This Row],[Cost Price]]*Table1[[#This Row],[Quantity]]</f>
        <v>200000</v>
      </c>
      <c r="P1937" s="3">
        <f>Table1[[#This Row],[Revenue]]-Table1[[#This Row],[COGS]]</f>
        <v>50000</v>
      </c>
      <c r="Q1937" s="1">
        <v>1936</v>
      </c>
    </row>
    <row r="1938" spans="1:17">
      <c r="A1938" t="s">
        <v>116</v>
      </c>
      <c r="B1938" t="str">
        <f>TEXT(Table1[[#This Row],[Date]],"MMMM")</f>
        <v>April</v>
      </c>
      <c r="C1938" t="str">
        <f>TEXT(Table1[[#This Row],[Date]],"DDDD")</f>
        <v>Saturday</v>
      </c>
      <c r="D1938" t="s">
        <v>49</v>
      </c>
      <c r="E1938" t="s">
        <v>53</v>
      </c>
      <c r="F1938" t="s">
        <v>41</v>
      </c>
      <c r="G1938" t="s">
        <v>37</v>
      </c>
      <c r="H1938" t="s">
        <v>73</v>
      </c>
      <c r="I1938" t="s">
        <v>39</v>
      </c>
      <c r="J1938" s="3">
        <v>220000</v>
      </c>
      <c r="K1938">
        <v>8</v>
      </c>
      <c r="L1938" t="s">
        <v>42</v>
      </c>
      <c r="M1938" s="3">
        <v>176000</v>
      </c>
      <c r="N1938" s="3">
        <f>Table1[[#This Row],[Unit Price]]*Table1[[#This Row],[Quantity]]</f>
        <v>1760000</v>
      </c>
      <c r="O1938" s="3">
        <f>Table1[[#This Row],[Cost Price]]*Table1[[#This Row],[Quantity]]</f>
        <v>1408000</v>
      </c>
      <c r="P1938" s="3">
        <f>Table1[[#This Row],[Revenue]]-Table1[[#This Row],[COGS]]</f>
        <v>352000</v>
      </c>
      <c r="Q1938" s="1">
        <v>1937</v>
      </c>
    </row>
    <row r="1939" spans="1:17">
      <c r="A1939" t="s">
        <v>111</v>
      </c>
      <c r="B1939" t="str">
        <f>TEXT(Table1[[#This Row],[Date]],"MMMM")</f>
        <v>February</v>
      </c>
      <c r="C1939" t="str">
        <f>TEXT(Table1[[#This Row],[Date]],"DDDD")</f>
        <v>Wednesday</v>
      </c>
      <c r="D1939" t="s">
        <v>49</v>
      </c>
      <c r="E1939" t="s">
        <v>36</v>
      </c>
      <c r="F1939" t="s">
        <v>29</v>
      </c>
      <c r="G1939" t="s">
        <v>30</v>
      </c>
      <c r="H1939" t="s">
        <v>71</v>
      </c>
      <c r="I1939" t="s">
        <v>51</v>
      </c>
      <c r="J1939" s="3">
        <v>250000</v>
      </c>
      <c r="K1939">
        <v>6</v>
      </c>
      <c r="L1939" t="s">
        <v>58</v>
      </c>
      <c r="M1939" s="3">
        <v>200000</v>
      </c>
      <c r="N1939" s="3">
        <f>Table1[[#This Row],[Unit Price]]*Table1[[#This Row],[Quantity]]</f>
        <v>1500000</v>
      </c>
      <c r="O1939" s="3">
        <f>Table1[[#This Row],[Cost Price]]*Table1[[#This Row],[Quantity]]</f>
        <v>1200000</v>
      </c>
      <c r="P1939" s="3">
        <f>Table1[[#This Row],[Revenue]]-Table1[[#This Row],[COGS]]</f>
        <v>300000</v>
      </c>
      <c r="Q1939" s="1">
        <v>1938</v>
      </c>
    </row>
    <row r="1940" spans="1:17">
      <c r="A1940" t="s">
        <v>66</v>
      </c>
      <c r="B1940" t="str">
        <f>TEXT(Table1[[#This Row],[Date]],"MMMM")</f>
        <v>March</v>
      </c>
      <c r="C1940" t="str">
        <f>TEXT(Table1[[#This Row],[Date]],"DDDD")</f>
        <v>Saturday</v>
      </c>
      <c r="D1940" t="s">
        <v>49</v>
      </c>
      <c r="E1940" t="s">
        <v>53</v>
      </c>
      <c r="F1940" t="s">
        <v>29</v>
      </c>
      <c r="G1940" t="s">
        <v>30</v>
      </c>
      <c r="H1940" t="s">
        <v>31</v>
      </c>
      <c r="I1940" t="s">
        <v>32</v>
      </c>
      <c r="J1940" s="3">
        <v>85000</v>
      </c>
      <c r="K1940">
        <v>7</v>
      </c>
      <c r="L1940" t="s">
        <v>58</v>
      </c>
      <c r="M1940" s="3">
        <v>68000</v>
      </c>
      <c r="N1940" s="3">
        <f>Table1[[#This Row],[Unit Price]]*Table1[[#This Row],[Quantity]]</f>
        <v>595000</v>
      </c>
      <c r="O1940" s="3">
        <f>Table1[[#This Row],[Cost Price]]*Table1[[#This Row],[Quantity]]</f>
        <v>476000</v>
      </c>
      <c r="P1940" s="3">
        <f>Table1[[#This Row],[Revenue]]-Table1[[#This Row],[COGS]]</f>
        <v>119000</v>
      </c>
      <c r="Q1940" s="1">
        <v>1939</v>
      </c>
    </row>
    <row r="1941" spans="1:17">
      <c r="A1941" t="s">
        <v>119</v>
      </c>
      <c r="B1941" t="str">
        <f>TEXT(Table1[[#This Row],[Date]],"MMMM")</f>
        <v>February</v>
      </c>
      <c r="C1941" t="str">
        <f>TEXT(Table1[[#This Row],[Date]],"DDDD")</f>
        <v>Sunday</v>
      </c>
      <c r="D1941" t="s">
        <v>44</v>
      </c>
      <c r="E1941" t="s">
        <v>45</v>
      </c>
      <c r="F1941" t="s">
        <v>29</v>
      </c>
      <c r="G1941" t="s">
        <v>37</v>
      </c>
      <c r="H1941" t="s">
        <v>31</v>
      </c>
      <c r="I1941" t="s">
        <v>32</v>
      </c>
      <c r="J1941" s="3">
        <v>85000</v>
      </c>
      <c r="K1941">
        <v>4</v>
      </c>
      <c r="L1941" t="s">
        <v>47</v>
      </c>
      <c r="M1941" s="3">
        <v>68000</v>
      </c>
      <c r="N1941" s="3">
        <f>Table1[[#This Row],[Unit Price]]*Table1[[#This Row],[Quantity]]</f>
        <v>340000</v>
      </c>
      <c r="O1941" s="3">
        <f>Table1[[#This Row],[Cost Price]]*Table1[[#This Row],[Quantity]]</f>
        <v>272000</v>
      </c>
      <c r="P1941" s="3">
        <f>Table1[[#This Row],[Revenue]]-Table1[[#This Row],[COGS]]</f>
        <v>68000</v>
      </c>
      <c r="Q1941" s="1">
        <v>1940</v>
      </c>
    </row>
    <row r="1942" spans="1:17">
      <c r="A1942" t="s">
        <v>88</v>
      </c>
      <c r="B1942" t="str">
        <f>TEXT(Table1[[#This Row],[Date]],"MMMM")</f>
        <v>February</v>
      </c>
      <c r="C1942" t="str">
        <f>TEXT(Table1[[#This Row],[Date]],"DDDD")</f>
        <v>Monday</v>
      </c>
      <c r="D1942" t="s">
        <v>35</v>
      </c>
      <c r="E1942" t="s">
        <v>53</v>
      </c>
      <c r="F1942" t="s">
        <v>41</v>
      </c>
      <c r="G1942" t="s">
        <v>37</v>
      </c>
      <c r="H1942" t="s">
        <v>67</v>
      </c>
      <c r="I1942" t="s">
        <v>51</v>
      </c>
      <c r="J1942" s="3">
        <v>420000</v>
      </c>
      <c r="K1942">
        <v>6</v>
      </c>
      <c r="L1942" t="s">
        <v>33</v>
      </c>
      <c r="M1942" s="3">
        <v>336000</v>
      </c>
      <c r="N1942" s="3">
        <f>Table1[[#This Row],[Unit Price]]*Table1[[#This Row],[Quantity]]</f>
        <v>2520000</v>
      </c>
      <c r="O1942" s="3">
        <f>Table1[[#This Row],[Cost Price]]*Table1[[#This Row],[Quantity]]</f>
        <v>2016000</v>
      </c>
      <c r="P1942" s="3">
        <f>Table1[[#This Row],[Revenue]]-Table1[[#This Row],[COGS]]</f>
        <v>504000</v>
      </c>
      <c r="Q1942" s="1">
        <v>1941</v>
      </c>
    </row>
    <row r="1943" spans="1:17">
      <c r="A1943" t="s">
        <v>57</v>
      </c>
      <c r="B1943" t="str">
        <f>TEXT(Table1[[#This Row],[Date]],"MMMM")</f>
        <v>February</v>
      </c>
      <c r="C1943" t="str">
        <f>TEXT(Table1[[#This Row],[Date]],"DDDD")</f>
        <v>Thursday</v>
      </c>
      <c r="D1943" t="s">
        <v>35</v>
      </c>
      <c r="E1943" t="s">
        <v>28</v>
      </c>
      <c r="F1943" t="s">
        <v>41</v>
      </c>
      <c r="G1943" t="s">
        <v>37</v>
      </c>
      <c r="H1943" t="s">
        <v>71</v>
      </c>
      <c r="I1943" t="s">
        <v>51</v>
      </c>
      <c r="J1943" s="3">
        <v>250000</v>
      </c>
      <c r="K1943">
        <v>4</v>
      </c>
      <c r="L1943" t="s">
        <v>47</v>
      </c>
      <c r="M1943" s="3">
        <v>200000</v>
      </c>
      <c r="N1943" s="3">
        <f>Table1[[#This Row],[Unit Price]]*Table1[[#This Row],[Quantity]]</f>
        <v>1000000</v>
      </c>
      <c r="O1943" s="3">
        <f>Table1[[#This Row],[Cost Price]]*Table1[[#This Row],[Quantity]]</f>
        <v>800000</v>
      </c>
      <c r="P1943" s="3">
        <f>Table1[[#This Row],[Revenue]]-Table1[[#This Row],[COGS]]</f>
        <v>200000</v>
      </c>
      <c r="Q1943" s="1">
        <v>1942</v>
      </c>
    </row>
    <row r="1944" spans="1:17">
      <c r="A1944" t="s">
        <v>129</v>
      </c>
      <c r="B1944" t="str">
        <f>TEXT(Table1[[#This Row],[Date]],"MMMM")</f>
        <v>March</v>
      </c>
      <c r="C1944" t="str">
        <f>TEXT(Table1[[#This Row],[Date]],"DDDD")</f>
        <v>Tuesday</v>
      </c>
      <c r="D1944" t="s">
        <v>27</v>
      </c>
      <c r="E1944" t="s">
        <v>28</v>
      </c>
      <c r="F1944" t="s">
        <v>29</v>
      </c>
      <c r="G1944" t="s">
        <v>37</v>
      </c>
      <c r="H1944" t="s">
        <v>38</v>
      </c>
      <c r="I1944" t="s">
        <v>39</v>
      </c>
      <c r="J1944" s="3">
        <v>30000</v>
      </c>
      <c r="K1944">
        <v>3</v>
      </c>
      <c r="L1944" t="s">
        <v>65</v>
      </c>
      <c r="M1944" s="3">
        <v>24000</v>
      </c>
      <c r="N1944" s="3">
        <f>Table1[[#This Row],[Unit Price]]*Table1[[#This Row],[Quantity]]</f>
        <v>90000</v>
      </c>
      <c r="O1944" s="3">
        <f>Table1[[#This Row],[Cost Price]]*Table1[[#This Row],[Quantity]]</f>
        <v>72000</v>
      </c>
      <c r="P1944" s="3">
        <f>Table1[[#This Row],[Revenue]]-Table1[[#This Row],[COGS]]</f>
        <v>18000</v>
      </c>
      <c r="Q1944" s="1">
        <v>1943</v>
      </c>
    </row>
    <row r="1945" spans="1:17">
      <c r="A1945" t="s">
        <v>146</v>
      </c>
      <c r="B1945" t="str">
        <f>TEXT(Table1[[#This Row],[Date]],"MMMM")</f>
        <v>January</v>
      </c>
      <c r="C1945" t="str">
        <f>TEXT(Table1[[#This Row],[Date]],"DDDD")</f>
        <v>Tuesday</v>
      </c>
      <c r="D1945" t="s">
        <v>49</v>
      </c>
      <c r="E1945" t="s">
        <v>53</v>
      </c>
      <c r="F1945" t="s">
        <v>41</v>
      </c>
      <c r="G1945" t="s">
        <v>30</v>
      </c>
      <c r="H1945" t="s">
        <v>56</v>
      </c>
      <c r="I1945" t="s">
        <v>32</v>
      </c>
      <c r="J1945" s="3">
        <v>320000</v>
      </c>
      <c r="K1945">
        <v>9</v>
      </c>
      <c r="L1945" t="s">
        <v>58</v>
      </c>
      <c r="M1945" s="3">
        <v>256000</v>
      </c>
      <c r="N1945" s="3">
        <f>Table1[[#This Row],[Unit Price]]*Table1[[#This Row],[Quantity]]</f>
        <v>2880000</v>
      </c>
      <c r="O1945" s="3">
        <f>Table1[[#This Row],[Cost Price]]*Table1[[#This Row],[Quantity]]</f>
        <v>2304000</v>
      </c>
      <c r="P1945" s="3">
        <f>Table1[[#This Row],[Revenue]]-Table1[[#This Row],[COGS]]</f>
        <v>576000</v>
      </c>
      <c r="Q1945" s="1">
        <v>1944</v>
      </c>
    </row>
    <row r="1946" spans="1:17">
      <c r="A1946" t="s">
        <v>26</v>
      </c>
      <c r="B1946" t="str">
        <f>TEXT(Table1[[#This Row],[Date]],"MMMM")</f>
        <v>January</v>
      </c>
      <c r="C1946" t="str">
        <f>TEXT(Table1[[#This Row],[Date]],"DDDD")</f>
        <v>Sunday</v>
      </c>
      <c r="D1946" t="s">
        <v>49</v>
      </c>
      <c r="E1946" t="s">
        <v>28</v>
      </c>
      <c r="F1946" t="s">
        <v>29</v>
      </c>
      <c r="G1946" t="s">
        <v>37</v>
      </c>
      <c r="H1946" t="s">
        <v>73</v>
      </c>
      <c r="I1946" t="s">
        <v>39</v>
      </c>
      <c r="J1946" s="3">
        <v>220000</v>
      </c>
      <c r="K1946">
        <v>7</v>
      </c>
      <c r="L1946" t="s">
        <v>47</v>
      </c>
      <c r="M1946" s="3">
        <v>176000</v>
      </c>
      <c r="N1946" s="3">
        <f>Table1[[#This Row],[Unit Price]]*Table1[[#This Row],[Quantity]]</f>
        <v>1540000</v>
      </c>
      <c r="O1946" s="3">
        <f>Table1[[#This Row],[Cost Price]]*Table1[[#This Row],[Quantity]]</f>
        <v>1232000</v>
      </c>
      <c r="P1946" s="3">
        <f>Table1[[#This Row],[Revenue]]-Table1[[#This Row],[COGS]]</f>
        <v>308000</v>
      </c>
      <c r="Q1946" s="1">
        <v>1945</v>
      </c>
    </row>
    <row r="1947" spans="1:17">
      <c r="A1947" t="s">
        <v>161</v>
      </c>
      <c r="B1947" t="str">
        <f>TEXT(Table1[[#This Row],[Date]],"MMMM")</f>
        <v>March</v>
      </c>
      <c r="C1947" t="str">
        <f>TEXT(Table1[[#This Row],[Date]],"DDDD")</f>
        <v>Thursday</v>
      </c>
      <c r="D1947" t="s">
        <v>44</v>
      </c>
      <c r="E1947" t="s">
        <v>36</v>
      </c>
      <c r="F1947" t="s">
        <v>41</v>
      </c>
      <c r="G1947" t="s">
        <v>30</v>
      </c>
      <c r="H1947" t="s">
        <v>62</v>
      </c>
      <c r="I1947" t="s">
        <v>51</v>
      </c>
      <c r="J1947" s="3">
        <v>150000</v>
      </c>
      <c r="K1947">
        <v>5</v>
      </c>
      <c r="L1947" t="s">
        <v>33</v>
      </c>
      <c r="M1947" s="3">
        <v>120000</v>
      </c>
      <c r="N1947" s="3">
        <f>Table1[[#This Row],[Unit Price]]*Table1[[#This Row],[Quantity]]</f>
        <v>750000</v>
      </c>
      <c r="O1947" s="3">
        <f>Table1[[#This Row],[Cost Price]]*Table1[[#This Row],[Quantity]]</f>
        <v>600000</v>
      </c>
      <c r="P1947" s="3">
        <f>Table1[[#This Row],[Revenue]]-Table1[[#This Row],[COGS]]</f>
        <v>150000</v>
      </c>
      <c r="Q1947" s="1">
        <v>1946</v>
      </c>
    </row>
    <row r="1948" spans="1:17">
      <c r="A1948" t="s">
        <v>153</v>
      </c>
      <c r="B1948" t="str">
        <f>TEXT(Table1[[#This Row],[Date]],"MMMM")</f>
        <v>March</v>
      </c>
      <c r="C1948" t="str">
        <f>TEXT(Table1[[#This Row],[Date]],"DDDD")</f>
        <v>Tuesday</v>
      </c>
      <c r="D1948" t="s">
        <v>44</v>
      </c>
      <c r="E1948" t="s">
        <v>28</v>
      </c>
      <c r="F1948" t="s">
        <v>41</v>
      </c>
      <c r="G1948" t="s">
        <v>37</v>
      </c>
      <c r="H1948" t="s">
        <v>31</v>
      </c>
      <c r="I1948" t="s">
        <v>32</v>
      </c>
      <c r="J1948" s="3">
        <v>85000</v>
      </c>
      <c r="K1948">
        <v>9</v>
      </c>
      <c r="L1948" t="s">
        <v>58</v>
      </c>
      <c r="M1948" s="3">
        <v>68000</v>
      </c>
      <c r="N1948" s="3">
        <f>Table1[[#This Row],[Unit Price]]*Table1[[#This Row],[Quantity]]</f>
        <v>765000</v>
      </c>
      <c r="O1948" s="3">
        <f>Table1[[#This Row],[Cost Price]]*Table1[[#This Row],[Quantity]]</f>
        <v>612000</v>
      </c>
      <c r="P1948" s="3">
        <f>Table1[[#This Row],[Revenue]]-Table1[[#This Row],[COGS]]</f>
        <v>153000</v>
      </c>
      <c r="Q1948" s="1">
        <v>1947</v>
      </c>
    </row>
    <row r="1949" spans="1:17">
      <c r="A1949" t="s">
        <v>97</v>
      </c>
      <c r="B1949" t="str">
        <f>TEXT(Table1[[#This Row],[Date]],"MMMM")</f>
        <v>January</v>
      </c>
      <c r="C1949" t="str">
        <f>TEXT(Table1[[#This Row],[Date]],"DDDD")</f>
        <v>Sunday</v>
      </c>
      <c r="D1949" t="s">
        <v>49</v>
      </c>
      <c r="E1949" t="s">
        <v>53</v>
      </c>
      <c r="F1949" t="s">
        <v>41</v>
      </c>
      <c r="G1949" t="s">
        <v>30</v>
      </c>
      <c r="H1949" t="s">
        <v>71</v>
      </c>
      <c r="I1949" t="s">
        <v>51</v>
      </c>
      <c r="J1949" s="3">
        <v>250000</v>
      </c>
      <c r="K1949">
        <v>10</v>
      </c>
      <c r="L1949" t="s">
        <v>33</v>
      </c>
      <c r="M1949" s="3">
        <v>200000</v>
      </c>
      <c r="N1949" s="3">
        <f>Table1[[#This Row],[Unit Price]]*Table1[[#This Row],[Quantity]]</f>
        <v>2500000</v>
      </c>
      <c r="O1949" s="3">
        <f>Table1[[#This Row],[Cost Price]]*Table1[[#This Row],[Quantity]]</f>
        <v>2000000</v>
      </c>
      <c r="P1949" s="3">
        <f>Table1[[#This Row],[Revenue]]-Table1[[#This Row],[COGS]]</f>
        <v>500000</v>
      </c>
      <c r="Q1949" s="1">
        <v>1948</v>
      </c>
    </row>
    <row r="1950" spans="1:17">
      <c r="A1950" t="s">
        <v>108</v>
      </c>
      <c r="B1950" t="str">
        <f>TEXT(Table1[[#This Row],[Date]],"MMMM")</f>
        <v>April</v>
      </c>
      <c r="C1950" t="str">
        <f>TEXT(Table1[[#This Row],[Date]],"DDDD")</f>
        <v>Thursday</v>
      </c>
      <c r="D1950" t="s">
        <v>35</v>
      </c>
      <c r="E1950" t="s">
        <v>28</v>
      </c>
      <c r="F1950" t="s">
        <v>41</v>
      </c>
      <c r="G1950" t="s">
        <v>30</v>
      </c>
      <c r="H1950" t="s">
        <v>31</v>
      </c>
      <c r="I1950" t="s">
        <v>32</v>
      </c>
      <c r="J1950" s="3">
        <v>85000</v>
      </c>
      <c r="K1950">
        <v>7</v>
      </c>
      <c r="L1950" t="s">
        <v>42</v>
      </c>
      <c r="M1950" s="3">
        <v>68000</v>
      </c>
      <c r="N1950" s="3">
        <f>Table1[[#This Row],[Unit Price]]*Table1[[#This Row],[Quantity]]</f>
        <v>595000</v>
      </c>
      <c r="O1950" s="3">
        <f>Table1[[#This Row],[Cost Price]]*Table1[[#This Row],[Quantity]]</f>
        <v>476000</v>
      </c>
      <c r="P1950" s="3">
        <f>Table1[[#This Row],[Revenue]]-Table1[[#This Row],[COGS]]</f>
        <v>119000</v>
      </c>
      <c r="Q1950" s="1">
        <v>1949</v>
      </c>
    </row>
    <row r="1951" spans="1:17">
      <c r="A1951" t="s">
        <v>141</v>
      </c>
      <c r="B1951" t="str">
        <f>TEXT(Table1[[#This Row],[Date]],"MMMM")</f>
        <v>March</v>
      </c>
      <c r="C1951" t="str">
        <f>TEXT(Table1[[#This Row],[Date]],"DDDD")</f>
        <v>Sunday</v>
      </c>
      <c r="D1951" t="s">
        <v>35</v>
      </c>
      <c r="E1951" t="s">
        <v>36</v>
      </c>
      <c r="F1951" t="s">
        <v>29</v>
      </c>
      <c r="G1951" t="s">
        <v>30</v>
      </c>
      <c r="H1951" t="s">
        <v>50</v>
      </c>
      <c r="I1951" t="s">
        <v>51</v>
      </c>
      <c r="J1951" s="3">
        <v>300000</v>
      </c>
      <c r="K1951">
        <v>6</v>
      </c>
      <c r="L1951" t="s">
        <v>65</v>
      </c>
      <c r="M1951" s="3">
        <v>240000</v>
      </c>
      <c r="N1951" s="3">
        <f>Table1[[#This Row],[Unit Price]]*Table1[[#This Row],[Quantity]]</f>
        <v>1800000</v>
      </c>
      <c r="O1951" s="3">
        <f>Table1[[#This Row],[Cost Price]]*Table1[[#This Row],[Quantity]]</f>
        <v>1440000</v>
      </c>
      <c r="P1951" s="3">
        <f>Table1[[#This Row],[Revenue]]-Table1[[#This Row],[COGS]]</f>
        <v>360000</v>
      </c>
      <c r="Q1951" s="1">
        <v>1950</v>
      </c>
    </row>
    <row r="1952" spans="1:17">
      <c r="A1952" t="s">
        <v>122</v>
      </c>
      <c r="B1952" t="str">
        <f>TEXT(Table1[[#This Row],[Date]],"MMMM")</f>
        <v>March</v>
      </c>
      <c r="C1952" t="str">
        <f>TEXT(Table1[[#This Row],[Date]],"DDDD")</f>
        <v>Thursday</v>
      </c>
      <c r="D1952" t="s">
        <v>27</v>
      </c>
      <c r="E1952" t="s">
        <v>28</v>
      </c>
      <c r="F1952" t="s">
        <v>29</v>
      </c>
      <c r="G1952" t="s">
        <v>37</v>
      </c>
      <c r="H1952" t="s">
        <v>50</v>
      </c>
      <c r="I1952" t="s">
        <v>51</v>
      </c>
      <c r="J1952" s="3">
        <v>300000</v>
      </c>
      <c r="K1952">
        <v>10</v>
      </c>
      <c r="L1952" t="s">
        <v>42</v>
      </c>
      <c r="M1952" s="3">
        <v>240000</v>
      </c>
      <c r="N1952" s="3">
        <f>Table1[[#This Row],[Unit Price]]*Table1[[#This Row],[Quantity]]</f>
        <v>3000000</v>
      </c>
      <c r="O1952" s="3">
        <f>Table1[[#This Row],[Cost Price]]*Table1[[#This Row],[Quantity]]</f>
        <v>2400000</v>
      </c>
      <c r="P1952" s="3">
        <f>Table1[[#This Row],[Revenue]]-Table1[[#This Row],[COGS]]</f>
        <v>600000</v>
      </c>
      <c r="Q1952" s="1">
        <v>1951</v>
      </c>
    </row>
    <row r="1953" spans="1:17">
      <c r="A1953" t="s">
        <v>81</v>
      </c>
      <c r="B1953" t="str">
        <f>TEXT(Table1[[#This Row],[Date]],"MMMM")</f>
        <v>March</v>
      </c>
      <c r="C1953" t="str">
        <f>TEXT(Table1[[#This Row],[Date]],"DDDD")</f>
        <v>Sunday</v>
      </c>
      <c r="D1953" t="s">
        <v>35</v>
      </c>
      <c r="E1953" t="s">
        <v>36</v>
      </c>
      <c r="F1953" t="s">
        <v>41</v>
      </c>
      <c r="G1953" t="s">
        <v>30</v>
      </c>
      <c r="H1953" t="s">
        <v>54</v>
      </c>
      <c r="I1953" t="s">
        <v>39</v>
      </c>
      <c r="J1953" s="3">
        <v>180000</v>
      </c>
      <c r="K1953">
        <v>1</v>
      </c>
      <c r="L1953" t="s">
        <v>47</v>
      </c>
      <c r="M1953" s="3">
        <v>144000</v>
      </c>
      <c r="N1953" s="3">
        <f>Table1[[#This Row],[Unit Price]]*Table1[[#This Row],[Quantity]]</f>
        <v>180000</v>
      </c>
      <c r="O1953" s="3">
        <f>Table1[[#This Row],[Cost Price]]*Table1[[#This Row],[Quantity]]</f>
        <v>144000</v>
      </c>
      <c r="P1953" s="3">
        <f>Table1[[#This Row],[Revenue]]-Table1[[#This Row],[COGS]]</f>
        <v>36000</v>
      </c>
      <c r="Q1953" s="1">
        <v>1952</v>
      </c>
    </row>
    <row r="1954" spans="1:17">
      <c r="A1954" t="s">
        <v>146</v>
      </c>
      <c r="B1954" t="str">
        <f>TEXT(Table1[[#This Row],[Date]],"MMMM")</f>
        <v>January</v>
      </c>
      <c r="C1954" t="str">
        <f>TEXT(Table1[[#This Row],[Date]],"DDDD")</f>
        <v>Tuesday</v>
      </c>
      <c r="D1954" t="s">
        <v>44</v>
      </c>
      <c r="E1954" t="s">
        <v>53</v>
      </c>
      <c r="F1954" t="s">
        <v>29</v>
      </c>
      <c r="G1954" t="s">
        <v>30</v>
      </c>
      <c r="H1954" t="s">
        <v>62</v>
      </c>
      <c r="I1954" t="s">
        <v>51</v>
      </c>
      <c r="J1954" s="3">
        <v>150000</v>
      </c>
      <c r="K1954">
        <v>7</v>
      </c>
      <c r="L1954" t="s">
        <v>65</v>
      </c>
      <c r="M1954" s="3">
        <v>120000</v>
      </c>
      <c r="N1954" s="3">
        <f>Table1[[#This Row],[Unit Price]]*Table1[[#This Row],[Quantity]]</f>
        <v>1050000</v>
      </c>
      <c r="O1954" s="3">
        <f>Table1[[#This Row],[Cost Price]]*Table1[[#This Row],[Quantity]]</f>
        <v>840000</v>
      </c>
      <c r="P1954" s="3">
        <f>Table1[[#This Row],[Revenue]]-Table1[[#This Row],[COGS]]</f>
        <v>210000</v>
      </c>
      <c r="Q1954" s="1">
        <v>1953</v>
      </c>
    </row>
    <row r="1955" spans="1:17">
      <c r="A1955" t="s">
        <v>104</v>
      </c>
      <c r="B1955" t="str">
        <f>TEXT(Table1[[#This Row],[Date]],"MMMM")</f>
        <v>March</v>
      </c>
      <c r="C1955" t="str">
        <f>TEXT(Table1[[#This Row],[Date]],"DDDD")</f>
        <v>Friday</v>
      </c>
      <c r="D1955" t="s">
        <v>49</v>
      </c>
      <c r="E1955" t="s">
        <v>28</v>
      </c>
      <c r="F1955" t="s">
        <v>29</v>
      </c>
      <c r="G1955" t="s">
        <v>30</v>
      </c>
      <c r="H1955" t="s">
        <v>73</v>
      </c>
      <c r="I1955" t="s">
        <v>39</v>
      </c>
      <c r="J1955" s="3">
        <v>220000</v>
      </c>
      <c r="K1955">
        <v>5</v>
      </c>
      <c r="L1955" t="s">
        <v>42</v>
      </c>
      <c r="M1955" s="3">
        <v>176000</v>
      </c>
      <c r="N1955" s="3">
        <f>Table1[[#This Row],[Unit Price]]*Table1[[#This Row],[Quantity]]</f>
        <v>1100000</v>
      </c>
      <c r="O1955" s="3">
        <f>Table1[[#This Row],[Cost Price]]*Table1[[#This Row],[Quantity]]</f>
        <v>880000</v>
      </c>
      <c r="P1955" s="3">
        <f>Table1[[#This Row],[Revenue]]-Table1[[#This Row],[COGS]]</f>
        <v>220000</v>
      </c>
      <c r="Q1955" s="1">
        <v>1954</v>
      </c>
    </row>
    <row r="1956" spans="1:17">
      <c r="A1956" t="s">
        <v>136</v>
      </c>
      <c r="B1956" t="str">
        <f>TEXT(Table1[[#This Row],[Date]],"MMMM")</f>
        <v>February</v>
      </c>
      <c r="C1956" t="str">
        <f>TEXT(Table1[[#This Row],[Date]],"DDDD")</f>
        <v>Saturday</v>
      </c>
      <c r="D1956" t="s">
        <v>35</v>
      </c>
      <c r="E1956" t="s">
        <v>28</v>
      </c>
      <c r="F1956" t="s">
        <v>29</v>
      </c>
      <c r="G1956" t="s">
        <v>30</v>
      </c>
      <c r="H1956" t="s">
        <v>67</v>
      </c>
      <c r="I1956" t="s">
        <v>51</v>
      </c>
      <c r="J1956" s="3">
        <v>420000</v>
      </c>
      <c r="K1956">
        <v>2</v>
      </c>
      <c r="L1956" t="s">
        <v>65</v>
      </c>
      <c r="M1956" s="3">
        <v>336000</v>
      </c>
      <c r="N1956" s="3">
        <f>Table1[[#This Row],[Unit Price]]*Table1[[#This Row],[Quantity]]</f>
        <v>840000</v>
      </c>
      <c r="O1956" s="3">
        <f>Table1[[#This Row],[Cost Price]]*Table1[[#This Row],[Quantity]]</f>
        <v>672000</v>
      </c>
      <c r="P1956" s="3">
        <f>Table1[[#This Row],[Revenue]]-Table1[[#This Row],[COGS]]</f>
        <v>168000</v>
      </c>
      <c r="Q1956" s="1">
        <v>1955</v>
      </c>
    </row>
    <row r="1957" spans="1:17">
      <c r="A1957" t="s">
        <v>176</v>
      </c>
      <c r="B1957" t="str">
        <f>TEXT(Table1[[#This Row],[Date]],"MMMM")</f>
        <v>January</v>
      </c>
      <c r="C1957" t="str">
        <f>TEXT(Table1[[#This Row],[Date]],"DDDD")</f>
        <v>Saturday</v>
      </c>
      <c r="D1957" t="s">
        <v>27</v>
      </c>
      <c r="E1957" t="s">
        <v>45</v>
      </c>
      <c r="F1957" t="s">
        <v>29</v>
      </c>
      <c r="G1957" t="s">
        <v>30</v>
      </c>
      <c r="H1957" t="s">
        <v>54</v>
      </c>
      <c r="I1957" t="s">
        <v>39</v>
      </c>
      <c r="J1957" s="3">
        <v>180000</v>
      </c>
      <c r="K1957">
        <v>9</v>
      </c>
      <c r="L1957" t="s">
        <v>58</v>
      </c>
      <c r="M1957" s="3">
        <v>144000</v>
      </c>
      <c r="N1957" s="3">
        <f>Table1[[#This Row],[Unit Price]]*Table1[[#This Row],[Quantity]]</f>
        <v>1620000</v>
      </c>
      <c r="O1957" s="3">
        <f>Table1[[#This Row],[Cost Price]]*Table1[[#This Row],[Quantity]]</f>
        <v>1296000</v>
      </c>
      <c r="P1957" s="3">
        <f>Table1[[#This Row],[Revenue]]-Table1[[#This Row],[COGS]]</f>
        <v>324000</v>
      </c>
      <c r="Q1957" s="1">
        <v>1956</v>
      </c>
    </row>
    <row r="1958" spans="1:17">
      <c r="A1958" t="s">
        <v>83</v>
      </c>
      <c r="B1958" t="str">
        <f>TEXT(Table1[[#This Row],[Date]],"MMMM")</f>
        <v>January</v>
      </c>
      <c r="C1958" t="str">
        <f>TEXT(Table1[[#This Row],[Date]],"DDDD")</f>
        <v>Tuesday</v>
      </c>
      <c r="D1958" t="s">
        <v>49</v>
      </c>
      <c r="E1958" t="s">
        <v>53</v>
      </c>
      <c r="F1958" t="s">
        <v>29</v>
      </c>
      <c r="G1958" t="s">
        <v>30</v>
      </c>
      <c r="H1958" t="s">
        <v>73</v>
      </c>
      <c r="I1958" t="s">
        <v>39</v>
      </c>
      <c r="J1958" s="3">
        <v>220000</v>
      </c>
      <c r="K1958">
        <v>5</v>
      </c>
      <c r="L1958" t="s">
        <v>58</v>
      </c>
      <c r="M1958" s="3">
        <v>176000</v>
      </c>
      <c r="N1958" s="3">
        <f>Table1[[#This Row],[Unit Price]]*Table1[[#This Row],[Quantity]]</f>
        <v>1100000</v>
      </c>
      <c r="O1958" s="3">
        <f>Table1[[#This Row],[Cost Price]]*Table1[[#This Row],[Quantity]]</f>
        <v>880000</v>
      </c>
      <c r="P1958" s="3">
        <f>Table1[[#This Row],[Revenue]]-Table1[[#This Row],[COGS]]</f>
        <v>220000</v>
      </c>
      <c r="Q1958" s="1">
        <v>1957</v>
      </c>
    </row>
    <row r="1959" spans="1:17">
      <c r="A1959" t="s">
        <v>168</v>
      </c>
      <c r="B1959" t="str">
        <f>TEXT(Table1[[#This Row],[Date]],"MMMM")</f>
        <v>April</v>
      </c>
      <c r="C1959" t="str">
        <f>TEXT(Table1[[#This Row],[Date]],"DDDD")</f>
        <v>Wednesday</v>
      </c>
      <c r="D1959" t="s">
        <v>49</v>
      </c>
      <c r="E1959" t="s">
        <v>45</v>
      </c>
      <c r="F1959" t="s">
        <v>29</v>
      </c>
      <c r="G1959" t="s">
        <v>30</v>
      </c>
      <c r="H1959" t="s">
        <v>54</v>
      </c>
      <c r="I1959" t="s">
        <v>39</v>
      </c>
      <c r="J1959" s="3">
        <v>180000</v>
      </c>
      <c r="K1959">
        <v>1</v>
      </c>
      <c r="L1959" t="s">
        <v>69</v>
      </c>
      <c r="M1959" s="3">
        <v>144000</v>
      </c>
      <c r="N1959" s="3">
        <f>Table1[[#This Row],[Unit Price]]*Table1[[#This Row],[Quantity]]</f>
        <v>180000</v>
      </c>
      <c r="O1959" s="3">
        <f>Table1[[#This Row],[Cost Price]]*Table1[[#This Row],[Quantity]]</f>
        <v>144000</v>
      </c>
      <c r="P1959" s="3">
        <f>Table1[[#This Row],[Revenue]]-Table1[[#This Row],[COGS]]</f>
        <v>36000</v>
      </c>
      <c r="Q1959" s="1">
        <v>1958</v>
      </c>
    </row>
    <row r="1960" spans="1:17">
      <c r="A1960" t="s">
        <v>108</v>
      </c>
      <c r="B1960" t="str">
        <f>TEXT(Table1[[#This Row],[Date]],"MMMM")</f>
        <v>April</v>
      </c>
      <c r="C1960" t="str">
        <f>TEXT(Table1[[#This Row],[Date]],"DDDD")</f>
        <v>Thursday</v>
      </c>
      <c r="D1960" t="s">
        <v>35</v>
      </c>
      <c r="E1960" t="s">
        <v>45</v>
      </c>
      <c r="F1960" t="s">
        <v>41</v>
      </c>
      <c r="G1960" t="s">
        <v>37</v>
      </c>
      <c r="H1960" t="s">
        <v>46</v>
      </c>
      <c r="I1960" t="s">
        <v>39</v>
      </c>
      <c r="J1960" s="3">
        <v>60000</v>
      </c>
      <c r="K1960">
        <v>2</v>
      </c>
      <c r="L1960" t="s">
        <v>69</v>
      </c>
      <c r="M1960" s="3">
        <v>48000</v>
      </c>
      <c r="N1960" s="3">
        <f>Table1[[#This Row],[Unit Price]]*Table1[[#This Row],[Quantity]]</f>
        <v>120000</v>
      </c>
      <c r="O1960" s="3">
        <f>Table1[[#This Row],[Cost Price]]*Table1[[#This Row],[Quantity]]</f>
        <v>96000</v>
      </c>
      <c r="P1960" s="3">
        <f>Table1[[#This Row],[Revenue]]-Table1[[#This Row],[COGS]]</f>
        <v>24000</v>
      </c>
      <c r="Q1960" s="1">
        <v>1959</v>
      </c>
    </row>
    <row r="1961" spans="1:17">
      <c r="A1961" t="s">
        <v>153</v>
      </c>
      <c r="B1961" t="str">
        <f>TEXT(Table1[[#This Row],[Date]],"MMMM")</f>
        <v>March</v>
      </c>
      <c r="C1961" t="str">
        <f>TEXT(Table1[[#This Row],[Date]],"DDDD")</f>
        <v>Tuesday</v>
      </c>
      <c r="D1961" t="s">
        <v>49</v>
      </c>
      <c r="E1961" t="s">
        <v>45</v>
      </c>
      <c r="F1961" t="s">
        <v>29</v>
      </c>
      <c r="G1961" t="s">
        <v>30</v>
      </c>
      <c r="H1961" t="s">
        <v>50</v>
      </c>
      <c r="I1961" t="s">
        <v>51</v>
      </c>
      <c r="J1961" s="3">
        <v>300000</v>
      </c>
      <c r="K1961">
        <v>5</v>
      </c>
      <c r="L1961" t="s">
        <v>42</v>
      </c>
      <c r="M1961" s="3">
        <v>240000</v>
      </c>
      <c r="N1961" s="3">
        <f>Table1[[#This Row],[Unit Price]]*Table1[[#This Row],[Quantity]]</f>
        <v>1500000</v>
      </c>
      <c r="O1961" s="3">
        <f>Table1[[#This Row],[Cost Price]]*Table1[[#This Row],[Quantity]]</f>
        <v>1200000</v>
      </c>
      <c r="P1961" s="3">
        <f>Table1[[#This Row],[Revenue]]-Table1[[#This Row],[COGS]]</f>
        <v>300000</v>
      </c>
      <c r="Q1961" s="1">
        <v>1960</v>
      </c>
    </row>
    <row r="1962" spans="1:17">
      <c r="A1962" t="s">
        <v>98</v>
      </c>
      <c r="B1962" t="str">
        <f>TEXT(Table1[[#This Row],[Date]],"MMMM")</f>
        <v>January</v>
      </c>
      <c r="C1962" t="str">
        <f>TEXT(Table1[[#This Row],[Date]],"DDDD")</f>
        <v>Friday</v>
      </c>
      <c r="D1962" t="s">
        <v>49</v>
      </c>
      <c r="E1962" t="s">
        <v>45</v>
      </c>
      <c r="F1962" t="s">
        <v>29</v>
      </c>
      <c r="G1962" t="s">
        <v>37</v>
      </c>
      <c r="H1962" t="s">
        <v>50</v>
      </c>
      <c r="I1962" t="s">
        <v>51</v>
      </c>
      <c r="J1962" s="3">
        <v>300000</v>
      </c>
      <c r="K1962">
        <v>9</v>
      </c>
      <c r="L1962" t="s">
        <v>65</v>
      </c>
      <c r="M1962" s="3">
        <v>240000</v>
      </c>
      <c r="N1962" s="3">
        <f>Table1[[#This Row],[Unit Price]]*Table1[[#This Row],[Quantity]]</f>
        <v>2700000</v>
      </c>
      <c r="O1962" s="3">
        <f>Table1[[#This Row],[Cost Price]]*Table1[[#This Row],[Quantity]]</f>
        <v>2160000</v>
      </c>
      <c r="P1962" s="3">
        <f>Table1[[#This Row],[Revenue]]-Table1[[#This Row],[COGS]]</f>
        <v>540000</v>
      </c>
      <c r="Q1962" s="1">
        <v>1961</v>
      </c>
    </row>
    <row r="1963" spans="1:17">
      <c r="A1963" t="s">
        <v>87</v>
      </c>
      <c r="B1963" t="str">
        <f>TEXT(Table1[[#This Row],[Date]],"MMMM")</f>
        <v>March</v>
      </c>
      <c r="C1963" t="str">
        <f>TEXT(Table1[[#This Row],[Date]],"DDDD")</f>
        <v>Thursday</v>
      </c>
      <c r="D1963" t="s">
        <v>44</v>
      </c>
      <c r="E1963" t="s">
        <v>53</v>
      </c>
      <c r="F1963" t="s">
        <v>29</v>
      </c>
      <c r="G1963" t="s">
        <v>30</v>
      </c>
      <c r="H1963" t="s">
        <v>73</v>
      </c>
      <c r="I1963" t="s">
        <v>39</v>
      </c>
      <c r="J1963" s="3">
        <v>220000</v>
      </c>
      <c r="K1963">
        <v>1</v>
      </c>
      <c r="L1963" t="s">
        <v>65</v>
      </c>
      <c r="M1963" s="3">
        <v>176000</v>
      </c>
      <c r="N1963" s="3">
        <f>Table1[[#This Row],[Unit Price]]*Table1[[#This Row],[Quantity]]</f>
        <v>220000</v>
      </c>
      <c r="O1963" s="3">
        <f>Table1[[#This Row],[Cost Price]]*Table1[[#This Row],[Quantity]]</f>
        <v>176000</v>
      </c>
      <c r="P1963" s="3">
        <f>Table1[[#This Row],[Revenue]]-Table1[[#This Row],[COGS]]</f>
        <v>44000</v>
      </c>
      <c r="Q1963" s="1">
        <v>1962</v>
      </c>
    </row>
    <row r="1964" spans="1:17">
      <c r="A1964" t="s">
        <v>122</v>
      </c>
      <c r="B1964" t="str">
        <f>TEXT(Table1[[#This Row],[Date]],"MMMM")</f>
        <v>March</v>
      </c>
      <c r="C1964" t="str">
        <f>TEXT(Table1[[#This Row],[Date]],"DDDD")</f>
        <v>Thursday</v>
      </c>
      <c r="D1964" t="s">
        <v>27</v>
      </c>
      <c r="E1964" t="s">
        <v>53</v>
      </c>
      <c r="F1964" t="s">
        <v>41</v>
      </c>
      <c r="G1964" t="s">
        <v>37</v>
      </c>
      <c r="H1964" t="s">
        <v>38</v>
      </c>
      <c r="I1964" t="s">
        <v>39</v>
      </c>
      <c r="J1964" s="3">
        <v>30000</v>
      </c>
      <c r="K1964">
        <v>5</v>
      </c>
      <c r="L1964" t="s">
        <v>65</v>
      </c>
      <c r="M1964" s="3">
        <v>24000</v>
      </c>
      <c r="N1964" s="3">
        <f>Table1[[#This Row],[Unit Price]]*Table1[[#This Row],[Quantity]]</f>
        <v>150000</v>
      </c>
      <c r="O1964" s="3">
        <f>Table1[[#This Row],[Cost Price]]*Table1[[#This Row],[Quantity]]</f>
        <v>120000</v>
      </c>
      <c r="P1964" s="3">
        <f>Table1[[#This Row],[Revenue]]-Table1[[#This Row],[COGS]]</f>
        <v>30000</v>
      </c>
      <c r="Q1964" s="1">
        <v>1963</v>
      </c>
    </row>
    <row r="1965" spans="1:17">
      <c r="A1965" t="s">
        <v>109</v>
      </c>
      <c r="B1965" t="str">
        <f>TEXT(Table1[[#This Row],[Date]],"MMMM")</f>
        <v>March</v>
      </c>
      <c r="C1965" t="str">
        <f>TEXT(Table1[[#This Row],[Date]],"DDDD")</f>
        <v>Monday</v>
      </c>
      <c r="D1965" t="s">
        <v>44</v>
      </c>
      <c r="E1965" t="s">
        <v>28</v>
      </c>
      <c r="F1965" t="s">
        <v>41</v>
      </c>
      <c r="G1965" t="s">
        <v>30</v>
      </c>
      <c r="H1965" t="s">
        <v>54</v>
      </c>
      <c r="I1965" t="s">
        <v>39</v>
      </c>
      <c r="J1965" s="3">
        <v>180000</v>
      </c>
      <c r="K1965">
        <v>1</v>
      </c>
      <c r="L1965" t="s">
        <v>33</v>
      </c>
      <c r="M1965" s="3">
        <v>144000</v>
      </c>
      <c r="N1965" s="3">
        <f>Table1[[#This Row],[Unit Price]]*Table1[[#This Row],[Quantity]]</f>
        <v>180000</v>
      </c>
      <c r="O1965" s="3">
        <f>Table1[[#This Row],[Cost Price]]*Table1[[#This Row],[Quantity]]</f>
        <v>144000</v>
      </c>
      <c r="P1965" s="3">
        <f>Table1[[#This Row],[Revenue]]-Table1[[#This Row],[COGS]]</f>
        <v>36000</v>
      </c>
      <c r="Q1965" s="1">
        <v>1964</v>
      </c>
    </row>
    <row r="1966" spans="1:17">
      <c r="A1966" t="s">
        <v>121</v>
      </c>
      <c r="B1966" t="str">
        <f>TEXT(Table1[[#This Row],[Date]],"MMMM")</f>
        <v>April</v>
      </c>
      <c r="C1966" t="str">
        <f>TEXT(Table1[[#This Row],[Date]],"DDDD")</f>
        <v>Wednesday</v>
      </c>
      <c r="D1966" t="s">
        <v>49</v>
      </c>
      <c r="E1966" t="s">
        <v>45</v>
      </c>
      <c r="F1966" t="s">
        <v>29</v>
      </c>
      <c r="G1966" t="s">
        <v>30</v>
      </c>
      <c r="H1966" t="s">
        <v>50</v>
      </c>
      <c r="I1966" t="s">
        <v>51</v>
      </c>
      <c r="J1966" s="3">
        <v>300000</v>
      </c>
      <c r="K1966">
        <v>6</v>
      </c>
      <c r="L1966" t="s">
        <v>65</v>
      </c>
      <c r="M1966" s="3">
        <v>240000</v>
      </c>
      <c r="N1966" s="3">
        <f>Table1[[#This Row],[Unit Price]]*Table1[[#This Row],[Quantity]]</f>
        <v>1800000</v>
      </c>
      <c r="O1966" s="3">
        <f>Table1[[#This Row],[Cost Price]]*Table1[[#This Row],[Quantity]]</f>
        <v>1440000</v>
      </c>
      <c r="P1966" s="3">
        <f>Table1[[#This Row],[Revenue]]-Table1[[#This Row],[COGS]]</f>
        <v>360000</v>
      </c>
      <c r="Q1966" s="1">
        <v>1965</v>
      </c>
    </row>
    <row r="1967" spans="1:17">
      <c r="A1967" t="s">
        <v>84</v>
      </c>
      <c r="B1967" t="str">
        <f>TEXT(Table1[[#This Row],[Date]],"MMMM")</f>
        <v>January</v>
      </c>
      <c r="C1967" t="str">
        <f>TEXT(Table1[[#This Row],[Date]],"DDDD")</f>
        <v>Wednesday</v>
      </c>
      <c r="D1967" t="s">
        <v>27</v>
      </c>
      <c r="E1967" t="s">
        <v>45</v>
      </c>
      <c r="F1967" t="s">
        <v>29</v>
      </c>
      <c r="G1967" t="s">
        <v>37</v>
      </c>
      <c r="H1967" t="s">
        <v>73</v>
      </c>
      <c r="I1967" t="s">
        <v>39</v>
      </c>
      <c r="J1967" s="3">
        <v>220000</v>
      </c>
      <c r="K1967">
        <v>3</v>
      </c>
      <c r="L1967" t="s">
        <v>69</v>
      </c>
      <c r="M1967" s="3">
        <v>176000</v>
      </c>
      <c r="N1967" s="3">
        <f>Table1[[#This Row],[Unit Price]]*Table1[[#This Row],[Quantity]]</f>
        <v>660000</v>
      </c>
      <c r="O1967" s="3">
        <f>Table1[[#This Row],[Cost Price]]*Table1[[#This Row],[Quantity]]</f>
        <v>528000</v>
      </c>
      <c r="P1967" s="3">
        <f>Table1[[#This Row],[Revenue]]-Table1[[#This Row],[COGS]]</f>
        <v>132000</v>
      </c>
      <c r="Q1967" s="1">
        <v>1966</v>
      </c>
    </row>
    <row r="1968" spans="1:17">
      <c r="A1968" t="s">
        <v>143</v>
      </c>
      <c r="B1968" t="str">
        <f>TEXT(Table1[[#This Row],[Date]],"MMMM")</f>
        <v>April</v>
      </c>
      <c r="C1968" t="str">
        <f>TEXT(Table1[[#This Row],[Date]],"DDDD")</f>
        <v>Thursday</v>
      </c>
      <c r="D1968" t="s">
        <v>49</v>
      </c>
      <c r="E1968" t="s">
        <v>28</v>
      </c>
      <c r="F1968" t="s">
        <v>29</v>
      </c>
      <c r="G1968" t="s">
        <v>37</v>
      </c>
      <c r="H1968" t="s">
        <v>56</v>
      </c>
      <c r="I1968" t="s">
        <v>32</v>
      </c>
      <c r="J1968" s="3">
        <v>320000</v>
      </c>
      <c r="K1968">
        <v>5</v>
      </c>
      <c r="L1968" t="s">
        <v>58</v>
      </c>
      <c r="M1968" s="3">
        <v>256000</v>
      </c>
      <c r="N1968" s="3">
        <f>Table1[[#This Row],[Unit Price]]*Table1[[#This Row],[Quantity]]</f>
        <v>1600000</v>
      </c>
      <c r="O1968" s="3">
        <f>Table1[[#This Row],[Cost Price]]*Table1[[#This Row],[Quantity]]</f>
        <v>1280000</v>
      </c>
      <c r="P1968" s="3">
        <f>Table1[[#This Row],[Revenue]]-Table1[[#This Row],[COGS]]</f>
        <v>320000</v>
      </c>
      <c r="Q1968" s="1">
        <v>1967</v>
      </c>
    </row>
    <row r="1969" spans="1:17">
      <c r="A1969" t="s">
        <v>141</v>
      </c>
      <c r="B1969" t="str">
        <f>TEXT(Table1[[#This Row],[Date]],"MMMM")</f>
        <v>March</v>
      </c>
      <c r="C1969" t="str">
        <f>TEXT(Table1[[#This Row],[Date]],"DDDD")</f>
        <v>Sunday</v>
      </c>
      <c r="D1969" t="s">
        <v>44</v>
      </c>
      <c r="E1969" t="s">
        <v>45</v>
      </c>
      <c r="F1969" t="s">
        <v>29</v>
      </c>
      <c r="G1969" t="s">
        <v>30</v>
      </c>
      <c r="H1969" t="s">
        <v>62</v>
      </c>
      <c r="I1969" t="s">
        <v>51</v>
      </c>
      <c r="J1969" s="3">
        <v>150000</v>
      </c>
      <c r="K1969">
        <v>2</v>
      </c>
      <c r="L1969" t="s">
        <v>58</v>
      </c>
      <c r="M1969" s="3">
        <v>120000</v>
      </c>
      <c r="N1969" s="3">
        <f>Table1[[#This Row],[Unit Price]]*Table1[[#This Row],[Quantity]]</f>
        <v>300000</v>
      </c>
      <c r="O1969" s="3">
        <f>Table1[[#This Row],[Cost Price]]*Table1[[#This Row],[Quantity]]</f>
        <v>240000</v>
      </c>
      <c r="P1969" s="3">
        <f>Table1[[#This Row],[Revenue]]-Table1[[#This Row],[COGS]]</f>
        <v>60000</v>
      </c>
      <c r="Q1969" s="1">
        <v>1968</v>
      </c>
    </row>
    <row r="1970" spans="1:17">
      <c r="A1970" t="s">
        <v>90</v>
      </c>
      <c r="B1970" t="str">
        <f>TEXT(Table1[[#This Row],[Date]],"MMMM")</f>
        <v>February</v>
      </c>
      <c r="C1970" t="str">
        <f>TEXT(Table1[[#This Row],[Date]],"DDDD")</f>
        <v>Tuesday</v>
      </c>
      <c r="D1970" t="s">
        <v>27</v>
      </c>
      <c r="E1970" t="s">
        <v>28</v>
      </c>
      <c r="F1970" t="s">
        <v>29</v>
      </c>
      <c r="G1970" t="s">
        <v>30</v>
      </c>
      <c r="H1970" t="s">
        <v>54</v>
      </c>
      <c r="I1970" t="s">
        <v>39</v>
      </c>
      <c r="J1970" s="3">
        <v>180000</v>
      </c>
      <c r="K1970">
        <v>1</v>
      </c>
      <c r="L1970" t="s">
        <v>42</v>
      </c>
      <c r="M1970" s="3">
        <v>144000</v>
      </c>
      <c r="N1970" s="3">
        <f>Table1[[#This Row],[Unit Price]]*Table1[[#This Row],[Quantity]]</f>
        <v>180000</v>
      </c>
      <c r="O1970" s="3">
        <f>Table1[[#This Row],[Cost Price]]*Table1[[#This Row],[Quantity]]</f>
        <v>144000</v>
      </c>
      <c r="P1970" s="3">
        <f>Table1[[#This Row],[Revenue]]-Table1[[#This Row],[COGS]]</f>
        <v>36000</v>
      </c>
      <c r="Q1970" s="1">
        <v>1969</v>
      </c>
    </row>
    <row r="1971" spans="1:17">
      <c r="A1971" t="s">
        <v>140</v>
      </c>
      <c r="B1971" t="str">
        <f>TEXT(Table1[[#This Row],[Date]],"MMMM")</f>
        <v>April</v>
      </c>
      <c r="C1971" t="str">
        <f>TEXT(Table1[[#This Row],[Date]],"DDDD")</f>
        <v>Thursday</v>
      </c>
      <c r="D1971" t="s">
        <v>27</v>
      </c>
      <c r="E1971" t="s">
        <v>36</v>
      </c>
      <c r="F1971" t="s">
        <v>41</v>
      </c>
      <c r="G1971" t="s">
        <v>37</v>
      </c>
      <c r="H1971" t="s">
        <v>38</v>
      </c>
      <c r="I1971" t="s">
        <v>39</v>
      </c>
      <c r="J1971" s="3">
        <v>30000</v>
      </c>
      <c r="K1971">
        <v>10</v>
      </c>
      <c r="L1971" t="s">
        <v>65</v>
      </c>
      <c r="M1971" s="3">
        <v>24000</v>
      </c>
      <c r="N1971" s="3">
        <f>Table1[[#This Row],[Unit Price]]*Table1[[#This Row],[Quantity]]</f>
        <v>300000</v>
      </c>
      <c r="O1971" s="3">
        <f>Table1[[#This Row],[Cost Price]]*Table1[[#This Row],[Quantity]]</f>
        <v>240000</v>
      </c>
      <c r="P1971" s="3">
        <f>Table1[[#This Row],[Revenue]]-Table1[[#This Row],[COGS]]</f>
        <v>60000</v>
      </c>
      <c r="Q1971" s="1">
        <v>1970</v>
      </c>
    </row>
    <row r="1972" spans="1:17">
      <c r="A1972" t="s">
        <v>94</v>
      </c>
      <c r="B1972" t="str">
        <f>TEXT(Table1[[#This Row],[Date]],"MMMM")</f>
        <v>January</v>
      </c>
      <c r="C1972" t="str">
        <f>TEXT(Table1[[#This Row],[Date]],"DDDD")</f>
        <v>Friday</v>
      </c>
      <c r="D1972" t="s">
        <v>49</v>
      </c>
      <c r="E1972" t="s">
        <v>36</v>
      </c>
      <c r="F1972" t="s">
        <v>29</v>
      </c>
      <c r="G1972" t="s">
        <v>37</v>
      </c>
      <c r="H1972" t="s">
        <v>62</v>
      </c>
      <c r="I1972" t="s">
        <v>51</v>
      </c>
      <c r="J1972" s="3">
        <v>150000</v>
      </c>
      <c r="K1972">
        <v>4</v>
      </c>
      <c r="L1972" t="s">
        <v>42</v>
      </c>
      <c r="M1972" s="3">
        <v>120000</v>
      </c>
      <c r="N1972" s="3">
        <f>Table1[[#This Row],[Unit Price]]*Table1[[#This Row],[Quantity]]</f>
        <v>600000</v>
      </c>
      <c r="O1972" s="3">
        <f>Table1[[#This Row],[Cost Price]]*Table1[[#This Row],[Quantity]]</f>
        <v>480000</v>
      </c>
      <c r="P1972" s="3">
        <f>Table1[[#This Row],[Revenue]]-Table1[[#This Row],[COGS]]</f>
        <v>120000</v>
      </c>
      <c r="Q1972" s="1">
        <v>1971</v>
      </c>
    </row>
    <row r="1973" spans="1:17">
      <c r="A1973" t="s">
        <v>84</v>
      </c>
      <c r="B1973" t="str">
        <f>TEXT(Table1[[#This Row],[Date]],"MMMM")</f>
        <v>January</v>
      </c>
      <c r="C1973" t="str">
        <f>TEXT(Table1[[#This Row],[Date]],"DDDD")</f>
        <v>Wednesday</v>
      </c>
      <c r="D1973" t="s">
        <v>49</v>
      </c>
      <c r="E1973" t="s">
        <v>45</v>
      </c>
      <c r="F1973" t="s">
        <v>29</v>
      </c>
      <c r="G1973" t="s">
        <v>30</v>
      </c>
      <c r="H1973" t="s">
        <v>38</v>
      </c>
      <c r="I1973" t="s">
        <v>39</v>
      </c>
      <c r="J1973" s="3">
        <v>30000</v>
      </c>
      <c r="K1973">
        <v>1</v>
      </c>
      <c r="L1973" t="s">
        <v>42</v>
      </c>
      <c r="M1973" s="3">
        <v>24000</v>
      </c>
      <c r="N1973" s="3">
        <f>Table1[[#This Row],[Unit Price]]*Table1[[#This Row],[Quantity]]</f>
        <v>30000</v>
      </c>
      <c r="O1973" s="3">
        <f>Table1[[#This Row],[Cost Price]]*Table1[[#This Row],[Quantity]]</f>
        <v>24000</v>
      </c>
      <c r="P1973" s="3">
        <f>Table1[[#This Row],[Revenue]]-Table1[[#This Row],[COGS]]</f>
        <v>6000</v>
      </c>
      <c r="Q1973" s="1">
        <v>1972</v>
      </c>
    </row>
    <row r="1974" spans="1:17">
      <c r="A1974" t="s">
        <v>60</v>
      </c>
      <c r="B1974" t="str">
        <f>TEXT(Table1[[#This Row],[Date]],"MMMM")</f>
        <v>March</v>
      </c>
      <c r="C1974" t="str">
        <f>TEXT(Table1[[#This Row],[Date]],"DDDD")</f>
        <v>Wednesday</v>
      </c>
      <c r="D1974" t="s">
        <v>49</v>
      </c>
      <c r="E1974" t="s">
        <v>36</v>
      </c>
      <c r="F1974" t="s">
        <v>29</v>
      </c>
      <c r="G1974" t="s">
        <v>30</v>
      </c>
      <c r="H1974" t="s">
        <v>38</v>
      </c>
      <c r="I1974" t="s">
        <v>39</v>
      </c>
      <c r="J1974" s="3">
        <v>30000</v>
      </c>
      <c r="K1974">
        <v>6</v>
      </c>
      <c r="L1974" t="s">
        <v>58</v>
      </c>
      <c r="M1974" s="3">
        <v>24000</v>
      </c>
      <c r="N1974" s="3">
        <f>Table1[[#This Row],[Unit Price]]*Table1[[#This Row],[Quantity]]</f>
        <v>180000</v>
      </c>
      <c r="O1974" s="3">
        <f>Table1[[#This Row],[Cost Price]]*Table1[[#This Row],[Quantity]]</f>
        <v>144000</v>
      </c>
      <c r="P1974" s="3">
        <f>Table1[[#This Row],[Revenue]]-Table1[[#This Row],[COGS]]</f>
        <v>36000</v>
      </c>
      <c r="Q1974" s="1">
        <v>1973</v>
      </c>
    </row>
    <row r="1975" spans="1:17">
      <c r="A1975" t="s">
        <v>140</v>
      </c>
      <c r="B1975" t="str">
        <f>TEXT(Table1[[#This Row],[Date]],"MMMM")</f>
        <v>April</v>
      </c>
      <c r="C1975" t="str">
        <f>TEXT(Table1[[#This Row],[Date]],"DDDD")</f>
        <v>Thursday</v>
      </c>
      <c r="D1975" t="s">
        <v>44</v>
      </c>
      <c r="E1975" t="s">
        <v>28</v>
      </c>
      <c r="F1975" t="s">
        <v>41</v>
      </c>
      <c r="G1975" t="s">
        <v>30</v>
      </c>
      <c r="H1975" t="s">
        <v>54</v>
      </c>
      <c r="I1975" t="s">
        <v>39</v>
      </c>
      <c r="J1975" s="3">
        <v>180000</v>
      </c>
      <c r="K1975">
        <v>7</v>
      </c>
      <c r="L1975" t="s">
        <v>33</v>
      </c>
      <c r="M1975" s="3">
        <v>144000</v>
      </c>
      <c r="N1975" s="3">
        <f>Table1[[#This Row],[Unit Price]]*Table1[[#This Row],[Quantity]]</f>
        <v>1260000</v>
      </c>
      <c r="O1975" s="3">
        <f>Table1[[#This Row],[Cost Price]]*Table1[[#This Row],[Quantity]]</f>
        <v>1008000</v>
      </c>
      <c r="P1975" s="3">
        <f>Table1[[#This Row],[Revenue]]-Table1[[#This Row],[COGS]]</f>
        <v>252000</v>
      </c>
      <c r="Q1975" s="1">
        <v>1974</v>
      </c>
    </row>
    <row r="1976" spans="1:17">
      <c r="A1976" t="s">
        <v>139</v>
      </c>
      <c r="B1976" t="str">
        <f>TEXT(Table1[[#This Row],[Date]],"MMMM")</f>
        <v>January</v>
      </c>
      <c r="C1976" t="str">
        <f>TEXT(Table1[[#This Row],[Date]],"DDDD")</f>
        <v>Monday</v>
      </c>
      <c r="D1976" t="s">
        <v>44</v>
      </c>
      <c r="E1976" t="s">
        <v>53</v>
      </c>
      <c r="F1976" t="s">
        <v>29</v>
      </c>
      <c r="G1976" t="s">
        <v>30</v>
      </c>
      <c r="H1976" t="s">
        <v>46</v>
      </c>
      <c r="I1976" t="s">
        <v>39</v>
      </c>
      <c r="J1976" s="3">
        <v>60000</v>
      </c>
      <c r="K1976">
        <v>8</v>
      </c>
      <c r="L1976" t="s">
        <v>69</v>
      </c>
      <c r="M1976" s="3">
        <v>48000</v>
      </c>
      <c r="N1976" s="3">
        <f>Table1[[#This Row],[Unit Price]]*Table1[[#This Row],[Quantity]]</f>
        <v>480000</v>
      </c>
      <c r="O1976" s="3">
        <f>Table1[[#This Row],[Cost Price]]*Table1[[#This Row],[Quantity]]</f>
        <v>384000</v>
      </c>
      <c r="P1976" s="3">
        <f>Table1[[#This Row],[Revenue]]-Table1[[#This Row],[COGS]]</f>
        <v>96000</v>
      </c>
      <c r="Q1976" s="1">
        <v>1975</v>
      </c>
    </row>
    <row r="1977" spans="1:17">
      <c r="A1977" t="s">
        <v>113</v>
      </c>
      <c r="B1977" t="str">
        <f>TEXT(Table1[[#This Row],[Date]],"MMMM")</f>
        <v>April</v>
      </c>
      <c r="C1977" t="str">
        <f>TEXT(Table1[[#This Row],[Date]],"DDDD")</f>
        <v>Monday</v>
      </c>
      <c r="D1977" t="s">
        <v>44</v>
      </c>
      <c r="E1977" t="s">
        <v>36</v>
      </c>
      <c r="F1977" t="s">
        <v>29</v>
      </c>
      <c r="G1977" t="s">
        <v>30</v>
      </c>
      <c r="H1977" t="s">
        <v>46</v>
      </c>
      <c r="I1977" t="s">
        <v>39</v>
      </c>
      <c r="J1977" s="3">
        <v>60000</v>
      </c>
      <c r="K1977">
        <v>2</v>
      </c>
      <c r="L1977" t="s">
        <v>65</v>
      </c>
      <c r="M1977" s="3">
        <v>48000</v>
      </c>
      <c r="N1977" s="3">
        <f>Table1[[#This Row],[Unit Price]]*Table1[[#This Row],[Quantity]]</f>
        <v>120000</v>
      </c>
      <c r="O1977" s="3">
        <f>Table1[[#This Row],[Cost Price]]*Table1[[#This Row],[Quantity]]</f>
        <v>96000</v>
      </c>
      <c r="P1977" s="3">
        <f>Table1[[#This Row],[Revenue]]-Table1[[#This Row],[COGS]]</f>
        <v>24000</v>
      </c>
      <c r="Q1977" s="1">
        <v>1976</v>
      </c>
    </row>
    <row r="1978" spans="1:17">
      <c r="A1978" t="s">
        <v>112</v>
      </c>
      <c r="B1978" t="str">
        <f>TEXT(Table1[[#This Row],[Date]],"MMMM")</f>
        <v>February</v>
      </c>
      <c r="C1978" t="str">
        <f>TEXT(Table1[[#This Row],[Date]],"DDDD")</f>
        <v>Monday</v>
      </c>
      <c r="D1978" t="s">
        <v>44</v>
      </c>
      <c r="E1978" t="s">
        <v>45</v>
      </c>
      <c r="F1978" t="s">
        <v>29</v>
      </c>
      <c r="G1978" t="s">
        <v>37</v>
      </c>
      <c r="H1978" t="s">
        <v>31</v>
      </c>
      <c r="I1978" t="s">
        <v>32</v>
      </c>
      <c r="J1978" s="3">
        <v>85000</v>
      </c>
      <c r="K1978">
        <v>1</v>
      </c>
      <c r="L1978" t="s">
        <v>58</v>
      </c>
      <c r="M1978" s="3">
        <v>68000</v>
      </c>
      <c r="N1978" s="3">
        <f>Table1[[#This Row],[Unit Price]]*Table1[[#This Row],[Quantity]]</f>
        <v>85000</v>
      </c>
      <c r="O1978" s="3">
        <f>Table1[[#This Row],[Cost Price]]*Table1[[#This Row],[Quantity]]</f>
        <v>68000</v>
      </c>
      <c r="P1978" s="3">
        <f>Table1[[#This Row],[Revenue]]-Table1[[#This Row],[COGS]]</f>
        <v>17000</v>
      </c>
      <c r="Q1978" s="1">
        <v>1977</v>
      </c>
    </row>
    <row r="1979" spans="1:17">
      <c r="A1979" t="s">
        <v>143</v>
      </c>
      <c r="B1979" t="str">
        <f>TEXT(Table1[[#This Row],[Date]],"MMMM")</f>
        <v>April</v>
      </c>
      <c r="C1979" t="str">
        <f>TEXT(Table1[[#This Row],[Date]],"DDDD")</f>
        <v>Thursday</v>
      </c>
      <c r="D1979" t="s">
        <v>49</v>
      </c>
      <c r="E1979" t="s">
        <v>45</v>
      </c>
      <c r="F1979" t="s">
        <v>41</v>
      </c>
      <c r="G1979" t="s">
        <v>30</v>
      </c>
      <c r="H1979" t="s">
        <v>38</v>
      </c>
      <c r="I1979" t="s">
        <v>39</v>
      </c>
      <c r="J1979" s="3">
        <v>30000</v>
      </c>
      <c r="K1979">
        <v>8</v>
      </c>
      <c r="L1979" t="s">
        <v>65</v>
      </c>
      <c r="M1979" s="3">
        <v>24000</v>
      </c>
      <c r="N1979" s="3">
        <f>Table1[[#This Row],[Unit Price]]*Table1[[#This Row],[Quantity]]</f>
        <v>240000</v>
      </c>
      <c r="O1979" s="3">
        <f>Table1[[#This Row],[Cost Price]]*Table1[[#This Row],[Quantity]]</f>
        <v>192000</v>
      </c>
      <c r="P1979" s="3">
        <f>Table1[[#This Row],[Revenue]]-Table1[[#This Row],[COGS]]</f>
        <v>48000</v>
      </c>
      <c r="Q1979" s="1">
        <v>1978</v>
      </c>
    </row>
    <row r="1980" spans="1:17">
      <c r="A1980" t="s">
        <v>174</v>
      </c>
      <c r="B1980" t="str">
        <f>TEXT(Table1[[#This Row],[Date]],"MMMM")</f>
        <v>February</v>
      </c>
      <c r="C1980" t="str">
        <f>TEXT(Table1[[#This Row],[Date]],"DDDD")</f>
        <v>Friday</v>
      </c>
      <c r="D1980" t="s">
        <v>49</v>
      </c>
      <c r="E1980" t="s">
        <v>53</v>
      </c>
      <c r="F1980" t="s">
        <v>29</v>
      </c>
      <c r="G1980" t="s">
        <v>37</v>
      </c>
      <c r="H1980" t="s">
        <v>46</v>
      </c>
      <c r="I1980" t="s">
        <v>39</v>
      </c>
      <c r="J1980" s="3">
        <v>60000</v>
      </c>
      <c r="K1980">
        <v>10</v>
      </c>
      <c r="L1980" t="s">
        <v>65</v>
      </c>
      <c r="M1980" s="3">
        <v>48000</v>
      </c>
      <c r="N1980" s="3">
        <f>Table1[[#This Row],[Unit Price]]*Table1[[#This Row],[Quantity]]</f>
        <v>600000</v>
      </c>
      <c r="O1980" s="3">
        <f>Table1[[#This Row],[Cost Price]]*Table1[[#This Row],[Quantity]]</f>
        <v>480000</v>
      </c>
      <c r="P1980" s="3">
        <f>Table1[[#This Row],[Revenue]]-Table1[[#This Row],[COGS]]</f>
        <v>120000</v>
      </c>
      <c r="Q1980" s="1">
        <v>1979</v>
      </c>
    </row>
    <row r="1981" spans="1:17">
      <c r="A1981" t="s">
        <v>77</v>
      </c>
      <c r="B1981" t="str">
        <f>TEXT(Table1[[#This Row],[Date]],"MMMM")</f>
        <v>April</v>
      </c>
      <c r="C1981" t="str">
        <f>TEXT(Table1[[#This Row],[Date]],"DDDD")</f>
        <v>Friday</v>
      </c>
      <c r="D1981" t="s">
        <v>27</v>
      </c>
      <c r="E1981" t="s">
        <v>28</v>
      </c>
      <c r="F1981" t="s">
        <v>41</v>
      </c>
      <c r="G1981" t="s">
        <v>37</v>
      </c>
      <c r="H1981" t="s">
        <v>62</v>
      </c>
      <c r="I1981" t="s">
        <v>51</v>
      </c>
      <c r="J1981" s="3">
        <v>150000</v>
      </c>
      <c r="K1981">
        <v>1</v>
      </c>
      <c r="L1981" t="s">
        <v>33</v>
      </c>
      <c r="M1981" s="3">
        <v>120000</v>
      </c>
      <c r="N1981" s="3">
        <f>Table1[[#This Row],[Unit Price]]*Table1[[#This Row],[Quantity]]</f>
        <v>150000</v>
      </c>
      <c r="O1981" s="3">
        <f>Table1[[#This Row],[Cost Price]]*Table1[[#This Row],[Quantity]]</f>
        <v>120000</v>
      </c>
      <c r="P1981" s="3">
        <f>Table1[[#This Row],[Revenue]]-Table1[[#This Row],[COGS]]</f>
        <v>30000</v>
      </c>
      <c r="Q1981" s="1">
        <v>1980</v>
      </c>
    </row>
    <row r="1982" spans="1:17">
      <c r="A1982" t="s">
        <v>109</v>
      </c>
      <c r="B1982" t="str">
        <f>TEXT(Table1[[#This Row],[Date]],"MMMM")</f>
        <v>March</v>
      </c>
      <c r="C1982" t="str">
        <f>TEXT(Table1[[#This Row],[Date]],"DDDD")</f>
        <v>Monday</v>
      </c>
      <c r="D1982" t="s">
        <v>44</v>
      </c>
      <c r="E1982" t="s">
        <v>28</v>
      </c>
      <c r="F1982" t="s">
        <v>41</v>
      </c>
      <c r="G1982" t="s">
        <v>37</v>
      </c>
      <c r="H1982" t="s">
        <v>46</v>
      </c>
      <c r="I1982" t="s">
        <v>39</v>
      </c>
      <c r="J1982" s="3">
        <v>60000</v>
      </c>
      <c r="K1982">
        <v>9</v>
      </c>
      <c r="L1982" t="s">
        <v>69</v>
      </c>
      <c r="M1982" s="3">
        <v>48000</v>
      </c>
      <c r="N1982" s="3">
        <f>Table1[[#This Row],[Unit Price]]*Table1[[#This Row],[Quantity]]</f>
        <v>540000</v>
      </c>
      <c r="O1982" s="3">
        <f>Table1[[#This Row],[Cost Price]]*Table1[[#This Row],[Quantity]]</f>
        <v>432000</v>
      </c>
      <c r="P1982" s="3">
        <f>Table1[[#This Row],[Revenue]]-Table1[[#This Row],[COGS]]</f>
        <v>108000</v>
      </c>
      <c r="Q1982" s="1">
        <v>1981</v>
      </c>
    </row>
    <row r="1983" spans="1:17">
      <c r="A1983" t="s">
        <v>70</v>
      </c>
      <c r="B1983" t="str">
        <f>TEXT(Table1[[#This Row],[Date]],"MMMM")</f>
        <v>April</v>
      </c>
      <c r="C1983" t="str">
        <f>TEXT(Table1[[#This Row],[Date]],"DDDD")</f>
        <v>Friday</v>
      </c>
      <c r="D1983" t="s">
        <v>49</v>
      </c>
      <c r="E1983" t="s">
        <v>53</v>
      </c>
      <c r="F1983" t="s">
        <v>29</v>
      </c>
      <c r="G1983" t="s">
        <v>30</v>
      </c>
      <c r="H1983" t="s">
        <v>46</v>
      </c>
      <c r="I1983" t="s">
        <v>39</v>
      </c>
      <c r="J1983" s="3">
        <v>60000</v>
      </c>
      <c r="K1983">
        <v>5</v>
      </c>
      <c r="L1983" t="s">
        <v>69</v>
      </c>
      <c r="M1983" s="3">
        <v>48000</v>
      </c>
      <c r="N1983" s="3">
        <f>Table1[[#This Row],[Unit Price]]*Table1[[#This Row],[Quantity]]</f>
        <v>300000</v>
      </c>
      <c r="O1983" s="3">
        <f>Table1[[#This Row],[Cost Price]]*Table1[[#This Row],[Quantity]]</f>
        <v>240000</v>
      </c>
      <c r="P1983" s="3">
        <f>Table1[[#This Row],[Revenue]]-Table1[[#This Row],[COGS]]</f>
        <v>60000</v>
      </c>
      <c r="Q1983" s="1">
        <v>1982</v>
      </c>
    </row>
    <row r="1984" spans="1:17">
      <c r="A1984" t="s">
        <v>163</v>
      </c>
      <c r="B1984" t="str">
        <f>TEXT(Table1[[#This Row],[Date]],"MMMM")</f>
        <v>April</v>
      </c>
      <c r="C1984" t="str">
        <f>TEXT(Table1[[#This Row],[Date]],"DDDD")</f>
        <v>Tuesday</v>
      </c>
      <c r="D1984" t="s">
        <v>35</v>
      </c>
      <c r="E1984" t="s">
        <v>28</v>
      </c>
      <c r="F1984" t="s">
        <v>29</v>
      </c>
      <c r="G1984" t="s">
        <v>37</v>
      </c>
      <c r="H1984" t="s">
        <v>73</v>
      </c>
      <c r="I1984" t="s">
        <v>39</v>
      </c>
      <c r="J1984" s="3">
        <v>220000</v>
      </c>
      <c r="K1984">
        <v>8</v>
      </c>
      <c r="L1984" t="s">
        <v>33</v>
      </c>
      <c r="M1984" s="3">
        <v>176000</v>
      </c>
      <c r="N1984" s="3">
        <f>Table1[[#This Row],[Unit Price]]*Table1[[#This Row],[Quantity]]</f>
        <v>1760000</v>
      </c>
      <c r="O1984" s="3">
        <f>Table1[[#This Row],[Cost Price]]*Table1[[#This Row],[Quantity]]</f>
        <v>1408000</v>
      </c>
      <c r="P1984" s="3">
        <f>Table1[[#This Row],[Revenue]]-Table1[[#This Row],[COGS]]</f>
        <v>352000</v>
      </c>
      <c r="Q1984" s="1">
        <v>1983</v>
      </c>
    </row>
    <row r="1985" spans="1:17">
      <c r="A1985" t="s">
        <v>90</v>
      </c>
      <c r="B1985" t="str">
        <f>TEXT(Table1[[#This Row],[Date]],"MMMM")</f>
        <v>February</v>
      </c>
      <c r="C1985" t="str">
        <f>TEXT(Table1[[#This Row],[Date]],"DDDD")</f>
        <v>Tuesday</v>
      </c>
      <c r="D1985" t="s">
        <v>27</v>
      </c>
      <c r="E1985" t="s">
        <v>28</v>
      </c>
      <c r="F1985" t="s">
        <v>29</v>
      </c>
      <c r="G1985" t="s">
        <v>37</v>
      </c>
      <c r="H1985" t="s">
        <v>31</v>
      </c>
      <c r="I1985" t="s">
        <v>32</v>
      </c>
      <c r="J1985" s="3">
        <v>85000</v>
      </c>
      <c r="K1985">
        <v>2</v>
      </c>
      <c r="L1985" t="s">
        <v>65</v>
      </c>
      <c r="M1985" s="3">
        <v>68000</v>
      </c>
      <c r="N1985" s="3">
        <f>Table1[[#This Row],[Unit Price]]*Table1[[#This Row],[Quantity]]</f>
        <v>170000</v>
      </c>
      <c r="O1985" s="3">
        <f>Table1[[#This Row],[Cost Price]]*Table1[[#This Row],[Quantity]]</f>
        <v>136000</v>
      </c>
      <c r="P1985" s="3">
        <f>Table1[[#This Row],[Revenue]]-Table1[[#This Row],[COGS]]</f>
        <v>34000</v>
      </c>
      <c r="Q1985" s="1">
        <v>1984</v>
      </c>
    </row>
    <row r="1986" spans="1:17">
      <c r="A1986" t="s">
        <v>48</v>
      </c>
      <c r="B1986" t="str">
        <f>TEXT(Table1[[#This Row],[Date]],"MMMM")</f>
        <v>April</v>
      </c>
      <c r="C1986" t="str">
        <f>TEXT(Table1[[#This Row],[Date]],"DDDD")</f>
        <v>Sunday</v>
      </c>
      <c r="D1986" t="s">
        <v>44</v>
      </c>
      <c r="E1986" t="s">
        <v>53</v>
      </c>
      <c r="F1986" t="s">
        <v>29</v>
      </c>
      <c r="G1986" t="s">
        <v>37</v>
      </c>
      <c r="H1986" t="s">
        <v>56</v>
      </c>
      <c r="I1986" t="s">
        <v>32</v>
      </c>
      <c r="J1986" s="3">
        <v>320000</v>
      </c>
      <c r="K1986">
        <v>7</v>
      </c>
      <c r="L1986" t="s">
        <v>65</v>
      </c>
      <c r="M1986" s="3">
        <v>256000</v>
      </c>
      <c r="N1986" s="3">
        <f>Table1[[#This Row],[Unit Price]]*Table1[[#This Row],[Quantity]]</f>
        <v>2240000</v>
      </c>
      <c r="O1986" s="3">
        <f>Table1[[#This Row],[Cost Price]]*Table1[[#This Row],[Quantity]]</f>
        <v>1792000</v>
      </c>
      <c r="P1986" s="3">
        <f>Table1[[#This Row],[Revenue]]-Table1[[#This Row],[COGS]]</f>
        <v>448000</v>
      </c>
      <c r="Q1986" s="1">
        <v>1985</v>
      </c>
    </row>
    <row r="1987" spans="1:17">
      <c r="A1987" t="s">
        <v>74</v>
      </c>
      <c r="B1987" t="str">
        <f>TEXT(Table1[[#This Row],[Date]],"MMMM")</f>
        <v>February</v>
      </c>
      <c r="C1987" t="str">
        <f>TEXT(Table1[[#This Row],[Date]],"DDDD")</f>
        <v>Monday</v>
      </c>
      <c r="D1987" t="s">
        <v>44</v>
      </c>
      <c r="E1987" t="s">
        <v>53</v>
      </c>
      <c r="F1987" t="s">
        <v>29</v>
      </c>
      <c r="G1987" t="s">
        <v>30</v>
      </c>
      <c r="H1987" t="s">
        <v>71</v>
      </c>
      <c r="I1987" t="s">
        <v>51</v>
      </c>
      <c r="J1987" s="3">
        <v>250000</v>
      </c>
      <c r="K1987">
        <v>4</v>
      </c>
      <c r="L1987" t="s">
        <v>33</v>
      </c>
      <c r="M1987" s="3">
        <v>200000</v>
      </c>
      <c r="N1987" s="3">
        <f>Table1[[#This Row],[Unit Price]]*Table1[[#This Row],[Quantity]]</f>
        <v>1000000</v>
      </c>
      <c r="O1987" s="3">
        <f>Table1[[#This Row],[Cost Price]]*Table1[[#This Row],[Quantity]]</f>
        <v>800000</v>
      </c>
      <c r="P1987" s="3">
        <f>Table1[[#This Row],[Revenue]]-Table1[[#This Row],[COGS]]</f>
        <v>200000</v>
      </c>
      <c r="Q1987" s="1">
        <v>1986</v>
      </c>
    </row>
    <row r="1988" spans="1:17">
      <c r="A1988" t="s">
        <v>64</v>
      </c>
      <c r="B1988" t="str">
        <f>TEXT(Table1[[#This Row],[Date]],"MMMM")</f>
        <v>April</v>
      </c>
      <c r="C1988" t="str">
        <f>TEXT(Table1[[#This Row],[Date]],"DDDD")</f>
        <v>Saturday</v>
      </c>
      <c r="D1988" t="s">
        <v>35</v>
      </c>
      <c r="E1988" t="s">
        <v>28</v>
      </c>
      <c r="F1988" t="s">
        <v>41</v>
      </c>
      <c r="G1988" t="s">
        <v>37</v>
      </c>
      <c r="H1988" t="s">
        <v>62</v>
      </c>
      <c r="I1988" t="s">
        <v>51</v>
      </c>
      <c r="J1988" s="3">
        <v>150000</v>
      </c>
      <c r="K1988">
        <v>6</v>
      </c>
      <c r="L1988" t="s">
        <v>42</v>
      </c>
      <c r="M1988" s="3">
        <v>120000</v>
      </c>
      <c r="N1988" s="3">
        <f>Table1[[#This Row],[Unit Price]]*Table1[[#This Row],[Quantity]]</f>
        <v>900000</v>
      </c>
      <c r="O1988" s="3">
        <f>Table1[[#This Row],[Cost Price]]*Table1[[#This Row],[Quantity]]</f>
        <v>720000</v>
      </c>
      <c r="P1988" s="3">
        <f>Table1[[#This Row],[Revenue]]-Table1[[#This Row],[COGS]]</f>
        <v>180000</v>
      </c>
      <c r="Q1988" s="1">
        <v>1987</v>
      </c>
    </row>
    <row r="1989" spans="1:17">
      <c r="A1989" t="s">
        <v>172</v>
      </c>
      <c r="B1989" t="str">
        <f>TEXT(Table1[[#This Row],[Date]],"MMMM")</f>
        <v>March</v>
      </c>
      <c r="C1989" t="str">
        <f>TEXT(Table1[[#This Row],[Date]],"DDDD")</f>
        <v>Saturday</v>
      </c>
      <c r="D1989" t="s">
        <v>49</v>
      </c>
      <c r="E1989" t="s">
        <v>53</v>
      </c>
      <c r="F1989" t="s">
        <v>29</v>
      </c>
      <c r="G1989" t="s">
        <v>30</v>
      </c>
      <c r="H1989" t="s">
        <v>50</v>
      </c>
      <c r="I1989" t="s">
        <v>51</v>
      </c>
      <c r="J1989" s="3">
        <v>300000</v>
      </c>
      <c r="K1989">
        <v>8</v>
      </c>
      <c r="L1989" t="s">
        <v>42</v>
      </c>
      <c r="M1989" s="3">
        <v>240000</v>
      </c>
      <c r="N1989" s="3">
        <f>Table1[[#This Row],[Unit Price]]*Table1[[#This Row],[Quantity]]</f>
        <v>2400000</v>
      </c>
      <c r="O1989" s="3">
        <f>Table1[[#This Row],[Cost Price]]*Table1[[#This Row],[Quantity]]</f>
        <v>1920000</v>
      </c>
      <c r="P1989" s="3">
        <f>Table1[[#This Row],[Revenue]]-Table1[[#This Row],[COGS]]</f>
        <v>480000</v>
      </c>
      <c r="Q1989" s="1">
        <v>1988</v>
      </c>
    </row>
    <row r="1990" spans="1:17">
      <c r="A1990" t="s">
        <v>52</v>
      </c>
      <c r="B1990" t="str">
        <f>TEXT(Table1[[#This Row],[Date]],"MMMM")</f>
        <v>March</v>
      </c>
      <c r="C1990" t="str">
        <f>TEXT(Table1[[#This Row],[Date]],"DDDD")</f>
        <v>Saturday</v>
      </c>
      <c r="D1990" t="s">
        <v>27</v>
      </c>
      <c r="E1990" t="s">
        <v>36</v>
      </c>
      <c r="F1990" t="s">
        <v>29</v>
      </c>
      <c r="G1990" t="s">
        <v>37</v>
      </c>
      <c r="H1990" t="s">
        <v>50</v>
      </c>
      <c r="I1990" t="s">
        <v>51</v>
      </c>
      <c r="J1990" s="3">
        <v>300000</v>
      </c>
      <c r="K1990">
        <v>10</v>
      </c>
      <c r="L1990" t="s">
        <v>33</v>
      </c>
      <c r="M1990" s="3">
        <v>240000</v>
      </c>
      <c r="N1990" s="3">
        <f>Table1[[#This Row],[Unit Price]]*Table1[[#This Row],[Quantity]]</f>
        <v>3000000</v>
      </c>
      <c r="O1990" s="3">
        <f>Table1[[#This Row],[Cost Price]]*Table1[[#This Row],[Quantity]]</f>
        <v>2400000</v>
      </c>
      <c r="P1990" s="3">
        <f>Table1[[#This Row],[Revenue]]-Table1[[#This Row],[COGS]]</f>
        <v>600000</v>
      </c>
      <c r="Q1990" s="1">
        <v>1989</v>
      </c>
    </row>
    <row r="1991" spans="1:17">
      <c r="A1991" t="s">
        <v>70</v>
      </c>
      <c r="B1991" t="str">
        <f>TEXT(Table1[[#This Row],[Date]],"MMMM")</f>
        <v>April</v>
      </c>
      <c r="C1991" t="str">
        <f>TEXT(Table1[[#This Row],[Date]],"DDDD")</f>
        <v>Friday</v>
      </c>
      <c r="D1991" t="s">
        <v>49</v>
      </c>
      <c r="E1991" t="s">
        <v>45</v>
      </c>
      <c r="F1991" t="s">
        <v>41</v>
      </c>
      <c r="G1991" t="s">
        <v>37</v>
      </c>
      <c r="H1991" t="s">
        <v>56</v>
      </c>
      <c r="I1991" t="s">
        <v>32</v>
      </c>
      <c r="J1991" s="3">
        <v>320000</v>
      </c>
      <c r="K1991">
        <v>1</v>
      </c>
      <c r="L1991" t="s">
        <v>47</v>
      </c>
      <c r="M1991" s="3">
        <v>256000</v>
      </c>
      <c r="N1991" s="3">
        <f>Table1[[#This Row],[Unit Price]]*Table1[[#This Row],[Quantity]]</f>
        <v>320000</v>
      </c>
      <c r="O1991" s="3">
        <f>Table1[[#This Row],[Cost Price]]*Table1[[#This Row],[Quantity]]</f>
        <v>256000</v>
      </c>
      <c r="P1991" s="3">
        <f>Table1[[#This Row],[Revenue]]-Table1[[#This Row],[COGS]]</f>
        <v>64000</v>
      </c>
      <c r="Q1991" s="1">
        <v>1990</v>
      </c>
    </row>
    <row r="1992" spans="1:17">
      <c r="A1992" t="s">
        <v>140</v>
      </c>
      <c r="B1992" t="str">
        <f>TEXT(Table1[[#This Row],[Date]],"MMMM")</f>
        <v>April</v>
      </c>
      <c r="C1992" t="str">
        <f>TEXT(Table1[[#This Row],[Date]],"DDDD")</f>
        <v>Thursday</v>
      </c>
      <c r="D1992" t="s">
        <v>44</v>
      </c>
      <c r="E1992" t="s">
        <v>36</v>
      </c>
      <c r="F1992" t="s">
        <v>41</v>
      </c>
      <c r="G1992" t="s">
        <v>37</v>
      </c>
      <c r="H1992" t="s">
        <v>56</v>
      </c>
      <c r="I1992" t="s">
        <v>32</v>
      </c>
      <c r="J1992" s="3">
        <v>320000</v>
      </c>
      <c r="K1992">
        <v>3</v>
      </c>
      <c r="L1992" t="s">
        <v>47</v>
      </c>
      <c r="M1992" s="3">
        <v>256000</v>
      </c>
      <c r="N1992" s="3">
        <f>Table1[[#This Row],[Unit Price]]*Table1[[#This Row],[Quantity]]</f>
        <v>960000</v>
      </c>
      <c r="O1992" s="3">
        <f>Table1[[#This Row],[Cost Price]]*Table1[[#This Row],[Quantity]]</f>
        <v>768000</v>
      </c>
      <c r="P1992" s="3">
        <f>Table1[[#This Row],[Revenue]]-Table1[[#This Row],[COGS]]</f>
        <v>192000</v>
      </c>
      <c r="Q1992" s="1">
        <v>1991</v>
      </c>
    </row>
    <row r="1993" spans="1:17">
      <c r="A1993" t="s">
        <v>103</v>
      </c>
      <c r="B1993" t="str">
        <f>TEXT(Table1[[#This Row],[Date]],"MMMM")</f>
        <v>March</v>
      </c>
      <c r="C1993" t="str">
        <f>TEXT(Table1[[#This Row],[Date]],"DDDD")</f>
        <v>Wednesday</v>
      </c>
      <c r="D1993" t="s">
        <v>27</v>
      </c>
      <c r="E1993" t="s">
        <v>28</v>
      </c>
      <c r="F1993" t="s">
        <v>41</v>
      </c>
      <c r="G1993" t="s">
        <v>30</v>
      </c>
      <c r="H1993" t="s">
        <v>62</v>
      </c>
      <c r="I1993" t="s">
        <v>51</v>
      </c>
      <c r="J1993" s="3">
        <v>150000</v>
      </c>
      <c r="K1993">
        <v>6</v>
      </c>
      <c r="L1993" t="s">
        <v>58</v>
      </c>
      <c r="M1993" s="3">
        <v>120000</v>
      </c>
      <c r="N1993" s="3">
        <f>Table1[[#This Row],[Unit Price]]*Table1[[#This Row],[Quantity]]</f>
        <v>900000</v>
      </c>
      <c r="O1993" s="3">
        <f>Table1[[#This Row],[Cost Price]]*Table1[[#This Row],[Quantity]]</f>
        <v>720000</v>
      </c>
      <c r="P1993" s="3">
        <f>Table1[[#This Row],[Revenue]]-Table1[[#This Row],[COGS]]</f>
        <v>180000</v>
      </c>
      <c r="Q1993" s="1">
        <v>1992</v>
      </c>
    </row>
    <row r="1994" spans="1:17">
      <c r="A1994" t="s">
        <v>133</v>
      </c>
      <c r="B1994" t="str">
        <f>TEXT(Table1[[#This Row],[Date]],"MMMM")</f>
        <v>January</v>
      </c>
      <c r="C1994" t="str">
        <f>TEXT(Table1[[#This Row],[Date]],"DDDD")</f>
        <v>Wednesday</v>
      </c>
      <c r="D1994" t="s">
        <v>35</v>
      </c>
      <c r="E1994" t="s">
        <v>36</v>
      </c>
      <c r="F1994" t="s">
        <v>29</v>
      </c>
      <c r="G1994" t="s">
        <v>30</v>
      </c>
      <c r="H1994" t="s">
        <v>54</v>
      </c>
      <c r="I1994" t="s">
        <v>39</v>
      </c>
      <c r="J1994" s="3">
        <v>180000</v>
      </c>
      <c r="K1994">
        <v>9</v>
      </c>
      <c r="L1994" t="s">
        <v>69</v>
      </c>
      <c r="M1994" s="3">
        <v>144000</v>
      </c>
      <c r="N1994" s="3">
        <f>Table1[[#This Row],[Unit Price]]*Table1[[#This Row],[Quantity]]</f>
        <v>1620000</v>
      </c>
      <c r="O1994" s="3">
        <f>Table1[[#This Row],[Cost Price]]*Table1[[#This Row],[Quantity]]</f>
        <v>1296000</v>
      </c>
      <c r="P1994" s="3">
        <f>Table1[[#This Row],[Revenue]]-Table1[[#This Row],[COGS]]</f>
        <v>324000</v>
      </c>
      <c r="Q1994" s="1">
        <v>1993</v>
      </c>
    </row>
    <row r="1995" spans="1:17">
      <c r="A1995" t="s">
        <v>109</v>
      </c>
      <c r="B1995" t="str">
        <f>TEXT(Table1[[#This Row],[Date]],"MMMM")</f>
        <v>March</v>
      </c>
      <c r="C1995" t="str">
        <f>TEXT(Table1[[#This Row],[Date]],"DDDD")</f>
        <v>Monday</v>
      </c>
      <c r="D1995" t="s">
        <v>44</v>
      </c>
      <c r="E1995" t="s">
        <v>53</v>
      </c>
      <c r="F1995" t="s">
        <v>29</v>
      </c>
      <c r="G1995" t="s">
        <v>30</v>
      </c>
      <c r="H1995" t="s">
        <v>46</v>
      </c>
      <c r="I1995" t="s">
        <v>39</v>
      </c>
      <c r="J1995" s="3">
        <v>60000</v>
      </c>
      <c r="K1995">
        <v>2</v>
      </c>
      <c r="L1995" t="s">
        <v>58</v>
      </c>
      <c r="M1995" s="3">
        <v>48000</v>
      </c>
      <c r="N1995" s="3">
        <f>Table1[[#This Row],[Unit Price]]*Table1[[#This Row],[Quantity]]</f>
        <v>120000</v>
      </c>
      <c r="O1995" s="3">
        <f>Table1[[#This Row],[Cost Price]]*Table1[[#This Row],[Quantity]]</f>
        <v>96000</v>
      </c>
      <c r="P1995" s="3">
        <f>Table1[[#This Row],[Revenue]]-Table1[[#This Row],[COGS]]</f>
        <v>24000</v>
      </c>
      <c r="Q1995" s="1">
        <v>1994</v>
      </c>
    </row>
    <row r="1996" spans="1:17">
      <c r="A1996" t="s">
        <v>125</v>
      </c>
      <c r="B1996" t="str">
        <f>TEXT(Table1[[#This Row],[Date]],"MMMM")</f>
        <v>February</v>
      </c>
      <c r="C1996" t="str">
        <f>TEXT(Table1[[#This Row],[Date]],"DDDD")</f>
        <v>Tuesday</v>
      </c>
      <c r="D1996" t="s">
        <v>35</v>
      </c>
      <c r="E1996" t="s">
        <v>45</v>
      </c>
      <c r="F1996" t="s">
        <v>29</v>
      </c>
      <c r="G1996" t="s">
        <v>37</v>
      </c>
      <c r="H1996" t="s">
        <v>62</v>
      </c>
      <c r="I1996" t="s">
        <v>51</v>
      </c>
      <c r="J1996" s="3">
        <v>150000</v>
      </c>
      <c r="K1996">
        <v>5</v>
      </c>
      <c r="L1996" t="s">
        <v>58</v>
      </c>
      <c r="M1996" s="3">
        <v>120000</v>
      </c>
      <c r="N1996" s="3">
        <f>Table1[[#This Row],[Unit Price]]*Table1[[#This Row],[Quantity]]</f>
        <v>750000</v>
      </c>
      <c r="O1996" s="3">
        <f>Table1[[#This Row],[Cost Price]]*Table1[[#This Row],[Quantity]]</f>
        <v>600000</v>
      </c>
      <c r="P1996" s="3">
        <f>Table1[[#This Row],[Revenue]]-Table1[[#This Row],[COGS]]</f>
        <v>150000</v>
      </c>
      <c r="Q1996" s="1">
        <v>1995</v>
      </c>
    </row>
    <row r="1997" spans="1:17">
      <c r="A1997" t="s">
        <v>70</v>
      </c>
      <c r="B1997" t="str">
        <f>TEXT(Table1[[#This Row],[Date]],"MMMM")</f>
        <v>April</v>
      </c>
      <c r="C1997" t="str">
        <f>TEXT(Table1[[#This Row],[Date]],"DDDD")</f>
        <v>Friday</v>
      </c>
      <c r="D1997" t="s">
        <v>35</v>
      </c>
      <c r="E1997" t="s">
        <v>45</v>
      </c>
      <c r="F1997" t="s">
        <v>29</v>
      </c>
      <c r="G1997" t="s">
        <v>37</v>
      </c>
      <c r="H1997" t="s">
        <v>54</v>
      </c>
      <c r="I1997" t="s">
        <v>39</v>
      </c>
      <c r="J1997" s="3">
        <v>180000</v>
      </c>
      <c r="K1997">
        <v>10</v>
      </c>
      <c r="L1997" t="s">
        <v>58</v>
      </c>
      <c r="M1997" s="3">
        <v>144000</v>
      </c>
      <c r="N1997" s="3">
        <f>Table1[[#This Row],[Unit Price]]*Table1[[#This Row],[Quantity]]</f>
        <v>1800000</v>
      </c>
      <c r="O1997" s="3">
        <f>Table1[[#This Row],[Cost Price]]*Table1[[#This Row],[Quantity]]</f>
        <v>1440000</v>
      </c>
      <c r="P1997" s="3">
        <f>Table1[[#This Row],[Revenue]]-Table1[[#This Row],[COGS]]</f>
        <v>360000</v>
      </c>
      <c r="Q1997" s="1">
        <v>1996</v>
      </c>
    </row>
    <row r="1998" spans="1:17">
      <c r="A1998" t="s">
        <v>107</v>
      </c>
      <c r="B1998" t="str">
        <f>TEXT(Table1[[#This Row],[Date]],"MMMM")</f>
        <v>February</v>
      </c>
      <c r="C1998" t="str">
        <f>TEXT(Table1[[#This Row],[Date]],"DDDD")</f>
        <v>Wednesday</v>
      </c>
      <c r="D1998" t="s">
        <v>27</v>
      </c>
      <c r="E1998" t="s">
        <v>28</v>
      </c>
      <c r="F1998" t="s">
        <v>29</v>
      </c>
      <c r="G1998" t="s">
        <v>30</v>
      </c>
      <c r="H1998" t="s">
        <v>31</v>
      </c>
      <c r="I1998" t="s">
        <v>32</v>
      </c>
      <c r="J1998" s="3">
        <v>85000</v>
      </c>
      <c r="K1998">
        <v>7</v>
      </c>
      <c r="L1998" t="s">
        <v>65</v>
      </c>
      <c r="M1998" s="3">
        <v>68000</v>
      </c>
      <c r="N1998" s="3">
        <f>Table1[[#This Row],[Unit Price]]*Table1[[#This Row],[Quantity]]</f>
        <v>595000</v>
      </c>
      <c r="O1998" s="3">
        <f>Table1[[#This Row],[Cost Price]]*Table1[[#This Row],[Quantity]]</f>
        <v>476000</v>
      </c>
      <c r="P1998" s="3">
        <f>Table1[[#This Row],[Revenue]]-Table1[[#This Row],[COGS]]</f>
        <v>119000</v>
      </c>
      <c r="Q1998" s="1">
        <v>1997</v>
      </c>
    </row>
    <row r="1999" spans="1:17">
      <c r="A1999" t="s">
        <v>26</v>
      </c>
      <c r="B1999" t="str">
        <f>TEXT(Table1[[#This Row],[Date]],"MMMM")</f>
        <v>January</v>
      </c>
      <c r="C1999" t="str">
        <f>TEXT(Table1[[#This Row],[Date]],"DDDD")</f>
        <v>Sunday</v>
      </c>
      <c r="D1999" t="s">
        <v>35</v>
      </c>
      <c r="E1999" t="s">
        <v>53</v>
      </c>
      <c r="F1999" t="s">
        <v>41</v>
      </c>
      <c r="G1999" t="s">
        <v>37</v>
      </c>
      <c r="H1999" t="s">
        <v>67</v>
      </c>
      <c r="I1999" t="s">
        <v>51</v>
      </c>
      <c r="J1999" s="3">
        <v>420000</v>
      </c>
      <c r="K1999">
        <v>3</v>
      </c>
      <c r="L1999" t="s">
        <v>42</v>
      </c>
      <c r="M1999" s="3">
        <v>336000</v>
      </c>
      <c r="N1999" s="3">
        <f>Table1[[#This Row],[Unit Price]]*Table1[[#This Row],[Quantity]]</f>
        <v>1260000</v>
      </c>
      <c r="O1999" s="3">
        <f>Table1[[#This Row],[Cost Price]]*Table1[[#This Row],[Quantity]]</f>
        <v>1008000</v>
      </c>
      <c r="P1999" s="3">
        <f>Table1[[#This Row],[Revenue]]-Table1[[#This Row],[COGS]]</f>
        <v>252000</v>
      </c>
      <c r="Q1999" s="1">
        <v>1998</v>
      </c>
    </row>
    <row r="2000" spans="1:17">
      <c r="A2000" t="s">
        <v>141</v>
      </c>
      <c r="B2000" t="str">
        <f>TEXT(Table1[[#This Row],[Date]],"MMMM")</f>
        <v>March</v>
      </c>
      <c r="C2000" t="str">
        <f>TEXT(Table1[[#This Row],[Date]],"DDDD")</f>
        <v>Sunday</v>
      </c>
      <c r="D2000" t="s">
        <v>35</v>
      </c>
      <c r="E2000" t="s">
        <v>53</v>
      </c>
      <c r="F2000" t="s">
        <v>41</v>
      </c>
      <c r="G2000" t="s">
        <v>30</v>
      </c>
      <c r="H2000" t="s">
        <v>50</v>
      </c>
      <c r="I2000" t="s">
        <v>51</v>
      </c>
      <c r="J2000" s="3">
        <v>300000</v>
      </c>
      <c r="K2000">
        <v>2</v>
      </c>
      <c r="L2000" t="s">
        <v>65</v>
      </c>
      <c r="M2000" s="3">
        <v>240000</v>
      </c>
      <c r="N2000" s="3">
        <f>Table1[[#This Row],[Unit Price]]*Table1[[#This Row],[Quantity]]</f>
        <v>600000</v>
      </c>
      <c r="O2000" s="3">
        <f>Table1[[#This Row],[Cost Price]]*Table1[[#This Row],[Quantity]]</f>
        <v>480000</v>
      </c>
      <c r="P2000" s="3">
        <f>Table1[[#This Row],[Revenue]]-Table1[[#This Row],[COGS]]</f>
        <v>120000</v>
      </c>
      <c r="Q2000" s="1">
        <v>1999</v>
      </c>
    </row>
    <row r="2001" spans="1:17">
      <c r="A2001" t="s">
        <v>143</v>
      </c>
      <c r="B2001" t="str">
        <f>TEXT(Table1[[#This Row],[Date]],"MMMM")</f>
        <v>April</v>
      </c>
      <c r="C2001" t="str">
        <f>TEXT(Table1[[#This Row],[Date]],"DDDD")</f>
        <v>Thursday</v>
      </c>
      <c r="D2001" t="s">
        <v>35</v>
      </c>
      <c r="E2001" t="s">
        <v>36</v>
      </c>
      <c r="F2001" t="s">
        <v>41</v>
      </c>
      <c r="G2001" t="s">
        <v>30</v>
      </c>
      <c r="H2001" t="s">
        <v>71</v>
      </c>
      <c r="I2001" t="s">
        <v>51</v>
      </c>
      <c r="J2001" s="3">
        <v>250000</v>
      </c>
      <c r="K2001">
        <v>3</v>
      </c>
      <c r="L2001" t="s">
        <v>65</v>
      </c>
      <c r="M2001" s="3">
        <v>200000</v>
      </c>
      <c r="N2001" s="3">
        <f>Table1[[#This Row],[Unit Price]]*Table1[[#This Row],[Quantity]]</f>
        <v>750000</v>
      </c>
      <c r="O2001" s="3">
        <f>Table1[[#This Row],[Cost Price]]*Table1[[#This Row],[Quantity]]</f>
        <v>600000</v>
      </c>
      <c r="P2001" s="3">
        <f>Table1[[#This Row],[Revenue]]-Table1[[#This Row],[COGS]]</f>
        <v>150000</v>
      </c>
      <c r="Q2001" s="1">
        <v>2000</v>
      </c>
    </row>
    <row r="2002" spans="1:17">
      <c r="A2002" t="s">
        <v>156</v>
      </c>
      <c r="B2002" t="str">
        <f>TEXT(Table1[[#This Row],[Date]],"MMMM")</f>
        <v>February</v>
      </c>
      <c r="C2002" t="str">
        <f>TEXT(Table1[[#This Row],[Date]],"DDDD")</f>
        <v>Friday</v>
      </c>
      <c r="D2002" t="s">
        <v>35</v>
      </c>
      <c r="E2002" t="s">
        <v>28</v>
      </c>
      <c r="F2002" t="s">
        <v>29</v>
      </c>
      <c r="G2002" t="s">
        <v>37</v>
      </c>
      <c r="H2002" t="s">
        <v>62</v>
      </c>
      <c r="I2002" t="s">
        <v>51</v>
      </c>
      <c r="J2002" s="3">
        <v>150000</v>
      </c>
      <c r="K2002">
        <v>7</v>
      </c>
      <c r="L2002" t="s">
        <v>42</v>
      </c>
      <c r="M2002" s="3">
        <v>120000</v>
      </c>
      <c r="N2002" s="3">
        <f>Table1[[#This Row],[Unit Price]]*Table1[[#This Row],[Quantity]]</f>
        <v>1050000</v>
      </c>
      <c r="O2002" s="3">
        <f>Table1[[#This Row],[Cost Price]]*Table1[[#This Row],[Quantity]]</f>
        <v>840000</v>
      </c>
      <c r="P2002" s="3">
        <f>Table1[[#This Row],[Revenue]]-Table1[[#This Row],[COGS]]</f>
        <v>210000</v>
      </c>
      <c r="Q2002" s="1">
        <v>2001</v>
      </c>
    </row>
    <row r="2003" spans="1:17">
      <c r="A2003" t="s">
        <v>168</v>
      </c>
      <c r="B2003" t="str">
        <f>TEXT(Table1[[#This Row],[Date]],"MMMM")</f>
        <v>April</v>
      </c>
      <c r="C2003" t="str">
        <f>TEXT(Table1[[#This Row],[Date]],"DDDD")</f>
        <v>Wednesday</v>
      </c>
      <c r="D2003" t="s">
        <v>27</v>
      </c>
      <c r="E2003" t="s">
        <v>28</v>
      </c>
      <c r="F2003" t="s">
        <v>41</v>
      </c>
      <c r="G2003" t="s">
        <v>30</v>
      </c>
      <c r="H2003" t="s">
        <v>67</v>
      </c>
      <c r="I2003" t="s">
        <v>51</v>
      </c>
      <c r="J2003" s="3">
        <v>420000</v>
      </c>
      <c r="K2003">
        <v>7</v>
      </c>
      <c r="L2003" t="s">
        <v>58</v>
      </c>
      <c r="M2003" s="3">
        <v>336000</v>
      </c>
      <c r="N2003" s="3">
        <f>Table1[[#This Row],[Unit Price]]*Table1[[#This Row],[Quantity]]</f>
        <v>2940000</v>
      </c>
      <c r="O2003" s="3">
        <f>Table1[[#This Row],[Cost Price]]*Table1[[#This Row],[Quantity]]</f>
        <v>2352000</v>
      </c>
      <c r="P2003" s="3">
        <f>Table1[[#This Row],[Revenue]]-Table1[[#This Row],[COGS]]</f>
        <v>588000</v>
      </c>
      <c r="Q2003" s="1">
        <v>2002</v>
      </c>
    </row>
    <row r="2004" spans="1:17">
      <c r="A2004" t="s">
        <v>72</v>
      </c>
      <c r="B2004" t="str">
        <f>TEXT(Table1[[#This Row],[Date]],"MMMM")</f>
        <v>February</v>
      </c>
      <c r="C2004" t="str">
        <f>TEXT(Table1[[#This Row],[Date]],"DDDD")</f>
        <v>Wednesday</v>
      </c>
      <c r="D2004" t="s">
        <v>44</v>
      </c>
      <c r="E2004" t="s">
        <v>36</v>
      </c>
      <c r="F2004" t="s">
        <v>29</v>
      </c>
      <c r="G2004" t="s">
        <v>37</v>
      </c>
      <c r="H2004" t="s">
        <v>54</v>
      </c>
      <c r="I2004" t="s">
        <v>39</v>
      </c>
      <c r="J2004" s="3">
        <v>180000</v>
      </c>
      <c r="K2004">
        <v>7</v>
      </c>
      <c r="L2004" t="s">
        <v>47</v>
      </c>
      <c r="M2004" s="3">
        <v>144000</v>
      </c>
      <c r="N2004" s="3">
        <f>Table1[[#This Row],[Unit Price]]*Table1[[#This Row],[Quantity]]</f>
        <v>1260000</v>
      </c>
      <c r="O2004" s="3">
        <f>Table1[[#This Row],[Cost Price]]*Table1[[#This Row],[Quantity]]</f>
        <v>1008000</v>
      </c>
      <c r="P2004" s="3">
        <f>Table1[[#This Row],[Revenue]]-Table1[[#This Row],[COGS]]</f>
        <v>252000</v>
      </c>
      <c r="Q2004" s="1">
        <v>2003</v>
      </c>
    </row>
    <row r="2005" spans="1:17">
      <c r="A2005" t="s">
        <v>130</v>
      </c>
      <c r="B2005" t="str">
        <f>TEXT(Table1[[#This Row],[Date]],"MMMM")</f>
        <v>January</v>
      </c>
      <c r="C2005" t="str">
        <f>TEXT(Table1[[#This Row],[Date]],"DDDD")</f>
        <v>Monday</v>
      </c>
      <c r="D2005" t="s">
        <v>27</v>
      </c>
      <c r="E2005" t="s">
        <v>28</v>
      </c>
      <c r="F2005" t="s">
        <v>29</v>
      </c>
      <c r="G2005" t="s">
        <v>37</v>
      </c>
      <c r="H2005" t="s">
        <v>56</v>
      </c>
      <c r="I2005" t="s">
        <v>32</v>
      </c>
      <c r="J2005" s="3">
        <v>320000</v>
      </c>
      <c r="K2005">
        <v>2</v>
      </c>
      <c r="L2005" t="s">
        <v>69</v>
      </c>
      <c r="M2005" s="3">
        <v>256000</v>
      </c>
      <c r="N2005" s="3">
        <f>Table1[[#This Row],[Unit Price]]*Table1[[#This Row],[Quantity]]</f>
        <v>640000</v>
      </c>
      <c r="O2005" s="3">
        <f>Table1[[#This Row],[Cost Price]]*Table1[[#This Row],[Quantity]]</f>
        <v>512000</v>
      </c>
      <c r="P2005" s="3">
        <f>Table1[[#This Row],[Revenue]]-Table1[[#This Row],[COGS]]</f>
        <v>128000</v>
      </c>
      <c r="Q2005" s="1">
        <v>2004</v>
      </c>
    </row>
    <row r="2006" spans="1:17">
      <c r="A2006" t="s">
        <v>122</v>
      </c>
      <c r="B2006" t="str">
        <f>TEXT(Table1[[#This Row],[Date]],"MMMM")</f>
        <v>March</v>
      </c>
      <c r="C2006" t="str">
        <f>TEXT(Table1[[#This Row],[Date]],"DDDD")</f>
        <v>Thursday</v>
      </c>
      <c r="D2006" t="s">
        <v>49</v>
      </c>
      <c r="E2006" t="s">
        <v>28</v>
      </c>
      <c r="F2006" t="s">
        <v>41</v>
      </c>
      <c r="G2006" t="s">
        <v>37</v>
      </c>
      <c r="H2006" t="s">
        <v>56</v>
      </c>
      <c r="I2006" t="s">
        <v>32</v>
      </c>
      <c r="J2006" s="3">
        <v>320000</v>
      </c>
      <c r="K2006">
        <v>6</v>
      </c>
      <c r="L2006" t="s">
        <v>69</v>
      </c>
      <c r="M2006" s="3">
        <v>256000</v>
      </c>
      <c r="N2006" s="3">
        <f>Table1[[#This Row],[Unit Price]]*Table1[[#This Row],[Quantity]]</f>
        <v>1920000</v>
      </c>
      <c r="O2006" s="3">
        <f>Table1[[#This Row],[Cost Price]]*Table1[[#This Row],[Quantity]]</f>
        <v>1536000</v>
      </c>
      <c r="P2006" s="3">
        <f>Table1[[#This Row],[Revenue]]-Table1[[#This Row],[COGS]]</f>
        <v>384000</v>
      </c>
      <c r="Q2006" s="1">
        <v>2005</v>
      </c>
    </row>
    <row r="2007" spans="1:17">
      <c r="A2007" t="s">
        <v>128</v>
      </c>
      <c r="B2007" t="str">
        <f>TEXT(Table1[[#This Row],[Date]],"MMMM")</f>
        <v>March</v>
      </c>
      <c r="C2007" t="str">
        <f>TEXT(Table1[[#This Row],[Date]],"DDDD")</f>
        <v>Friday</v>
      </c>
      <c r="D2007" t="s">
        <v>35</v>
      </c>
      <c r="E2007" t="s">
        <v>45</v>
      </c>
      <c r="F2007" t="s">
        <v>41</v>
      </c>
      <c r="G2007" t="s">
        <v>30</v>
      </c>
      <c r="H2007" t="s">
        <v>38</v>
      </c>
      <c r="I2007" t="s">
        <v>39</v>
      </c>
      <c r="J2007" s="3">
        <v>30000</v>
      </c>
      <c r="K2007">
        <v>3</v>
      </c>
      <c r="L2007" t="s">
        <v>65</v>
      </c>
      <c r="M2007" s="3">
        <v>24000</v>
      </c>
      <c r="N2007" s="3">
        <f>Table1[[#This Row],[Unit Price]]*Table1[[#This Row],[Quantity]]</f>
        <v>90000</v>
      </c>
      <c r="O2007" s="3">
        <f>Table1[[#This Row],[Cost Price]]*Table1[[#This Row],[Quantity]]</f>
        <v>72000</v>
      </c>
      <c r="P2007" s="3">
        <f>Table1[[#This Row],[Revenue]]-Table1[[#This Row],[COGS]]</f>
        <v>18000</v>
      </c>
      <c r="Q2007" s="1">
        <v>2006</v>
      </c>
    </row>
    <row r="2008" spans="1:17">
      <c r="A2008" t="s">
        <v>127</v>
      </c>
      <c r="B2008" t="str">
        <f>TEXT(Table1[[#This Row],[Date]],"MMMM")</f>
        <v>January</v>
      </c>
      <c r="C2008" t="str">
        <f>TEXT(Table1[[#This Row],[Date]],"DDDD")</f>
        <v>Tuesday</v>
      </c>
      <c r="D2008" t="s">
        <v>49</v>
      </c>
      <c r="E2008" t="s">
        <v>28</v>
      </c>
      <c r="F2008" t="s">
        <v>29</v>
      </c>
      <c r="G2008" t="s">
        <v>30</v>
      </c>
      <c r="H2008" t="s">
        <v>67</v>
      </c>
      <c r="I2008" t="s">
        <v>51</v>
      </c>
      <c r="J2008" s="3">
        <v>420000</v>
      </c>
      <c r="K2008">
        <v>3</v>
      </c>
      <c r="L2008" t="s">
        <v>33</v>
      </c>
      <c r="M2008" s="3">
        <v>336000</v>
      </c>
      <c r="N2008" s="3">
        <f>Table1[[#This Row],[Unit Price]]*Table1[[#This Row],[Quantity]]</f>
        <v>1260000</v>
      </c>
      <c r="O2008" s="3">
        <f>Table1[[#This Row],[Cost Price]]*Table1[[#This Row],[Quantity]]</f>
        <v>1008000</v>
      </c>
      <c r="P2008" s="3">
        <f>Table1[[#This Row],[Revenue]]-Table1[[#This Row],[COGS]]</f>
        <v>252000</v>
      </c>
      <c r="Q2008" s="1">
        <v>2007</v>
      </c>
    </row>
    <row r="2009" spans="1:17">
      <c r="A2009" t="s">
        <v>142</v>
      </c>
      <c r="B2009" t="str">
        <f>TEXT(Table1[[#This Row],[Date]],"MMMM")</f>
        <v>April</v>
      </c>
      <c r="C2009" t="str">
        <f>TEXT(Table1[[#This Row],[Date]],"DDDD")</f>
        <v>Monday</v>
      </c>
      <c r="D2009" t="s">
        <v>44</v>
      </c>
      <c r="E2009" t="s">
        <v>36</v>
      </c>
      <c r="F2009" t="s">
        <v>29</v>
      </c>
      <c r="G2009" t="s">
        <v>37</v>
      </c>
      <c r="H2009" t="s">
        <v>38</v>
      </c>
      <c r="I2009" t="s">
        <v>39</v>
      </c>
      <c r="J2009" s="3">
        <v>30000</v>
      </c>
      <c r="K2009">
        <v>9</v>
      </c>
      <c r="L2009" t="s">
        <v>58</v>
      </c>
      <c r="M2009" s="3">
        <v>24000</v>
      </c>
      <c r="N2009" s="3">
        <f>Table1[[#This Row],[Unit Price]]*Table1[[#This Row],[Quantity]]</f>
        <v>270000</v>
      </c>
      <c r="O2009" s="3">
        <f>Table1[[#This Row],[Cost Price]]*Table1[[#This Row],[Quantity]]</f>
        <v>216000</v>
      </c>
      <c r="P2009" s="3">
        <f>Table1[[#This Row],[Revenue]]-Table1[[#This Row],[COGS]]</f>
        <v>54000</v>
      </c>
      <c r="Q2009" s="1">
        <v>2008</v>
      </c>
    </row>
    <row r="2010" spans="1:17">
      <c r="A2010" t="s">
        <v>93</v>
      </c>
      <c r="B2010" t="str">
        <f>TEXT(Table1[[#This Row],[Date]],"MMMM")</f>
        <v>April</v>
      </c>
      <c r="C2010" t="str">
        <f>TEXT(Table1[[#This Row],[Date]],"DDDD")</f>
        <v>Friday</v>
      </c>
      <c r="D2010" t="s">
        <v>35</v>
      </c>
      <c r="E2010" t="s">
        <v>28</v>
      </c>
      <c r="F2010" t="s">
        <v>41</v>
      </c>
      <c r="G2010" t="s">
        <v>37</v>
      </c>
      <c r="H2010" t="s">
        <v>56</v>
      </c>
      <c r="I2010" t="s">
        <v>32</v>
      </c>
      <c r="J2010" s="3">
        <v>320000</v>
      </c>
      <c r="K2010">
        <v>4</v>
      </c>
      <c r="L2010" t="s">
        <v>33</v>
      </c>
      <c r="M2010" s="3">
        <v>256000</v>
      </c>
      <c r="N2010" s="3">
        <f>Table1[[#This Row],[Unit Price]]*Table1[[#This Row],[Quantity]]</f>
        <v>1280000</v>
      </c>
      <c r="O2010" s="3">
        <f>Table1[[#This Row],[Cost Price]]*Table1[[#This Row],[Quantity]]</f>
        <v>1024000</v>
      </c>
      <c r="P2010" s="3">
        <f>Table1[[#This Row],[Revenue]]-Table1[[#This Row],[COGS]]</f>
        <v>256000</v>
      </c>
      <c r="Q2010" s="1">
        <v>2009</v>
      </c>
    </row>
    <row r="2011" spans="1:17">
      <c r="A2011" t="s">
        <v>143</v>
      </c>
      <c r="B2011" t="str">
        <f>TEXT(Table1[[#This Row],[Date]],"MMMM")</f>
        <v>April</v>
      </c>
      <c r="C2011" t="str">
        <f>TEXT(Table1[[#This Row],[Date]],"DDDD")</f>
        <v>Thursday</v>
      </c>
      <c r="D2011" t="s">
        <v>49</v>
      </c>
      <c r="E2011" t="s">
        <v>53</v>
      </c>
      <c r="F2011" t="s">
        <v>41</v>
      </c>
      <c r="G2011" t="s">
        <v>37</v>
      </c>
      <c r="H2011" t="s">
        <v>62</v>
      </c>
      <c r="I2011" t="s">
        <v>51</v>
      </c>
      <c r="J2011" s="3">
        <v>150000</v>
      </c>
      <c r="K2011">
        <v>5</v>
      </c>
      <c r="L2011" t="s">
        <v>42</v>
      </c>
      <c r="M2011" s="3">
        <v>120000</v>
      </c>
      <c r="N2011" s="3">
        <f>Table1[[#This Row],[Unit Price]]*Table1[[#This Row],[Quantity]]</f>
        <v>750000</v>
      </c>
      <c r="O2011" s="3">
        <f>Table1[[#This Row],[Cost Price]]*Table1[[#This Row],[Quantity]]</f>
        <v>600000</v>
      </c>
      <c r="P2011" s="3">
        <f>Table1[[#This Row],[Revenue]]-Table1[[#This Row],[COGS]]</f>
        <v>150000</v>
      </c>
      <c r="Q2011" s="1">
        <v>2010</v>
      </c>
    </row>
    <row r="2012" spans="1:17">
      <c r="A2012" t="s">
        <v>156</v>
      </c>
      <c r="B2012" t="str">
        <f>TEXT(Table1[[#This Row],[Date]],"MMMM")</f>
        <v>February</v>
      </c>
      <c r="C2012" t="str">
        <f>TEXT(Table1[[#This Row],[Date]],"DDDD")</f>
        <v>Friday</v>
      </c>
      <c r="D2012" t="s">
        <v>44</v>
      </c>
      <c r="E2012" t="s">
        <v>28</v>
      </c>
      <c r="F2012" t="s">
        <v>41</v>
      </c>
      <c r="G2012" t="s">
        <v>37</v>
      </c>
      <c r="H2012" t="s">
        <v>31</v>
      </c>
      <c r="I2012" t="s">
        <v>32</v>
      </c>
      <c r="J2012" s="3">
        <v>85000</v>
      </c>
      <c r="K2012">
        <v>8</v>
      </c>
      <c r="L2012" t="s">
        <v>58</v>
      </c>
      <c r="M2012" s="3">
        <v>68000</v>
      </c>
      <c r="N2012" s="3">
        <f>Table1[[#This Row],[Unit Price]]*Table1[[#This Row],[Quantity]]</f>
        <v>680000</v>
      </c>
      <c r="O2012" s="3">
        <f>Table1[[#This Row],[Cost Price]]*Table1[[#This Row],[Quantity]]</f>
        <v>544000</v>
      </c>
      <c r="P2012" s="3">
        <f>Table1[[#This Row],[Revenue]]-Table1[[#This Row],[COGS]]</f>
        <v>136000</v>
      </c>
      <c r="Q2012" s="1">
        <v>2011</v>
      </c>
    </row>
    <row r="2013" spans="1:17">
      <c r="A2013" t="s">
        <v>114</v>
      </c>
      <c r="B2013" t="str">
        <f>TEXT(Table1[[#This Row],[Date]],"MMMM")</f>
        <v>April</v>
      </c>
      <c r="C2013" t="str">
        <f>TEXT(Table1[[#This Row],[Date]],"DDDD")</f>
        <v>Sunday</v>
      </c>
      <c r="D2013" t="s">
        <v>49</v>
      </c>
      <c r="E2013" t="s">
        <v>53</v>
      </c>
      <c r="F2013" t="s">
        <v>29</v>
      </c>
      <c r="G2013" t="s">
        <v>37</v>
      </c>
      <c r="H2013" t="s">
        <v>46</v>
      </c>
      <c r="I2013" t="s">
        <v>39</v>
      </c>
      <c r="J2013" s="3">
        <v>60000</v>
      </c>
      <c r="K2013">
        <v>1</v>
      </c>
      <c r="L2013" t="s">
        <v>33</v>
      </c>
      <c r="M2013" s="3">
        <v>48000</v>
      </c>
      <c r="N2013" s="3">
        <f>Table1[[#This Row],[Unit Price]]*Table1[[#This Row],[Quantity]]</f>
        <v>60000</v>
      </c>
      <c r="O2013" s="3">
        <f>Table1[[#This Row],[Cost Price]]*Table1[[#This Row],[Quantity]]</f>
        <v>48000</v>
      </c>
      <c r="P2013" s="3">
        <f>Table1[[#This Row],[Revenue]]-Table1[[#This Row],[COGS]]</f>
        <v>12000</v>
      </c>
      <c r="Q2013" s="1">
        <v>2012</v>
      </c>
    </row>
    <row r="2014" spans="1:17">
      <c r="A2014" t="s">
        <v>109</v>
      </c>
      <c r="B2014" t="str">
        <f>TEXT(Table1[[#This Row],[Date]],"MMMM")</f>
        <v>March</v>
      </c>
      <c r="C2014" t="str">
        <f>TEXT(Table1[[#This Row],[Date]],"DDDD")</f>
        <v>Monday</v>
      </c>
      <c r="D2014" t="s">
        <v>44</v>
      </c>
      <c r="E2014" t="s">
        <v>36</v>
      </c>
      <c r="F2014" t="s">
        <v>29</v>
      </c>
      <c r="G2014" t="s">
        <v>30</v>
      </c>
      <c r="H2014" t="s">
        <v>73</v>
      </c>
      <c r="I2014" t="s">
        <v>39</v>
      </c>
      <c r="J2014" s="3">
        <v>220000</v>
      </c>
      <c r="K2014">
        <v>3</v>
      </c>
      <c r="L2014" t="s">
        <v>47</v>
      </c>
      <c r="M2014" s="3">
        <v>176000</v>
      </c>
      <c r="N2014" s="3">
        <f>Table1[[#This Row],[Unit Price]]*Table1[[#This Row],[Quantity]]</f>
        <v>660000</v>
      </c>
      <c r="O2014" s="3">
        <f>Table1[[#This Row],[Cost Price]]*Table1[[#This Row],[Quantity]]</f>
        <v>528000</v>
      </c>
      <c r="P2014" s="3">
        <f>Table1[[#This Row],[Revenue]]-Table1[[#This Row],[COGS]]</f>
        <v>132000</v>
      </c>
      <c r="Q2014" s="1">
        <v>2013</v>
      </c>
    </row>
    <row r="2015" spans="1:17">
      <c r="A2015" t="s">
        <v>125</v>
      </c>
      <c r="B2015" t="str">
        <f>TEXT(Table1[[#This Row],[Date]],"MMMM")</f>
        <v>February</v>
      </c>
      <c r="C2015" t="str">
        <f>TEXT(Table1[[#This Row],[Date]],"DDDD")</f>
        <v>Tuesday</v>
      </c>
      <c r="D2015" t="s">
        <v>27</v>
      </c>
      <c r="E2015" t="s">
        <v>53</v>
      </c>
      <c r="F2015" t="s">
        <v>41</v>
      </c>
      <c r="G2015" t="s">
        <v>30</v>
      </c>
      <c r="H2015" t="s">
        <v>54</v>
      </c>
      <c r="I2015" t="s">
        <v>39</v>
      </c>
      <c r="J2015" s="3">
        <v>180000</v>
      </c>
      <c r="K2015">
        <v>2</v>
      </c>
      <c r="L2015" t="s">
        <v>65</v>
      </c>
      <c r="M2015" s="3">
        <v>144000</v>
      </c>
      <c r="N2015" s="3">
        <f>Table1[[#This Row],[Unit Price]]*Table1[[#This Row],[Quantity]]</f>
        <v>360000</v>
      </c>
      <c r="O2015" s="3">
        <f>Table1[[#This Row],[Cost Price]]*Table1[[#This Row],[Quantity]]</f>
        <v>288000</v>
      </c>
      <c r="P2015" s="3">
        <f>Table1[[#This Row],[Revenue]]-Table1[[#This Row],[COGS]]</f>
        <v>72000</v>
      </c>
      <c r="Q2015" s="1">
        <v>2014</v>
      </c>
    </row>
    <row r="2016" spans="1:17">
      <c r="A2016" t="s">
        <v>68</v>
      </c>
      <c r="B2016" t="str">
        <f>TEXT(Table1[[#This Row],[Date]],"MMMM")</f>
        <v>March</v>
      </c>
      <c r="C2016" t="str">
        <f>TEXT(Table1[[#This Row],[Date]],"DDDD")</f>
        <v>Monday</v>
      </c>
      <c r="D2016" t="s">
        <v>44</v>
      </c>
      <c r="E2016" t="s">
        <v>28</v>
      </c>
      <c r="F2016" t="s">
        <v>41</v>
      </c>
      <c r="G2016" t="s">
        <v>30</v>
      </c>
      <c r="H2016" t="s">
        <v>71</v>
      </c>
      <c r="I2016" t="s">
        <v>51</v>
      </c>
      <c r="J2016" s="3">
        <v>250000</v>
      </c>
      <c r="K2016">
        <v>9</v>
      </c>
      <c r="L2016" t="s">
        <v>42</v>
      </c>
      <c r="M2016" s="3">
        <v>200000</v>
      </c>
      <c r="N2016" s="3">
        <f>Table1[[#This Row],[Unit Price]]*Table1[[#This Row],[Quantity]]</f>
        <v>2250000</v>
      </c>
      <c r="O2016" s="3">
        <f>Table1[[#This Row],[Cost Price]]*Table1[[#This Row],[Quantity]]</f>
        <v>1800000</v>
      </c>
      <c r="P2016" s="3">
        <f>Table1[[#This Row],[Revenue]]-Table1[[#This Row],[COGS]]</f>
        <v>450000</v>
      </c>
      <c r="Q2016" s="1">
        <v>2015</v>
      </c>
    </row>
    <row r="2017" spans="1:17">
      <c r="A2017" t="s">
        <v>163</v>
      </c>
      <c r="B2017" t="str">
        <f>TEXT(Table1[[#This Row],[Date]],"MMMM")</f>
        <v>April</v>
      </c>
      <c r="C2017" t="str">
        <f>TEXT(Table1[[#This Row],[Date]],"DDDD")</f>
        <v>Tuesday</v>
      </c>
      <c r="D2017" t="s">
        <v>27</v>
      </c>
      <c r="E2017" t="s">
        <v>28</v>
      </c>
      <c r="F2017" t="s">
        <v>41</v>
      </c>
      <c r="G2017" t="s">
        <v>30</v>
      </c>
      <c r="H2017" t="s">
        <v>50</v>
      </c>
      <c r="I2017" t="s">
        <v>51</v>
      </c>
      <c r="J2017" s="3">
        <v>300000</v>
      </c>
      <c r="K2017">
        <v>8</v>
      </c>
      <c r="L2017" t="s">
        <v>65</v>
      </c>
      <c r="M2017" s="3">
        <v>240000</v>
      </c>
      <c r="N2017" s="3">
        <f>Table1[[#This Row],[Unit Price]]*Table1[[#This Row],[Quantity]]</f>
        <v>2400000</v>
      </c>
      <c r="O2017" s="3">
        <f>Table1[[#This Row],[Cost Price]]*Table1[[#This Row],[Quantity]]</f>
        <v>1920000</v>
      </c>
      <c r="P2017" s="3">
        <f>Table1[[#This Row],[Revenue]]-Table1[[#This Row],[COGS]]</f>
        <v>480000</v>
      </c>
      <c r="Q2017" s="1">
        <v>2016</v>
      </c>
    </row>
    <row r="2018" spans="1:17">
      <c r="A2018" t="s">
        <v>123</v>
      </c>
      <c r="B2018" t="str">
        <f>TEXT(Table1[[#This Row],[Date]],"MMMM")</f>
        <v>April</v>
      </c>
      <c r="C2018" t="str">
        <f>TEXT(Table1[[#This Row],[Date]],"DDDD")</f>
        <v>Monday</v>
      </c>
      <c r="D2018" t="s">
        <v>27</v>
      </c>
      <c r="E2018" t="s">
        <v>36</v>
      </c>
      <c r="F2018" t="s">
        <v>29</v>
      </c>
      <c r="G2018" t="s">
        <v>30</v>
      </c>
      <c r="H2018" t="s">
        <v>62</v>
      </c>
      <c r="I2018" t="s">
        <v>51</v>
      </c>
      <c r="J2018" s="3">
        <v>150000</v>
      </c>
      <c r="K2018">
        <v>6</v>
      </c>
      <c r="L2018" t="s">
        <v>33</v>
      </c>
      <c r="M2018" s="3">
        <v>120000</v>
      </c>
      <c r="N2018" s="3">
        <f>Table1[[#This Row],[Unit Price]]*Table1[[#This Row],[Quantity]]</f>
        <v>900000</v>
      </c>
      <c r="O2018" s="3">
        <f>Table1[[#This Row],[Cost Price]]*Table1[[#This Row],[Quantity]]</f>
        <v>720000</v>
      </c>
      <c r="P2018" s="3">
        <f>Table1[[#This Row],[Revenue]]-Table1[[#This Row],[COGS]]</f>
        <v>180000</v>
      </c>
      <c r="Q2018" s="1">
        <v>2017</v>
      </c>
    </row>
    <row r="2019" spans="1:17">
      <c r="A2019" t="s">
        <v>86</v>
      </c>
      <c r="B2019" t="str">
        <f>TEXT(Table1[[#This Row],[Date]],"MMMM")</f>
        <v>February</v>
      </c>
      <c r="C2019" t="str">
        <f>TEXT(Table1[[#This Row],[Date]],"DDDD")</f>
        <v>Thursday</v>
      </c>
      <c r="D2019" t="s">
        <v>49</v>
      </c>
      <c r="E2019" t="s">
        <v>53</v>
      </c>
      <c r="F2019" t="s">
        <v>41</v>
      </c>
      <c r="G2019" t="s">
        <v>37</v>
      </c>
      <c r="H2019" t="s">
        <v>31</v>
      </c>
      <c r="I2019" t="s">
        <v>32</v>
      </c>
      <c r="J2019" s="3">
        <v>85000</v>
      </c>
      <c r="K2019">
        <v>9</v>
      </c>
      <c r="L2019" t="s">
        <v>47</v>
      </c>
      <c r="M2019" s="3">
        <v>68000</v>
      </c>
      <c r="N2019" s="3">
        <f>Table1[[#This Row],[Unit Price]]*Table1[[#This Row],[Quantity]]</f>
        <v>765000</v>
      </c>
      <c r="O2019" s="3">
        <f>Table1[[#This Row],[Cost Price]]*Table1[[#This Row],[Quantity]]</f>
        <v>612000</v>
      </c>
      <c r="P2019" s="3">
        <f>Table1[[#This Row],[Revenue]]-Table1[[#This Row],[COGS]]</f>
        <v>153000</v>
      </c>
      <c r="Q2019" s="1">
        <v>2018</v>
      </c>
    </row>
    <row r="2020" spans="1:17">
      <c r="A2020" t="s">
        <v>86</v>
      </c>
      <c r="B2020" t="str">
        <f>TEXT(Table1[[#This Row],[Date]],"MMMM")</f>
        <v>February</v>
      </c>
      <c r="C2020" t="str">
        <f>TEXT(Table1[[#This Row],[Date]],"DDDD")</f>
        <v>Thursday</v>
      </c>
      <c r="D2020" t="s">
        <v>49</v>
      </c>
      <c r="E2020" t="s">
        <v>45</v>
      </c>
      <c r="F2020" t="s">
        <v>41</v>
      </c>
      <c r="G2020" t="s">
        <v>30</v>
      </c>
      <c r="H2020" t="s">
        <v>46</v>
      </c>
      <c r="I2020" t="s">
        <v>39</v>
      </c>
      <c r="J2020" s="3">
        <v>60000</v>
      </c>
      <c r="K2020">
        <v>3</v>
      </c>
      <c r="L2020" t="s">
        <v>42</v>
      </c>
      <c r="M2020" s="3">
        <v>48000</v>
      </c>
      <c r="N2020" s="3">
        <f>Table1[[#This Row],[Unit Price]]*Table1[[#This Row],[Quantity]]</f>
        <v>180000</v>
      </c>
      <c r="O2020" s="3">
        <f>Table1[[#This Row],[Cost Price]]*Table1[[#This Row],[Quantity]]</f>
        <v>144000</v>
      </c>
      <c r="P2020" s="3">
        <f>Table1[[#This Row],[Revenue]]-Table1[[#This Row],[COGS]]</f>
        <v>36000</v>
      </c>
      <c r="Q2020" s="1">
        <v>2019</v>
      </c>
    </row>
    <row r="2021" spans="1:17">
      <c r="A2021" t="s">
        <v>142</v>
      </c>
      <c r="B2021" t="str">
        <f>TEXT(Table1[[#This Row],[Date]],"MMMM")</f>
        <v>April</v>
      </c>
      <c r="C2021" t="str">
        <f>TEXT(Table1[[#This Row],[Date]],"DDDD")</f>
        <v>Monday</v>
      </c>
      <c r="D2021" t="s">
        <v>44</v>
      </c>
      <c r="E2021" t="s">
        <v>53</v>
      </c>
      <c r="F2021" t="s">
        <v>29</v>
      </c>
      <c r="G2021" t="s">
        <v>37</v>
      </c>
      <c r="H2021" t="s">
        <v>67</v>
      </c>
      <c r="I2021" t="s">
        <v>51</v>
      </c>
      <c r="J2021" s="3">
        <v>420000</v>
      </c>
      <c r="K2021">
        <v>7</v>
      </c>
      <c r="L2021" t="s">
        <v>58</v>
      </c>
      <c r="M2021" s="3">
        <v>336000</v>
      </c>
      <c r="N2021" s="3">
        <f>Table1[[#This Row],[Unit Price]]*Table1[[#This Row],[Quantity]]</f>
        <v>2940000</v>
      </c>
      <c r="O2021" s="3">
        <f>Table1[[#This Row],[Cost Price]]*Table1[[#This Row],[Quantity]]</f>
        <v>2352000</v>
      </c>
      <c r="P2021" s="3">
        <f>Table1[[#This Row],[Revenue]]-Table1[[#This Row],[COGS]]</f>
        <v>588000</v>
      </c>
      <c r="Q2021" s="1">
        <v>2020</v>
      </c>
    </row>
    <row r="2022" spans="1:17">
      <c r="A2022" t="s">
        <v>143</v>
      </c>
      <c r="B2022" t="str">
        <f>TEXT(Table1[[#This Row],[Date]],"MMMM")</f>
        <v>April</v>
      </c>
      <c r="C2022" t="str">
        <f>TEXT(Table1[[#This Row],[Date]],"DDDD")</f>
        <v>Thursday</v>
      </c>
      <c r="D2022" t="s">
        <v>44</v>
      </c>
      <c r="E2022" t="s">
        <v>28</v>
      </c>
      <c r="F2022" t="s">
        <v>41</v>
      </c>
      <c r="G2022" t="s">
        <v>30</v>
      </c>
      <c r="H2022" t="s">
        <v>31</v>
      </c>
      <c r="I2022" t="s">
        <v>32</v>
      </c>
      <c r="J2022" s="3">
        <v>85000</v>
      </c>
      <c r="K2022">
        <v>5</v>
      </c>
      <c r="L2022" t="s">
        <v>42</v>
      </c>
      <c r="M2022" s="3">
        <v>68000</v>
      </c>
      <c r="N2022" s="3">
        <f>Table1[[#This Row],[Unit Price]]*Table1[[#This Row],[Quantity]]</f>
        <v>425000</v>
      </c>
      <c r="O2022" s="3">
        <f>Table1[[#This Row],[Cost Price]]*Table1[[#This Row],[Quantity]]</f>
        <v>340000</v>
      </c>
      <c r="P2022" s="3">
        <f>Table1[[#This Row],[Revenue]]-Table1[[#This Row],[COGS]]</f>
        <v>85000</v>
      </c>
      <c r="Q2022" s="1">
        <v>2021</v>
      </c>
    </row>
    <row r="2023" spans="1:17">
      <c r="A2023" t="s">
        <v>141</v>
      </c>
      <c r="B2023" t="str">
        <f>TEXT(Table1[[#This Row],[Date]],"MMMM")</f>
        <v>March</v>
      </c>
      <c r="C2023" t="str">
        <f>TEXT(Table1[[#This Row],[Date]],"DDDD")</f>
        <v>Sunday</v>
      </c>
      <c r="D2023" t="s">
        <v>35</v>
      </c>
      <c r="E2023" t="s">
        <v>28</v>
      </c>
      <c r="F2023" t="s">
        <v>41</v>
      </c>
      <c r="G2023" t="s">
        <v>30</v>
      </c>
      <c r="H2023" t="s">
        <v>46</v>
      </c>
      <c r="I2023" t="s">
        <v>39</v>
      </c>
      <c r="J2023" s="3">
        <v>60000</v>
      </c>
      <c r="K2023">
        <v>7</v>
      </c>
      <c r="L2023" t="s">
        <v>42</v>
      </c>
      <c r="M2023" s="3">
        <v>48000</v>
      </c>
      <c r="N2023" s="3">
        <f>Table1[[#This Row],[Unit Price]]*Table1[[#This Row],[Quantity]]</f>
        <v>420000</v>
      </c>
      <c r="O2023" s="3">
        <f>Table1[[#This Row],[Cost Price]]*Table1[[#This Row],[Quantity]]</f>
        <v>336000</v>
      </c>
      <c r="P2023" s="3">
        <f>Table1[[#This Row],[Revenue]]-Table1[[#This Row],[COGS]]</f>
        <v>84000</v>
      </c>
      <c r="Q2023" s="1">
        <v>2022</v>
      </c>
    </row>
    <row r="2024" spans="1:17">
      <c r="A2024" t="s">
        <v>166</v>
      </c>
      <c r="B2024" t="str">
        <f>TEXT(Table1[[#This Row],[Date]],"MMMM")</f>
        <v>January</v>
      </c>
      <c r="C2024" t="str">
        <f>TEXT(Table1[[#This Row],[Date]],"DDDD")</f>
        <v>Thursday</v>
      </c>
      <c r="D2024" t="s">
        <v>35</v>
      </c>
      <c r="E2024" t="s">
        <v>53</v>
      </c>
      <c r="F2024" t="s">
        <v>29</v>
      </c>
      <c r="G2024" t="s">
        <v>30</v>
      </c>
      <c r="H2024" t="s">
        <v>54</v>
      </c>
      <c r="I2024" t="s">
        <v>39</v>
      </c>
      <c r="J2024" s="3">
        <v>180000</v>
      </c>
      <c r="K2024">
        <v>2</v>
      </c>
      <c r="L2024" t="s">
        <v>58</v>
      </c>
      <c r="M2024" s="3">
        <v>144000</v>
      </c>
      <c r="N2024" s="3">
        <f>Table1[[#This Row],[Unit Price]]*Table1[[#This Row],[Quantity]]</f>
        <v>360000</v>
      </c>
      <c r="O2024" s="3">
        <f>Table1[[#This Row],[Cost Price]]*Table1[[#This Row],[Quantity]]</f>
        <v>288000</v>
      </c>
      <c r="P2024" s="3">
        <f>Table1[[#This Row],[Revenue]]-Table1[[#This Row],[COGS]]</f>
        <v>72000</v>
      </c>
      <c r="Q2024" s="1">
        <v>2023</v>
      </c>
    </row>
    <row r="2025" spans="1:17">
      <c r="A2025" t="s">
        <v>127</v>
      </c>
      <c r="B2025" t="str">
        <f>TEXT(Table1[[#This Row],[Date]],"MMMM")</f>
        <v>January</v>
      </c>
      <c r="C2025" t="str">
        <f>TEXT(Table1[[#This Row],[Date]],"DDDD")</f>
        <v>Tuesday</v>
      </c>
      <c r="D2025" t="s">
        <v>27</v>
      </c>
      <c r="E2025" t="s">
        <v>28</v>
      </c>
      <c r="F2025" t="s">
        <v>41</v>
      </c>
      <c r="G2025" t="s">
        <v>37</v>
      </c>
      <c r="H2025" t="s">
        <v>71</v>
      </c>
      <c r="I2025" t="s">
        <v>51</v>
      </c>
      <c r="J2025" s="3">
        <v>250000</v>
      </c>
      <c r="K2025">
        <v>3</v>
      </c>
      <c r="L2025" t="s">
        <v>65</v>
      </c>
      <c r="M2025" s="3">
        <v>200000</v>
      </c>
      <c r="N2025" s="3">
        <f>Table1[[#This Row],[Unit Price]]*Table1[[#This Row],[Quantity]]</f>
        <v>750000</v>
      </c>
      <c r="O2025" s="3">
        <f>Table1[[#This Row],[Cost Price]]*Table1[[#This Row],[Quantity]]</f>
        <v>600000</v>
      </c>
      <c r="P2025" s="3">
        <f>Table1[[#This Row],[Revenue]]-Table1[[#This Row],[COGS]]</f>
        <v>150000</v>
      </c>
      <c r="Q2025" s="1">
        <v>2024</v>
      </c>
    </row>
    <row r="2026" spans="1:17">
      <c r="A2026" t="s">
        <v>126</v>
      </c>
      <c r="B2026" t="str">
        <f>TEXT(Table1[[#This Row],[Date]],"MMMM")</f>
        <v>January</v>
      </c>
      <c r="C2026" t="str">
        <f>TEXT(Table1[[#This Row],[Date]],"DDDD")</f>
        <v>Thursday</v>
      </c>
      <c r="D2026" t="s">
        <v>35</v>
      </c>
      <c r="E2026" t="s">
        <v>45</v>
      </c>
      <c r="F2026" t="s">
        <v>41</v>
      </c>
      <c r="G2026" t="s">
        <v>30</v>
      </c>
      <c r="H2026" t="s">
        <v>54</v>
      </c>
      <c r="I2026" t="s">
        <v>39</v>
      </c>
      <c r="J2026" s="3">
        <v>180000</v>
      </c>
      <c r="K2026">
        <v>6</v>
      </c>
      <c r="L2026" t="s">
        <v>69</v>
      </c>
      <c r="M2026" s="3">
        <v>144000</v>
      </c>
      <c r="N2026" s="3">
        <f>Table1[[#This Row],[Unit Price]]*Table1[[#This Row],[Quantity]]</f>
        <v>1080000</v>
      </c>
      <c r="O2026" s="3">
        <f>Table1[[#This Row],[Cost Price]]*Table1[[#This Row],[Quantity]]</f>
        <v>864000</v>
      </c>
      <c r="P2026" s="3">
        <f>Table1[[#This Row],[Revenue]]-Table1[[#This Row],[COGS]]</f>
        <v>216000</v>
      </c>
      <c r="Q2026" s="1">
        <v>2025</v>
      </c>
    </row>
    <row r="2027" spans="1:17">
      <c r="A2027" t="s">
        <v>137</v>
      </c>
      <c r="B2027" t="str">
        <f>TEXT(Table1[[#This Row],[Date]],"MMMM")</f>
        <v>April</v>
      </c>
      <c r="C2027" t="str">
        <f>TEXT(Table1[[#This Row],[Date]],"DDDD")</f>
        <v>Wednesday</v>
      </c>
      <c r="D2027" t="s">
        <v>35</v>
      </c>
      <c r="E2027" t="s">
        <v>53</v>
      </c>
      <c r="F2027" t="s">
        <v>29</v>
      </c>
      <c r="G2027" t="s">
        <v>37</v>
      </c>
      <c r="H2027" t="s">
        <v>31</v>
      </c>
      <c r="I2027" t="s">
        <v>32</v>
      </c>
      <c r="J2027" s="3">
        <v>85000</v>
      </c>
      <c r="K2027">
        <v>2</v>
      </c>
      <c r="L2027" t="s">
        <v>69</v>
      </c>
      <c r="M2027" s="3">
        <v>68000</v>
      </c>
      <c r="N2027" s="3">
        <f>Table1[[#This Row],[Unit Price]]*Table1[[#This Row],[Quantity]]</f>
        <v>170000</v>
      </c>
      <c r="O2027" s="3">
        <f>Table1[[#This Row],[Cost Price]]*Table1[[#This Row],[Quantity]]</f>
        <v>136000</v>
      </c>
      <c r="P2027" s="3">
        <f>Table1[[#This Row],[Revenue]]-Table1[[#This Row],[COGS]]</f>
        <v>34000</v>
      </c>
      <c r="Q2027" s="1">
        <v>2026</v>
      </c>
    </row>
    <row r="2028" spans="1:17">
      <c r="A2028" t="s">
        <v>156</v>
      </c>
      <c r="B2028" t="str">
        <f>TEXT(Table1[[#This Row],[Date]],"MMMM")</f>
        <v>February</v>
      </c>
      <c r="C2028" t="str">
        <f>TEXT(Table1[[#This Row],[Date]],"DDDD")</f>
        <v>Friday</v>
      </c>
      <c r="D2028" t="s">
        <v>49</v>
      </c>
      <c r="E2028" t="s">
        <v>53</v>
      </c>
      <c r="F2028" t="s">
        <v>41</v>
      </c>
      <c r="G2028" t="s">
        <v>37</v>
      </c>
      <c r="H2028" t="s">
        <v>71</v>
      </c>
      <c r="I2028" t="s">
        <v>51</v>
      </c>
      <c r="J2028" s="3">
        <v>250000</v>
      </c>
      <c r="K2028">
        <v>5</v>
      </c>
      <c r="L2028" t="s">
        <v>47</v>
      </c>
      <c r="M2028" s="3">
        <v>200000</v>
      </c>
      <c r="N2028" s="3">
        <f>Table1[[#This Row],[Unit Price]]*Table1[[#This Row],[Quantity]]</f>
        <v>1250000</v>
      </c>
      <c r="O2028" s="3">
        <f>Table1[[#This Row],[Cost Price]]*Table1[[#This Row],[Quantity]]</f>
        <v>1000000</v>
      </c>
      <c r="P2028" s="3">
        <f>Table1[[#This Row],[Revenue]]-Table1[[#This Row],[COGS]]</f>
        <v>250000</v>
      </c>
      <c r="Q2028" s="1">
        <v>2027</v>
      </c>
    </row>
    <row r="2029" spans="1:17">
      <c r="A2029" t="s">
        <v>80</v>
      </c>
      <c r="B2029" t="str">
        <f>TEXT(Table1[[#This Row],[Date]],"MMMM")</f>
        <v>February</v>
      </c>
      <c r="C2029" t="str">
        <f>TEXT(Table1[[#This Row],[Date]],"DDDD")</f>
        <v>Sunday</v>
      </c>
      <c r="D2029" t="s">
        <v>27</v>
      </c>
      <c r="E2029" t="s">
        <v>28</v>
      </c>
      <c r="F2029" t="s">
        <v>41</v>
      </c>
      <c r="G2029" t="s">
        <v>37</v>
      </c>
      <c r="H2029" t="s">
        <v>73</v>
      </c>
      <c r="I2029" t="s">
        <v>39</v>
      </c>
      <c r="J2029" s="3">
        <v>220000</v>
      </c>
      <c r="K2029">
        <v>2</v>
      </c>
      <c r="L2029" t="s">
        <v>65</v>
      </c>
      <c r="M2029" s="3">
        <v>176000</v>
      </c>
      <c r="N2029" s="3">
        <f>Table1[[#This Row],[Unit Price]]*Table1[[#This Row],[Quantity]]</f>
        <v>440000</v>
      </c>
      <c r="O2029" s="3">
        <f>Table1[[#This Row],[Cost Price]]*Table1[[#This Row],[Quantity]]</f>
        <v>352000</v>
      </c>
      <c r="P2029" s="3">
        <f>Table1[[#This Row],[Revenue]]-Table1[[#This Row],[COGS]]</f>
        <v>88000</v>
      </c>
      <c r="Q2029" s="1">
        <v>2028</v>
      </c>
    </row>
    <row r="2030" spans="1:17">
      <c r="A2030" t="s">
        <v>138</v>
      </c>
      <c r="B2030" t="str">
        <f>TEXT(Table1[[#This Row],[Date]],"MMMM")</f>
        <v>April</v>
      </c>
      <c r="C2030" t="str">
        <f>TEXT(Table1[[#This Row],[Date]],"DDDD")</f>
        <v>Monday</v>
      </c>
      <c r="D2030" t="s">
        <v>44</v>
      </c>
      <c r="E2030" t="s">
        <v>53</v>
      </c>
      <c r="F2030" t="s">
        <v>29</v>
      </c>
      <c r="G2030" t="s">
        <v>30</v>
      </c>
      <c r="H2030" t="s">
        <v>38</v>
      </c>
      <c r="I2030" t="s">
        <v>39</v>
      </c>
      <c r="J2030" s="3">
        <v>30000</v>
      </c>
      <c r="K2030">
        <v>2</v>
      </c>
      <c r="L2030" t="s">
        <v>42</v>
      </c>
      <c r="M2030" s="3">
        <v>24000</v>
      </c>
      <c r="N2030" s="3">
        <f>Table1[[#This Row],[Unit Price]]*Table1[[#This Row],[Quantity]]</f>
        <v>60000</v>
      </c>
      <c r="O2030" s="3">
        <f>Table1[[#This Row],[Cost Price]]*Table1[[#This Row],[Quantity]]</f>
        <v>48000</v>
      </c>
      <c r="P2030" s="3">
        <f>Table1[[#This Row],[Revenue]]-Table1[[#This Row],[COGS]]</f>
        <v>12000</v>
      </c>
      <c r="Q2030" s="1">
        <v>2029</v>
      </c>
    </row>
    <row r="2031" spans="1:17">
      <c r="A2031" t="s">
        <v>172</v>
      </c>
      <c r="B2031" t="str">
        <f>TEXT(Table1[[#This Row],[Date]],"MMMM")</f>
        <v>March</v>
      </c>
      <c r="C2031" t="str">
        <f>TEXT(Table1[[#This Row],[Date]],"DDDD")</f>
        <v>Saturday</v>
      </c>
      <c r="D2031" t="s">
        <v>35</v>
      </c>
      <c r="E2031" t="s">
        <v>45</v>
      </c>
      <c r="F2031" t="s">
        <v>41</v>
      </c>
      <c r="G2031" t="s">
        <v>37</v>
      </c>
      <c r="H2031" t="s">
        <v>67</v>
      </c>
      <c r="I2031" t="s">
        <v>51</v>
      </c>
      <c r="J2031" s="3">
        <v>420000</v>
      </c>
      <c r="K2031">
        <v>10</v>
      </c>
      <c r="L2031" t="s">
        <v>65</v>
      </c>
      <c r="M2031" s="3">
        <v>336000</v>
      </c>
      <c r="N2031" s="3">
        <f>Table1[[#This Row],[Unit Price]]*Table1[[#This Row],[Quantity]]</f>
        <v>4200000</v>
      </c>
      <c r="O2031" s="3">
        <f>Table1[[#This Row],[Cost Price]]*Table1[[#This Row],[Quantity]]</f>
        <v>3360000</v>
      </c>
      <c r="P2031" s="3">
        <f>Table1[[#This Row],[Revenue]]-Table1[[#This Row],[COGS]]</f>
        <v>840000</v>
      </c>
      <c r="Q2031" s="1">
        <v>2030</v>
      </c>
    </row>
    <row r="2032" spans="1:17">
      <c r="A2032" t="s">
        <v>74</v>
      </c>
      <c r="B2032" t="str">
        <f>TEXT(Table1[[#This Row],[Date]],"MMMM")</f>
        <v>February</v>
      </c>
      <c r="C2032" t="str">
        <f>TEXT(Table1[[#This Row],[Date]],"DDDD")</f>
        <v>Monday</v>
      </c>
      <c r="D2032" t="s">
        <v>49</v>
      </c>
      <c r="E2032" t="s">
        <v>53</v>
      </c>
      <c r="F2032" t="s">
        <v>41</v>
      </c>
      <c r="G2032" t="s">
        <v>30</v>
      </c>
      <c r="H2032" t="s">
        <v>73</v>
      </c>
      <c r="I2032" t="s">
        <v>39</v>
      </c>
      <c r="J2032" s="3">
        <v>220000</v>
      </c>
      <c r="K2032">
        <v>2</v>
      </c>
      <c r="L2032" t="s">
        <v>58</v>
      </c>
      <c r="M2032" s="3">
        <v>176000</v>
      </c>
      <c r="N2032" s="3">
        <f>Table1[[#This Row],[Unit Price]]*Table1[[#This Row],[Quantity]]</f>
        <v>440000</v>
      </c>
      <c r="O2032" s="3">
        <f>Table1[[#This Row],[Cost Price]]*Table1[[#This Row],[Quantity]]</f>
        <v>352000</v>
      </c>
      <c r="P2032" s="3">
        <f>Table1[[#This Row],[Revenue]]-Table1[[#This Row],[COGS]]</f>
        <v>88000</v>
      </c>
      <c r="Q2032" s="1">
        <v>2031</v>
      </c>
    </row>
    <row r="2033" spans="1:17">
      <c r="A2033" t="s">
        <v>57</v>
      </c>
      <c r="B2033" t="str">
        <f>TEXT(Table1[[#This Row],[Date]],"MMMM")</f>
        <v>February</v>
      </c>
      <c r="C2033" t="str">
        <f>TEXT(Table1[[#This Row],[Date]],"DDDD")</f>
        <v>Thursday</v>
      </c>
      <c r="D2033" t="s">
        <v>44</v>
      </c>
      <c r="E2033" t="s">
        <v>45</v>
      </c>
      <c r="F2033" t="s">
        <v>41</v>
      </c>
      <c r="G2033" t="s">
        <v>37</v>
      </c>
      <c r="H2033" t="s">
        <v>73</v>
      </c>
      <c r="I2033" t="s">
        <v>39</v>
      </c>
      <c r="J2033" s="3">
        <v>220000</v>
      </c>
      <c r="K2033">
        <v>10</v>
      </c>
      <c r="L2033" t="s">
        <v>42</v>
      </c>
      <c r="M2033" s="3">
        <v>176000</v>
      </c>
      <c r="N2033" s="3">
        <f>Table1[[#This Row],[Unit Price]]*Table1[[#This Row],[Quantity]]</f>
        <v>2200000</v>
      </c>
      <c r="O2033" s="3">
        <f>Table1[[#This Row],[Cost Price]]*Table1[[#This Row],[Quantity]]</f>
        <v>1760000</v>
      </c>
      <c r="P2033" s="3">
        <f>Table1[[#This Row],[Revenue]]-Table1[[#This Row],[COGS]]</f>
        <v>440000</v>
      </c>
      <c r="Q2033" s="1">
        <v>2032</v>
      </c>
    </row>
    <row r="2034" spans="1:17">
      <c r="A2034" t="s">
        <v>40</v>
      </c>
      <c r="B2034" t="str">
        <f>TEXT(Table1[[#This Row],[Date]],"MMMM")</f>
        <v>February</v>
      </c>
      <c r="C2034" t="str">
        <f>TEXT(Table1[[#This Row],[Date]],"DDDD")</f>
        <v>Thursday</v>
      </c>
      <c r="D2034" t="s">
        <v>27</v>
      </c>
      <c r="E2034" t="s">
        <v>36</v>
      </c>
      <c r="F2034" t="s">
        <v>41</v>
      </c>
      <c r="G2034" t="s">
        <v>37</v>
      </c>
      <c r="H2034" t="s">
        <v>56</v>
      </c>
      <c r="I2034" t="s">
        <v>32</v>
      </c>
      <c r="J2034" s="3">
        <v>320000</v>
      </c>
      <c r="K2034">
        <v>6</v>
      </c>
      <c r="L2034" t="s">
        <v>58</v>
      </c>
      <c r="M2034" s="3">
        <v>256000</v>
      </c>
      <c r="N2034" s="3">
        <f>Table1[[#This Row],[Unit Price]]*Table1[[#This Row],[Quantity]]</f>
        <v>1920000</v>
      </c>
      <c r="O2034" s="3">
        <f>Table1[[#This Row],[Cost Price]]*Table1[[#This Row],[Quantity]]</f>
        <v>1536000</v>
      </c>
      <c r="P2034" s="3">
        <f>Table1[[#This Row],[Revenue]]-Table1[[#This Row],[COGS]]</f>
        <v>384000</v>
      </c>
      <c r="Q2034" s="1">
        <v>2033</v>
      </c>
    </row>
    <row r="2035" spans="1:17">
      <c r="A2035" t="s">
        <v>171</v>
      </c>
      <c r="B2035" t="str">
        <f>TEXT(Table1[[#This Row],[Date]],"MMMM")</f>
        <v>March</v>
      </c>
      <c r="C2035" t="str">
        <f>TEXT(Table1[[#This Row],[Date]],"DDDD")</f>
        <v>Monday</v>
      </c>
      <c r="D2035" t="s">
        <v>49</v>
      </c>
      <c r="E2035" t="s">
        <v>28</v>
      </c>
      <c r="F2035" t="s">
        <v>41</v>
      </c>
      <c r="G2035" t="s">
        <v>37</v>
      </c>
      <c r="H2035" t="s">
        <v>67</v>
      </c>
      <c r="I2035" t="s">
        <v>51</v>
      </c>
      <c r="J2035" s="3">
        <v>420000</v>
      </c>
      <c r="K2035">
        <v>8</v>
      </c>
      <c r="L2035" t="s">
        <v>58</v>
      </c>
      <c r="M2035" s="3">
        <v>336000</v>
      </c>
      <c r="N2035" s="3">
        <f>Table1[[#This Row],[Unit Price]]*Table1[[#This Row],[Quantity]]</f>
        <v>3360000</v>
      </c>
      <c r="O2035" s="3">
        <f>Table1[[#This Row],[Cost Price]]*Table1[[#This Row],[Quantity]]</f>
        <v>2688000</v>
      </c>
      <c r="P2035" s="3">
        <f>Table1[[#This Row],[Revenue]]-Table1[[#This Row],[COGS]]</f>
        <v>672000</v>
      </c>
      <c r="Q2035" s="1">
        <v>2034</v>
      </c>
    </row>
    <row r="2036" spans="1:17">
      <c r="A2036" t="s">
        <v>114</v>
      </c>
      <c r="B2036" t="str">
        <f>TEXT(Table1[[#This Row],[Date]],"MMMM")</f>
        <v>April</v>
      </c>
      <c r="C2036" t="str">
        <f>TEXT(Table1[[#This Row],[Date]],"DDDD")</f>
        <v>Sunday</v>
      </c>
      <c r="D2036" t="s">
        <v>35</v>
      </c>
      <c r="E2036" t="s">
        <v>53</v>
      </c>
      <c r="F2036" t="s">
        <v>29</v>
      </c>
      <c r="G2036" t="s">
        <v>37</v>
      </c>
      <c r="H2036" t="s">
        <v>73</v>
      </c>
      <c r="I2036" t="s">
        <v>39</v>
      </c>
      <c r="J2036" s="3">
        <v>220000</v>
      </c>
      <c r="K2036">
        <v>9</v>
      </c>
      <c r="L2036" t="s">
        <v>58</v>
      </c>
      <c r="M2036" s="3">
        <v>176000</v>
      </c>
      <c r="N2036" s="3">
        <f>Table1[[#This Row],[Unit Price]]*Table1[[#This Row],[Quantity]]</f>
        <v>1980000</v>
      </c>
      <c r="O2036" s="3">
        <f>Table1[[#This Row],[Cost Price]]*Table1[[#This Row],[Quantity]]</f>
        <v>1584000</v>
      </c>
      <c r="P2036" s="3">
        <f>Table1[[#This Row],[Revenue]]-Table1[[#This Row],[COGS]]</f>
        <v>396000</v>
      </c>
      <c r="Q2036" s="1">
        <v>2035</v>
      </c>
    </row>
    <row r="2037" spans="1:17">
      <c r="A2037" t="s">
        <v>40</v>
      </c>
      <c r="B2037" t="str">
        <f>TEXT(Table1[[#This Row],[Date]],"MMMM")</f>
        <v>February</v>
      </c>
      <c r="C2037" t="str">
        <f>TEXT(Table1[[#This Row],[Date]],"DDDD")</f>
        <v>Thursday</v>
      </c>
      <c r="D2037" t="s">
        <v>49</v>
      </c>
      <c r="E2037" t="s">
        <v>36</v>
      </c>
      <c r="F2037" t="s">
        <v>41</v>
      </c>
      <c r="G2037" t="s">
        <v>30</v>
      </c>
      <c r="H2037" t="s">
        <v>73</v>
      </c>
      <c r="I2037" t="s">
        <v>39</v>
      </c>
      <c r="J2037" s="3">
        <v>220000</v>
      </c>
      <c r="K2037">
        <v>2</v>
      </c>
      <c r="L2037" t="s">
        <v>69</v>
      </c>
      <c r="M2037" s="3">
        <v>176000</v>
      </c>
      <c r="N2037" s="3">
        <f>Table1[[#This Row],[Unit Price]]*Table1[[#This Row],[Quantity]]</f>
        <v>440000</v>
      </c>
      <c r="O2037" s="3">
        <f>Table1[[#This Row],[Cost Price]]*Table1[[#This Row],[Quantity]]</f>
        <v>352000</v>
      </c>
      <c r="P2037" s="3">
        <f>Table1[[#This Row],[Revenue]]-Table1[[#This Row],[COGS]]</f>
        <v>88000</v>
      </c>
      <c r="Q2037" s="1">
        <v>2036</v>
      </c>
    </row>
    <row r="2038" spans="1:17">
      <c r="A2038" t="s">
        <v>120</v>
      </c>
      <c r="B2038" t="str">
        <f>TEXT(Table1[[#This Row],[Date]],"MMMM")</f>
        <v>March</v>
      </c>
      <c r="C2038" t="str">
        <f>TEXT(Table1[[#This Row],[Date]],"DDDD")</f>
        <v>Thursday</v>
      </c>
      <c r="D2038" t="s">
        <v>44</v>
      </c>
      <c r="E2038" t="s">
        <v>53</v>
      </c>
      <c r="F2038" t="s">
        <v>29</v>
      </c>
      <c r="G2038" t="s">
        <v>30</v>
      </c>
      <c r="H2038" t="s">
        <v>62</v>
      </c>
      <c r="I2038" t="s">
        <v>51</v>
      </c>
      <c r="J2038" s="3">
        <v>150000</v>
      </c>
      <c r="K2038">
        <v>4</v>
      </c>
      <c r="L2038" t="s">
        <v>65</v>
      </c>
      <c r="M2038" s="3">
        <v>120000</v>
      </c>
      <c r="N2038" s="3">
        <f>Table1[[#This Row],[Unit Price]]*Table1[[#This Row],[Quantity]]</f>
        <v>600000</v>
      </c>
      <c r="O2038" s="3">
        <f>Table1[[#This Row],[Cost Price]]*Table1[[#This Row],[Quantity]]</f>
        <v>480000</v>
      </c>
      <c r="P2038" s="3">
        <f>Table1[[#This Row],[Revenue]]-Table1[[#This Row],[COGS]]</f>
        <v>120000</v>
      </c>
      <c r="Q2038" s="1">
        <v>2037</v>
      </c>
    </row>
    <row r="2039" spans="1:17">
      <c r="A2039" t="s">
        <v>124</v>
      </c>
      <c r="B2039" t="str">
        <f>TEXT(Table1[[#This Row],[Date]],"MMMM")</f>
        <v>February</v>
      </c>
      <c r="C2039" t="str">
        <f>TEXT(Table1[[#This Row],[Date]],"DDDD")</f>
        <v>Monday</v>
      </c>
      <c r="D2039" t="s">
        <v>35</v>
      </c>
      <c r="E2039" t="s">
        <v>45</v>
      </c>
      <c r="F2039" t="s">
        <v>29</v>
      </c>
      <c r="G2039" t="s">
        <v>37</v>
      </c>
      <c r="H2039" t="s">
        <v>50</v>
      </c>
      <c r="I2039" t="s">
        <v>51</v>
      </c>
      <c r="J2039" s="3">
        <v>300000</v>
      </c>
      <c r="K2039">
        <v>7</v>
      </c>
      <c r="L2039" t="s">
        <v>69</v>
      </c>
      <c r="M2039" s="3">
        <v>240000</v>
      </c>
      <c r="N2039" s="3">
        <f>Table1[[#This Row],[Unit Price]]*Table1[[#This Row],[Quantity]]</f>
        <v>2100000</v>
      </c>
      <c r="O2039" s="3">
        <f>Table1[[#This Row],[Cost Price]]*Table1[[#This Row],[Quantity]]</f>
        <v>1680000</v>
      </c>
      <c r="P2039" s="3">
        <f>Table1[[#This Row],[Revenue]]-Table1[[#This Row],[COGS]]</f>
        <v>420000</v>
      </c>
      <c r="Q2039" s="1">
        <v>2038</v>
      </c>
    </row>
    <row r="2040" spans="1:17">
      <c r="A2040" t="s">
        <v>145</v>
      </c>
      <c r="B2040" t="str">
        <f>TEXT(Table1[[#This Row],[Date]],"MMMM")</f>
        <v>January</v>
      </c>
      <c r="C2040" t="str">
        <f>TEXT(Table1[[#This Row],[Date]],"DDDD")</f>
        <v>Friday</v>
      </c>
      <c r="D2040" t="s">
        <v>44</v>
      </c>
      <c r="E2040" t="s">
        <v>36</v>
      </c>
      <c r="F2040" t="s">
        <v>41</v>
      </c>
      <c r="G2040" t="s">
        <v>30</v>
      </c>
      <c r="H2040" t="s">
        <v>67</v>
      </c>
      <c r="I2040" t="s">
        <v>51</v>
      </c>
      <c r="J2040" s="3">
        <v>420000</v>
      </c>
      <c r="K2040">
        <v>4</v>
      </c>
      <c r="L2040" t="s">
        <v>69</v>
      </c>
      <c r="M2040" s="3">
        <v>336000</v>
      </c>
      <c r="N2040" s="3">
        <f>Table1[[#This Row],[Unit Price]]*Table1[[#This Row],[Quantity]]</f>
        <v>1680000</v>
      </c>
      <c r="O2040" s="3">
        <f>Table1[[#This Row],[Cost Price]]*Table1[[#This Row],[Quantity]]</f>
        <v>1344000</v>
      </c>
      <c r="P2040" s="3">
        <f>Table1[[#This Row],[Revenue]]-Table1[[#This Row],[COGS]]</f>
        <v>336000</v>
      </c>
      <c r="Q2040" s="1">
        <v>2039</v>
      </c>
    </row>
    <row r="2041" spans="1:17">
      <c r="A2041" t="s">
        <v>112</v>
      </c>
      <c r="B2041" t="str">
        <f>TEXT(Table1[[#This Row],[Date]],"MMMM")</f>
        <v>February</v>
      </c>
      <c r="C2041" t="str">
        <f>TEXT(Table1[[#This Row],[Date]],"DDDD")</f>
        <v>Monday</v>
      </c>
      <c r="D2041" t="s">
        <v>27</v>
      </c>
      <c r="E2041" t="s">
        <v>45</v>
      </c>
      <c r="F2041" t="s">
        <v>41</v>
      </c>
      <c r="G2041" t="s">
        <v>37</v>
      </c>
      <c r="H2041" t="s">
        <v>46</v>
      </c>
      <c r="I2041" t="s">
        <v>39</v>
      </c>
      <c r="J2041" s="3">
        <v>60000</v>
      </c>
      <c r="K2041">
        <v>4</v>
      </c>
      <c r="L2041" t="s">
        <v>65</v>
      </c>
      <c r="M2041" s="3">
        <v>48000</v>
      </c>
      <c r="N2041" s="3">
        <f>Table1[[#This Row],[Unit Price]]*Table1[[#This Row],[Quantity]]</f>
        <v>240000</v>
      </c>
      <c r="O2041" s="3">
        <f>Table1[[#This Row],[Cost Price]]*Table1[[#This Row],[Quantity]]</f>
        <v>192000</v>
      </c>
      <c r="P2041" s="3">
        <f>Table1[[#This Row],[Revenue]]-Table1[[#This Row],[COGS]]</f>
        <v>48000</v>
      </c>
      <c r="Q2041" s="1">
        <v>2040</v>
      </c>
    </row>
    <row r="2042" spans="1:17">
      <c r="A2042" t="s">
        <v>107</v>
      </c>
      <c r="B2042" t="str">
        <f>TEXT(Table1[[#This Row],[Date]],"MMMM")</f>
        <v>February</v>
      </c>
      <c r="C2042" t="str">
        <f>TEXT(Table1[[#This Row],[Date]],"DDDD")</f>
        <v>Wednesday</v>
      </c>
      <c r="D2042" t="s">
        <v>49</v>
      </c>
      <c r="E2042" t="s">
        <v>45</v>
      </c>
      <c r="F2042" t="s">
        <v>29</v>
      </c>
      <c r="G2042" t="s">
        <v>30</v>
      </c>
      <c r="H2042" t="s">
        <v>54</v>
      </c>
      <c r="I2042" t="s">
        <v>39</v>
      </c>
      <c r="J2042" s="3">
        <v>180000</v>
      </c>
      <c r="K2042">
        <v>6</v>
      </c>
      <c r="L2042" t="s">
        <v>33</v>
      </c>
      <c r="M2042" s="3">
        <v>144000</v>
      </c>
      <c r="N2042" s="3">
        <f>Table1[[#This Row],[Unit Price]]*Table1[[#This Row],[Quantity]]</f>
        <v>1080000</v>
      </c>
      <c r="O2042" s="3">
        <f>Table1[[#This Row],[Cost Price]]*Table1[[#This Row],[Quantity]]</f>
        <v>864000</v>
      </c>
      <c r="P2042" s="3">
        <f>Table1[[#This Row],[Revenue]]-Table1[[#This Row],[COGS]]</f>
        <v>216000</v>
      </c>
      <c r="Q2042" s="1">
        <v>2041</v>
      </c>
    </row>
    <row r="2043" spans="1:17">
      <c r="A2043" t="s">
        <v>159</v>
      </c>
      <c r="B2043" t="str">
        <f>TEXT(Table1[[#This Row],[Date]],"MMMM")</f>
        <v>February</v>
      </c>
      <c r="C2043" t="str">
        <f>TEXT(Table1[[#This Row],[Date]],"DDDD")</f>
        <v>Sunday</v>
      </c>
      <c r="D2043" t="s">
        <v>44</v>
      </c>
      <c r="E2043" t="s">
        <v>45</v>
      </c>
      <c r="F2043" t="s">
        <v>41</v>
      </c>
      <c r="G2043" t="s">
        <v>30</v>
      </c>
      <c r="H2043" t="s">
        <v>50</v>
      </c>
      <c r="I2043" t="s">
        <v>51</v>
      </c>
      <c r="J2043" s="3">
        <v>300000</v>
      </c>
      <c r="K2043">
        <v>8</v>
      </c>
      <c r="L2043" t="s">
        <v>58</v>
      </c>
      <c r="M2043" s="3">
        <v>240000</v>
      </c>
      <c r="N2043" s="3">
        <f>Table1[[#This Row],[Unit Price]]*Table1[[#This Row],[Quantity]]</f>
        <v>2400000</v>
      </c>
      <c r="O2043" s="3">
        <f>Table1[[#This Row],[Cost Price]]*Table1[[#This Row],[Quantity]]</f>
        <v>1920000</v>
      </c>
      <c r="P2043" s="3">
        <f>Table1[[#This Row],[Revenue]]-Table1[[#This Row],[COGS]]</f>
        <v>480000</v>
      </c>
      <c r="Q2043" s="1">
        <v>2042</v>
      </c>
    </row>
    <row r="2044" spans="1:17">
      <c r="A2044" t="s">
        <v>124</v>
      </c>
      <c r="B2044" t="str">
        <f>TEXT(Table1[[#This Row],[Date]],"MMMM")</f>
        <v>February</v>
      </c>
      <c r="C2044" t="str">
        <f>TEXT(Table1[[#This Row],[Date]],"DDDD")</f>
        <v>Monday</v>
      </c>
      <c r="D2044" t="s">
        <v>27</v>
      </c>
      <c r="E2044" t="s">
        <v>28</v>
      </c>
      <c r="F2044" t="s">
        <v>29</v>
      </c>
      <c r="G2044" t="s">
        <v>37</v>
      </c>
      <c r="H2044" t="s">
        <v>56</v>
      </c>
      <c r="I2044" t="s">
        <v>32</v>
      </c>
      <c r="J2044" s="3">
        <v>320000</v>
      </c>
      <c r="K2044">
        <v>10</v>
      </c>
      <c r="L2044" t="s">
        <v>33</v>
      </c>
      <c r="M2044" s="3">
        <v>256000</v>
      </c>
      <c r="N2044" s="3">
        <f>Table1[[#This Row],[Unit Price]]*Table1[[#This Row],[Quantity]]</f>
        <v>3200000</v>
      </c>
      <c r="O2044" s="3">
        <f>Table1[[#This Row],[Cost Price]]*Table1[[#This Row],[Quantity]]</f>
        <v>2560000</v>
      </c>
      <c r="P2044" s="3">
        <f>Table1[[#This Row],[Revenue]]-Table1[[#This Row],[COGS]]</f>
        <v>640000</v>
      </c>
      <c r="Q2044" s="1">
        <v>2043</v>
      </c>
    </row>
    <row r="2045" spans="1:17">
      <c r="A2045" t="s">
        <v>173</v>
      </c>
      <c r="B2045" t="str">
        <f>TEXT(Table1[[#This Row],[Date]],"MMMM")</f>
        <v>March</v>
      </c>
      <c r="C2045" t="str">
        <f>TEXT(Table1[[#This Row],[Date]],"DDDD")</f>
        <v>Saturday</v>
      </c>
      <c r="D2045" t="s">
        <v>27</v>
      </c>
      <c r="E2045" t="s">
        <v>36</v>
      </c>
      <c r="F2045" t="s">
        <v>29</v>
      </c>
      <c r="G2045" t="s">
        <v>37</v>
      </c>
      <c r="H2045" t="s">
        <v>38</v>
      </c>
      <c r="I2045" t="s">
        <v>39</v>
      </c>
      <c r="J2045" s="3">
        <v>30000</v>
      </c>
      <c r="K2045">
        <v>1</v>
      </c>
      <c r="L2045" t="s">
        <v>33</v>
      </c>
      <c r="M2045" s="3">
        <v>24000</v>
      </c>
      <c r="N2045" s="3">
        <f>Table1[[#This Row],[Unit Price]]*Table1[[#This Row],[Quantity]]</f>
        <v>30000</v>
      </c>
      <c r="O2045" s="3">
        <f>Table1[[#This Row],[Cost Price]]*Table1[[#This Row],[Quantity]]</f>
        <v>24000</v>
      </c>
      <c r="P2045" s="3">
        <f>Table1[[#This Row],[Revenue]]-Table1[[#This Row],[COGS]]</f>
        <v>6000</v>
      </c>
      <c r="Q2045" s="1">
        <v>2044</v>
      </c>
    </row>
    <row r="2046" spans="1:17">
      <c r="A2046" t="s">
        <v>146</v>
      </c>
      <c r="B2046" t="str">
        <f>TEXT(Table1[[#This Row],[Date]],"MMMM")</f>
        <v>January</v>
      </c>
      <c r="C2046" t="str">
        <f>TEXT(Table1[[#This Row],[Date]],"DDDD")</f>
        <v>Tuesday</v>
      </c>
      <c r="D2046" t="s">
        <v>35</v>
      </c>
      <c r="E2046" t="s">
        <v>36</v>
      </c>
      <c r="F2046" t="s">
        <v>41</v>
      </c>
      <c r="G2046" t="s">
        <v>37</v>
      </c>
      <c r="H2046" t="s">
        <v>31</v>
      </c>
      <c r="I2046" t="s">
        <v>32</v>
      </c>
      <c r="J2046" s="3">
        <v>85000</v>
      </c>
      <c r="K2046">
        <v>2</v>
      </c>
      <c r="L2046" t="s">
        <v>58</v>
      </c>
      <c r="M2046" s="3">
        <v>68000</v>
      </c>
      <c r="N2046" s="3">
        <f>Table1[[#This Row],[Unit Price]]*Table1[[#This Row],[Quantity]]</f>
        <v>170000</v>
      </c>
      <c r="O2046" s="3">
        <f>Table1[[#This Row],[Cost Price]]*Table1[[#This Row],[Quantity]]</f>
        <v>136000</v>
      </c>
      <c r="P2046" s="3">
        <f>Table1[[#This Row],[Revenue]]-Table1[[#This Row],[COGS]]</f>
        <v>34000</v>
      </c>
      <c r="Q2046" s="1">
        <v>2045</v>
      </c>
    </row>
    <row r="2047" spans="1:17">
      <c r="A2047" t="s">
        <v>43</v>
      </c>
      <c r="B2047" t="str">
        <f>TEXT(Table1[[#This Row],[Date]],"MMMM")</f>
        <v>April</v>
      </c>
      <c r="C2047" t="str">
        <f>TEXT(Table1[[#This Row],[Date]],"DDDD")</f>
        <v>Friday</v>
      </c>
      <c r="D2047" t="s">
        <v>27</v>
      </c>
      <c r="E2047" t="s">
        <v>28</v>
      </c>
      <c r="F2047" t="s">
        <v>41</v>
      </c>
      <c r="G2047" t="s">
        <v>30</v>
      </c>
      <c r="H2047" t="s">
        <v>31</v>
      </c>
      <c r="I2047" t="s">
        <v>32</v>
      </c>
      <c r="J2047" s="3">
        <v>85000</v>
      </c>
      <c r="K2047">
        <v>5</v>
      </c>
      <c r="L2047" t="s">
        <v>65</v>
      </c>
      <c r="M2047" s="3">
        <v>68000</v>
      </c>
      <c r="N2047" s="3">
        <f>Table1[[#This Row],[Unit Price]]*Table1[[#This Row],[Quantity]]</f>
        <v>425000</v>
      </c>
      <c r="O2047" s="3">
        <f>Table1[[#This Row],[Cost Price]]*Table1[[#This Row],[Quantity]]</f>
        <v>340000</v>
      </c>
      <c r="P2047" s="3">
        <f>Table1[[#This Row],[Revenue]]-Table1[[#This Row],[COGS]]</f>
        <v>85000</v>
      </c>
      <c r="Q2047" s="1">
        <v>2046</v>
      </c>
    </row>
    <row r="2048" spans="1:17">
      <c r="A2048" t="s">
        <v>136</v>
      </c>
      <c r="B2048" t="str">
        <f>TEXT(Table1[[#This Row],[Date]],"MMMM")</f>
        <v>February</v>
      </c>
      <c r="C2048" t="str">
        <f>TEXT(Table1[[#This Row],[Date]],"DDDD")</f>
        <v>Saturday</v>
      </c>
      <c r="D2048" t="s">
        <v>44</v>
      </c>
      <c r="E2048" t="s">
        <v>28</v>
      </c>
      <c r="F2048" t="s">
        <v>29</v>
      </c>
      <c r="G2048" t="s">
        <v>37</v>
      </c>
      <c r="H2048" t="s">
        <v>71</v>
      </c>
      <c r="I2048" t="s">
        <v>51</v>
      </c>
      <c r="J2048" s="3">
        <v>250000</v>
      </c>
      <c r="K2048">
        <v>8</v>
      </c>
      <c r="L2048" t="s">
        <v>65</v>
      </c>
      <c r="M2048" s="3">
        <v>200000</v>
      </c>
      <c r="N2048" s="3">
        <f>Table1[[#This Row],[Unit Price]]*Table1[[#This Row],[Quantity]]</f>
        <v>2000000</v>
      </c>
      <c r="O2048" s="3">
        <f>Table1[[#This Row],[Cost Price]]*Table1[[#This Row],[Quantity]]</f>
        <v>1600000</v>
      </c>
      <c r="P2048" s="3">
        <f>Table1[[#This Row],[Revenue]]-Table1[[#This Row],[COGS]]</f>
        <v>400000</v>
      </c>
      <c r="Q2048" s="1">
        <v>2047</v>
      </c>
    </row>
    <row r="2049" spans="1:17">
      <c r="A2049" t="s">
        <v>107</v>
      </c>
      <c r="B2049" t="str">
        <f>TEXT(Table1[[#This Row],[Date]],"MMMM")</f>
        <v>February</v>
      </c>
      <c r="C2049" t="str">
        <f>TEXT(Table1[[#This Row],[Date]],"DDDD")</f>
        <v>Wednesday</v>
      </c>
      <c r="D2049" t="s">
        <v>49</v>
      </c>
      <c r="E2049" t="s">
        <v>45</v>
      </c>
      <c r="F2049" t="s">
        <v>41</v>
      </c>
      <c r="G2049" t="s">
        <v>30</v>
      </c>
      <c r="H2049" t="s">
        <v>50</v>
      </c>
      <c r="I2049" t="s">
        <v>51</v>
      </c>
      <c r="J2049" s="3">
        <v>300000</v>
      </c>
      <c r="K2049">
        <v>8</v>
      </c>
      <c r="L2049" t="s">
        <v>58</v>
      </c>
      <c r="M2049" s="3">
        <v>240000</v>
      </c>
      <c r="N2049" s="3">
        <f>Table1[[#This Row],[Unit Price]]*Table1[[#This Row],[Quantity]]</f>
        <v>2400000</v>
      </c>
      <c r="O2049" s="3">
        <f>Table1[[#This Row],[Cost Price]]*Table1[[#This Row],[Quantity]]</f>
        <v>1920000</v>
      </c>
      <c r="P2049" s="3">
        <f>Table1[[#This Row],[Revenue]]-Table1[[#This Row],[COGS]]</f>
        <v>480000</v>
      </c>
      <c r="Q2049" s="1">
        <v>2048</v>
      </c>
    </row>
    <row r="2050" spans="1:17">
      <c r="A2050" t="s">
        <v>116</v>
      </c>
      <c r="B2050" t="str">
        <f>TEXT(Table1[[#This Row],[Date]],"MMMM")</f>
        <v>April</v>
      </c>
      <c r="C2050" t="str">
        <f>TEXT(Table1[[#This Row],[Date]],"DDDD")</f>
        <v>Saturday</v>
      </c>
      <c r="D2050" t="s">
        <v>27</v>
      </c>
      <c r="E2050" t="s">
        <v>36</v>
      </c>
      <c r="F2050" t="s">
        <v>41</v>
      </c>
      <c r="G2050" t="s">
        <v>37</v>
      </c>
      <c r="H2050" t="s">
        <v>54</v>
      </c>
      <c r="I2050" t="s">
        <v>39</v>
      </c>
      <c r="J2050" s="3">
        <v>180000</v>
      </c>
      <c r="K2050">
        <v>9</v>
      </c>
      <c r="L2050" t="s">
        <v>47</v>
      </c>
      <c r="M2050" s="3">
        <v>144000</v>
      </c>
      <c r="N2050" s="3">
        <f>Table1[[#This Row],[Unit Price]]*Table1[[#This Row],[Quantity]]</f>
        <v>1620000</v>
      </c>
      <c r="O2050" s="3">
        <f>Table1[[#This Row],[Cost Price]]*Table1[[#This Row],[Quantity]]</f>
        <v>1296000</v>
      </c>
      <c r="P2050" s="3">
        <f>Table1[[#This Row],[Revenue]]-Table1[[#This Row],[COGS]]</f>
        <v>324000</v>
      </c>
      <c r="Q2050" s="1">
        <v>2049</v>
      </c>
    </row>
    <row r="2051" spans="1:17">
      <c r="A2051" t="s">
        <v>93</v>
      </c>
      <c r="B2051" t="str">
        <f>TEXT(Table1[[#This Row],[Date]],"MMMM")</f>
        <v>April</v>
      </c>
      <c r="C2051" t="str">
        <f>TEXT(Table1[[#This Row],[Date]],"DDDD")</f>
        <v>Friday</v>
      </c>
      <c r="D2051" t="s">
        <v>49</v>
      </c>
      <c r="E2051" t="s">
        <v>53</v>
      </c>
      <c r="F2051" t="s">
        <v>41</v>
      </c>
      <c r="G2051" t="s">
        <v>30</v>
      </c>
      <c r="H2051" t="s">
        <v>46</v>
      </c>
      <c r="I2051" t="s">
        <v>39</v>
      </c>
      <c r="J2051" s="3">
        <v>60000</v>
      </c>
      <c r="K2051">
        <v>4</v>
      </c>
      <c r="L2051" t="s">
        <v>58</v>
      </c>
      <c r="M2051" s="3">
        <v>48000</v>
      </c>
      <c r="N2051" s="3">
        <f>Table1[[#This Row],[Unit Price]]*Table1[[#This Row],[Quantity]]</f>
        <v>240000</v>
      </c>
      <c r="O2051" s="3">
        <f>Table1[[#This Row],[Cost Price]]*Table1[[#This Row],[Quantity]]</f>
        <v>192000</v>
      </c>
      <c r="P2051" s="3">
        <f>Table1[[#This Row],[Revenue]]-Table1[[#This Row],[COGS]]</f>
        <v>48000</v>
      </c>
      <c r="Q2051" s="1">
        <v>2050</v>
      </c>
    </row>
    <row r="2052" spans="1:17">
      <c r="A2052" t="s">
        <v>134</v>
      </c>
      <c r="B2052" t="str">
        <f>TEXT(Table1[[#This Row],[Date]],"MMMM")</f>
        <v>January</v>
      </c>
      <c r="C2052" t="str">
        <f>TEXT(Table1[[#This Row],[Date]],"DDDD")</f>
        <v>Wednesday</v>
      </c>
      <c r="D2052" t="s">
        <v>44</v>
      </c>
      <c r="E2052" t="s">
        <v>28</v>
      </c>
      <c r="F2052" t="s">
        <v>29</v>
      </c>
      <c r="G2052" t="s">
        <v>37</v>
      </c>
      <c r="H2052" t="s">
        <v>46</v>
      </c>
      <c r="I2052" t="s">
        <v>39</v>
      </c>
      <c r="J2052" s="3">
        <v>60000</v>
      </c>
      <c r="K2052">
        <v>3</v>
      </c>
      <c r="L2052" t="s">
        <v>58</v>
      </c>
      <c r="M2052" s="3">
        <v>48000</v>
      </c>
      <c r="N2052" s="3">
        <f>Table1[[#This Row],[Unit Price]]*Table1[[#This Row],[Quantity]]</f>
        <v>180000</v>
      </c>
      <c r="O2052" s="3">
        <f>Table1[[#This Row],[Cost Price]]*Table1[[#This Row],[Quantity]]</f>
        <v>144000</v>
      </c>
      <c r="P2052" s="3">
        <f>Table1[[#This Row],[Revenue]]-Table1[[#This Row],[COGS]]</f>
        <v>36000</v>
      </c>
      <c r="Q2052" s="1">
        <v>2051</v>
      </c>
    </row>
    <row r="2053" spans="1:17">
      <c r="A2053" t="s">
        <v>106</v>
      </c>
      <c r="B2053" t="str">
        <f>TEXT(Table1[[#This Row],[Date]],"MMMM")</f>
        <v>April</v>
      </c>
      <c r="C2053" t="str">
        <f>TEXT(Table1[[#This Row],[Date]],"DDDD")</f>
        <v>Wednesday</v>
      </c>
      <c r="D2053" t="s">
        <v>44</v>
      </c>
      <c r="E2053" t="s">
        <v>28</v>
      </c>
      <c r="F2053" t="s">
        <v>29</v>
      </c>
      <c r="G2053" t="s">
        <v>30</v>
      </c>
      <c r="H2053" t="s">
        <v>73</v>
      </c>
      <c r="I2053" t="s">
        <v>39</v>
      </c>
      <c r="J2053" s="3">
        <v>220000</v>
      </c>
      <c r="K2053">
        <v>6</v>
      </c>
      <c r="L2053" t="s">
        <v>65</v>
      </c>
      <c r="M2053" s="3">
        <v>176000</v>
      </c>
      <c r="N2053" s="3">
        <f>Table1[[#This Row],[Unit Price]]*Table1[[#This Row],[Quantity]]</f>
        <v>1320000</v>
      </c>
      <c r="O2053" s="3">
        <f>Table1[[#This Row],[Cost Price]]*Table1[[#This Row],[Quantity]]</f>
        <v>1056000</v>
      </c>
      <c r="P2053" s="3">
        <f>Table1[[#This Row],[Revenue]]-Table1[[#This Row],[COGS]]</f>
        <v>264000</v>
      </c>
      <c r="Q2053" s="1">
        <v>2052</v>
      </c>
    </row>
    <row r="2054" spans="1:17">
      <c r="A2054" t="s">
        <v>55</v>
      </c>
      <c r="B2054" t="str">
        <f>TEXT(Table1[[#This Row],[Date]],"MMMM")</f>
        <v>March</v>
      </c>
      <c r="C2054" t="str">
        <f>TEXT(Table1[[#This Row],[Date]],"DDDD")</f>
        <v>Sunday</v>
      </c>
      <c r="D2054" t="s">
        <v>35</v>
      </c>
      <c r="E2054" t="s">
        <v>45</v>
      </c>
      <c r="F2054" t="s">
        <v>29</v>
      </c>
      <c r="G2054" t="s">
        <v>37</v>
      </c>
      <c r="H2054" t="s">
        <v>56</v>
      </c>
      <c r="I2054" t="s">
        <v>32</v>
      </c>
      <c r="J2054" s="3">
        <v>320000</v>
      </c>
      <c r="K2054">
        <v>9</v>
      </c>
      <c r="L2054" t="s">
        <v>58</v>
      </c>
      <c r="M2054" s="3">
        <v>256000</v>
      </c>
      <c r="N2054" s="3">
        <f>Table1[[#This Row],[Unit Price]]*Table1[[#This Row],[Quantity]]</f>
        <v>2880000</v>
      </c>
      <c r="O2054" s="3">
        <f>Table1[[#This Row],[Cost Price]]*Table1[[#This Row],[Quantity]]</f>
        <v>2304000</v>
      </c>
      <c r="P2054" s="3">
        <f>Table1[[#This Row],[Revenue]]-Table1[[#This Row],[COGS]]</f>
        <v>576000</v>
      </c>
      <c r="Q2054" s="1">
        <v>2053</v>
      </c>
    </row>
    <row r="2055" spans="1:17">
      <c r="A2055" t="s">
        <v>26</v>
      </c>
      <c r="B2055" t="str">
        <f>TEXT(Table1[[#This Row],[Date]],"MMMM")</f>
        <v>January</v>
      </c>
      <c r="C2055" t="str">
        <f>TEXT(Table1[[#This Row],[Date]],"DDDD")</f>
        <v>Sunday</v>
      </c>
      <c r="D2055" t="s">
        <v>44</v>
      </c>
      <c r="E2055" t="s">
        <v>45</v>
      </c>
      <c r="F2055" t="s">
        <v>29</v>
      </c>
      <c r="G2055" t="s">
        <v>37</v>
      </c>
      <c r="H2055" t="s">
        <v>67</v>
      </c>
      <c r="I2055" t="s">
        <v>51</v>
      </c>
      <c r="J2055" s="3">
        <v>420000</v>
      </c>
      <c r="K2055">
        <v>3</v>
      </c>
      <c r="L2055" t="s">
        <v>42</v>
      </c>
      <c r="M2055" s="3">
        <v>336000</v>
      </c>
      <c r="N2055" s="3">
        <f>Table1[[#This Row],[Unit Price]]*Table1[[#This Row],[Quantity]]</f>
        <v>1260000</v>
      </c>
      <c r="O2055" s="3">
        <f>Table1[[#This Row],[Cost Price]]*Table1[[#This Row],[Quantity]]</f>
        <v>1008000</v>
      </c>
      <c r="P2055" s="3">
        <f>Table1[[#This Row],[Revenue]]-Table1[[#This Row],[COGS]]</f>
        <v>252000</v>
      </c>
      <c r="Q2055" s="1">
        <v>2054</v>
      </c>
    </row>
    <row r="2056" spans="1:17">
      <c r="A2056" t="s">
        <v>123</v>
      </c>
      <c r="B2056" t="str">
        <f>TEXT(Table1[[#This Row],[Date]],"MMMM")</f>
        <v>April</v>
      </c>
      <c r="C2056" t="str">
        <f>TEXT(Table1[[#This Row],[Date]],"DDDD")</f>
        <v>Monday</v>
      </c>
      <c r="D2056" t="s">
        <v>35</v>
      </c>
      <c r="E2056" t="s">
        <v>53</v>
      </c>
      <c r="F2056" t="s">
        <v>41</v>
      </c>
      <c r="G2056" t="s">
        <v>37</v>
      </c>
      <c r="H2056" t="s">
        <v>54</v>
      </c>
      <c r="I2056" t="s">
        <v>39</v>
      </c>
      <c r="J2056" s="3">
        <v>180000</v>
      </c>
      <c r="K2056">
        <v>9</v>
      </c>
      <c r="L2056" t="s">
        <v>33</v>
      </c>
      <c r="M2056" s="3">
        <v>144000</v>
      </c>
      <c r="N2056" s="3">
        <f>Table1[[#This Row],[Unit Price]]*Table1[[#This Row],[Quantity]]</f>
        <v>1620000</v>
      </c>
      <c r="O2056" s="3">
        <f>Table1[[#This Row],[Cost Price]]*Table1[[#This Row],[Quantity]]</f>
        <v>1296000</v>
      </c>
      <c r="P2056" s="3">
        <f>Table1[[#This Row],[Revenue]]-Table1[[#This Row],[COGS]]</f>
        <v>324000</v>
      </c>
      <c r="Q2056" s="1">
        <v>2055</v>
      </c>
    </row>
    <row r="2057" spans="1:17">
      <c r="A2057" t="s">
        <v>172</v>
      </c>
      <c r="B2057" t="str">
        <f>TEXT(Table1[[#This Row],[Date]],"MMMM")</f>
        <v>March</v>
      </c>
      <c r="C2057" t="str">
        <f>TEXT(Table1[[#This Row],[Date]],"DDDD")</f>
        <v>Saturday</v>
      </c>
      <c r="D2057" t="s">
        <v>44</v>
      </c>
      <c r="E2057" t="s">
        <v>53</v>
      </c>
      <c r="F2057" t="s">
        <v>41</v>
      </c>
      <c r="G2057" t="s">
        <v>37</v>
      </c>
      <c r="H2057" t="s">
        <v>46</v>
      </c>
      <c r="I2057" t="s">
        <v>39</v>
      </c>
      <c r="J2057" s="3">
        <v>60000</v>
      </c>
      <c r="K2057">
        <v>1</v>
      </c>
      <c r="L2057" t="s">
        <v>33</v>
      </c>
      <c r="M2057" s="3">
        <v>48000</v>
      </c>
      <c r="N2057" s="3">
        <f>Table1[[#This Row],[Unit Price]]*Table1[[#This Row],[Quantity]]</f>
        <v>60000</v>
      </c>
      <c r="O2057" s="3">
        <f>Table1[[#This Row],[Cost Price]]*Table1[[#This Row],[Quantity]]</f>
        <v>48000</v>
      </c>
      <c r="P2057" s="3">
        <f>Table1[[#This Row],[Revenue]]-Table1[[#This Row],[COGS]]</f>
        <v>12000</v>
      </c>
      <c r="Q2057" s="1">
        <v>2056</v>
      </c>
    </row>
    <row r="2058" spans="1:17">
      <c r="A2058" t="s">
        <v>87</v>
      </c>
      <c r="B2058" t="str">
        <f>TEXT(Table1[[#This Row],[Date]],"MMMM")</f>
        <v>March</v>
      </c>
      <c r="C2058" t="str">
        <f>TEXT(Table1[[#This Row],[Date]],"DDDD")</f>
        <v>Thursday</v>
      </c>
      <c r="D2058" t="s">
        <v>27</v>
      </c>
      <c r="E2058" t="s">
        <v>45</v>
      </c>
      <c r="F2058" t="s">
        <v>41</v>
      </c>
      <c r="G2058" t="s">
        <v>37</v>
      </c>
      <c r="H2058" t="s">
        <v>71</v>
      </c>
      <c r="I2058" t="s">
        <v>51</v>
      </c>
      <c r="J2058" s="3">
        <v>250000</v>
      </c>
      <c r="K2058">
        <v>5</v>
      </c>
      <c r="L2058" t="s">
        <v>58</v>
      </c>
      <c r="M2058" s="3">
        <v>200000</v>
      </c>
      <c r="N2058" s="3">
        <f>Table1[[#This Row],[Unit Price]]*Table1[[#This Row],[Quantity]]</f>
        <v>1250000</v>
      </c>
      <c r="O2058" s="3">
        <f>Table1[[#This Row],[Cost Price]]*Table1[[#This Row],[Quantity]]</f>
        <v>1000000</v>
      </c>
      <c r="P2058" s="3">
        <f>Table1[[#This Row],[Revenue]]-Table1[[#This Row],[COGS]]</f>
        <v>250000</v>
      </c>
      <c r="Q2058" s="1">
        <v>2057</v>
      </c>
    </row>
    <row r="2059" spans="1:17">
      <c r="A2059" t="s">
        <v>43</v>
      </c>
      <c r="B2059" t="str">
        <f>TEXT(Table1[[#This Row],[Date]],"MMMM")</f>
        <v>April</v>
      </c>
      <c r="C2059" t="str">
        <f>TEXT(Table1[[#This Row],[Date]],"DDDD")</f>
        <v>Friday</v>
      </c>
      <c r="D2059" t="s">
        <v>27</v>
      </c>
      <c r="E2059" t="s">
        <v>28</v>
      </c>
      <c r="F2059" t="s">
        <v>41</v>
      </c>
      <c r="G2059" t="s">
        <v>37</v>
      </c>
      <c r="H2059" t="s">
        <v>38</v>
      </c>
      <c r="I2059" t="s">
        <v>39</v>
      </c>
      <c r="J2059" s="3">
        <v>30000</v>
      </c>
      <c r="K2059">
        <v>8</v>
      </c>
      <c r="L2059" t="s">
        <v>33</v>
      </c>
      <c r="M2059" s="3">
        <v>24000</v>
      </c>
      <c r="N2059" s="3">
        <f>Table1[[#This Row],[Unit Price]]*Table1[[#This Row],[Quantity]]</f>
        <v>240000</v>
      </c>
      <c r="O2059" s="3">
        <f>Table1[[#This Row],[Cost Price]]*Table1[[#This Row],[Quantity]]</f>
        <v>192000</v>
      </c>
      <c r="P2059" s="3">
        <f>Table1[[#This Row],[Revenue]]-Table1[[#This Row],[COGS]]</f>
        <v>48000</v>
      </c>
      <c r="Q2059" s="1">
        <v>2058</v>
      </c>
    </row>
    <row r="2060" spans="1:17">
      <c r="A2060" t="s">
        <v>136</v>
      </c>
      <c r="B2060" t="str">
        <f>TEXT(Table1[[#This Row],[Date]],"MMMM")</f>
        <v>February</v>
      </c>
      <c r="C2060" t="str">
        <f>TEXT(Table1[[#This Row],[Date]],"DDDD")</f>
        <v>Saturday</v>
      </c>
      <c r="D2060" t="s">
        <v>49</v>
      </c>
      <c r="E2060" t="s">
        <v>28</v>
      </c>
      <c r="F2060" t="s">
        <v>29</v>
      </c>
      <c r="G2060" t="s">
        <v>30</v>
      </c>
      <c r="H2060" t="s">
        <v>54</v>
      </c>
      <c r="I2060" t="s">
        <v>39</v>
      </c>
      <c r="J2060" s="3">
        <v>180000</v>
      </c>
      <c r="K2060">
        <v>6</v>
      </c>
      <c r="L2060" t="s">
        <v>33</v>
      </c>
      <c r="M2060" s="3">
        <v>144000</v>
      </c>
      <c r="N2060" s="3">
        <f>Table1[[#This Row],[Unit Price]]*Table1[[#This Row],[Quantity]]</f>
        <v>1080000</v>
      </c>
      <c r="O2060" s="3">
        <f>Table1[[#This Row],[Cost Price]]*Table1[[#This Row],[Quantity]]</f>
        <v>864000</v>
      </c>
      <c r="P2060" s="3">
        <f>Table1[[#This Row],[Revenue]]-Table1[[#This Row],[COGS]]</f>
        <v>216000</v>
      </c>
      <c r="Q2060" s="1">
        <v>2059</v>
      </c>
    </row>
    <row r="2061" spans="1:17">
      <c r="A2061" t="s">
        <v>123</v>
      </c>
      <c r="B2061" t="str">
        <f>TEXT(Table1[[#This Row],[Date]],"MMMM")</f>
        <v>April</v>
      </c>
      <c r="C2061" t="str">
        <f>TEXT(Table1[[#This Row],[Date]],"DDDD")</f>
        <v>Monday</v>
      </c>
      <c r="D2061" t="s">
        <v>35</v>
      </c>
      <c r="E2061" t="s">
        <v>45</v>
      </c>
      <c r="F2061" t="s">
        <v>29</v>
      </c>
      <c r="G2061" t="s">
        <v>37</v>
      </c>
      <c r="H2061" t="s">
        <v>46</v>
      </c>
      <c r="I2061" t="s">
        <v>39</v>
      </c>
      <c r="J2061" s="3">
        <v>60000</v>
      </c>
      <c r="K2061">
        <v>1</v>
      </c>
      <c r="L2061" t="s">
        <v>47</v>
      </c>
      <c r="M2061" s="3">
        <v>48000</v>
      </c>
      <c r="N2061" s="3">
        <f>Table1[[#This Row],[Unit Price]]*Table1[[#This Row],[Quantity]]</f>
        <v>60000</v>
      </c>
      <c r="O2061" s="3">
        <f>Table1[[#This Row],[Cost Price]]*Table1[[#This Row],[Quantity]]</f>
        <v>48000</v>
      </c>
      <c r="P2061" s="3">
        <f>Table1[[#This Row],[Revenue]]-Table1[[#This Row],[COGS]]</f>
        <v>12000</v>
      </c>
      <c r="Q2061" s="1">
        <v>2060</v>
      </c>
    </row>
    <row r="2062" spans="1:17">
      <c r="A2062" t="s">
        <v>48</v>
      </c>
      <c r="B2062" t="str">
        <f>TEXT(Table1[[#This Row],[Date]],"MMMM")</f>
        <v>April</v>
      </c>
      <c r="C2062" t="str">
        <f>TEXT(Table1[[#This Row],[Date]],"DDDD")</f>
        <v>Sunday</v>
      </c>
      <c r="D2062" t="s">
        <v>35</v>
      </c>
      <c r="E2062" t="s">
        <v>45</v>
      </c>
      <c r="F2062" t="s">
        <v>29</v>
      </c>
      <c r="G2062" t="s">
        <v>30</v>
      </c>
      <c r="H2062" t="s">
        <v>62</v>
      </c>
      <c r="I2062" t="s">
        <v>51</v>
      </c>
      <c r="J2062" s="3">
        <v>150000</v>
      </c>
      <c r="K2062">
        <v>5</v>
      </c>
      <c r="L2062" t="s">
        <v>69</v>
      </c>
      <c r="M2062" s="3">
        <v>120000</v>
      </c>
      <c r="N2062" s="3">
        <f>Table1[[#This Row],[Unit Price]]*Table1[[#This Row],[Quantity]]</f>
        <v>750000</v>
      </c>
      <c r="O2062" s="3">
        <f>Table1[[#This Row],[Cost Price]]*Table1[[#This Row],[Quantity]]</f>
        <v>600000</v>
      </c>
      <c r="P2062" s="3">
        <f>Table1[[#This Row],[Revenue]]-Table1[[#This Row],[COGS]]</f>
        <v>150000</v>
      </c>
      <c r="Q2062" s="1">
        <v>2061</v>
      </c>
    </row>
    <row r="2063" spans="1:17">
      <c r="A2063" t="s">
        <v>177</v>
      </c>
      <c r="B2063" t="str">
        <f>TEXT(Table1[[#This Row],[Date]],"MMMM")</f>
        <v>March</v>
      </c>
      <c r="C2063" t="str">
        <f>TEXT(Table1[[#This Row],[Date]],"DDDD")</f>
        <v>Wednesday</v>
      </c>
      <c r="D2063" t="s">
        <v>49</v>
      </c>
      <c r="E2063" t="s">
        <v>36</v>
      </c>
      <c r="F2063" t="s">
        <v>41</v>
      </c>
      <c r="G2063" t="s">
        <v>37</v>
      </c>
      <c r="H2063" t="s">
        <v>31</v>
      </c>
      <c r="I2063" t="s">
        <v>32</v>
      </c>
      <c r="J2063" s="3">
        <v>85000</v>
      </c>
      <c r="K2063">
        <v>1</v>
      </c>
      <c r="L2063" t="s">
        <v>69</v>
      </c>
      <c r="M2063" s="3">
        <v>68000</v>
      </c>
      <c r="N2063" s="3">
        <f>Table1[[#This Row],[Unit Price]]*Table1[[#This Row],[Quantity]]</f>
        <v>85000</v>
      </c>
      <c r="O2063" s="3">
        <f>Table1[[#This Row],[Cost Price]]*Table1[[#This Row],[Quantity]]</f>
        <v>68000</v>
      </c>
      <c r="P2063" s="3">
        <f>Table1[[#This Row],[Revenue]]-Table1[[#This Row],[COGS]]</f>
        <v>17000</v>
      </c>
      <c r="Q2063" s="1">
        <v>2062</v>
      </c>
    </row>
    <row r="2064" spans="1:17">
      <c r="A2064" t="s">
        <v>63</v>
      </c>
      <c r="B2064" t="str">
        <f>TEXT(Table1[[#This Row],[Date]],"MMMM")</f>
        <v>January</v>
      </c>
      <c r="C2064" t="str">
        <f>TEXT(Table1[[#This Row],[Date]],"DDDD")</f>
        <v>Monday</v>
      </c>
      <c r="D2064" t="s">
        <v>44</v>
      </c>
      <c r="E2064" t="s">
        <v>36</v>
      </c>
      <c r="F2064" t="s">
        <v>41</v>
      </c>
      <c r="G2064" t="s">
        <v>37</v>
      </c>
      <c r="H2064" t="s">
        <v>62</v>
      </c>
      <c r="I2064" t="s">
        <v>51</v>
      </c>
      <c r="J2064" s="3">
        <v>150000</v>
      </c>
      <c r="K2064">
        <v>7</v>
      </c>
      <c r="L2064" t="s">
        <v>58</v>
      </c>
      <c r="M2064" s="3">
        <v>120000</v>
      </c>
      <c r="N2064" s="3">
        <f>Table1[[#This Row],[Unit Price]]*Table1[[#This Row],[Quantity]]</f>
        <v>1050000</v>
      </c>
      <c r="O2064" s="3">
        <f>Table1[[#This Row],[Cost Price]]*Table1[[#This Row],[Quantity]]</f>
        <v>840000</v>
      </c>
      <c r="P2064" s="3">
        <f>Table1[[#This Row],[Revenue]]-Table1[[#This Row],[COGS]]</f>
        <v>210000</v>
      </c>
      <c r="Q2064" s="1">
        <v>2063</v>
      </c>
    </row>
    <row r="2065" spans="1:17">
      <c r="A2065" t="s">
        <v>98</v>
      </c>
      <c r="B2065" t="str">
        <f>TEXT(Table1[[#This Row],[Date]],"MMMM")</f>
        <v>January</v>
      </c>
      <c r="C2065" t="str">
        <f>TEXT(Table1[[#This Row],[Date]],"DDDD")</f>
        <v>Friday</v>
      </c>
      <c r="D2065" t="s">
        <v>49</v>
      </c>
      <c r="E2065" t="s">
        <v>45</v>
      </c>
      <c r="F2065" t="s">
        <v>41</v>
      </c>
      <c r="G2065" t="s">
        <v>37</v>
      </c>
      <c r="H2065" t="s">
        <v>54</v>
      </c>
      <c r="I2065" t="s">
        <v>39</v>
      </c>
      <c r="J2065" s="3">
        <v>180000</v>
      </c>
      <c r="K2065">
        <v>4</v>
      </c>
      <c r="L2065" t="s">
        <v>33</v>
      </c>
      <c r="M2065" s="3">
        <v>144000</v>
      </c>
      <c r="N2065" s="3">
        <f>Table1[[#This Row],[Unit Price]]*Table1[[#This Row],[Quantity]]</f>
        <v>720000</v>
      </c>
      <c r="O2065" s="3">
        <f>Table1[[#This Row],[Cost Price]]*Table1[[#This Row],[Quantity]]</f>
        <v>576000</v>
      </c>
      <c r="P2065" s="3">
        <f>Table1[[#This Row],[Revenue]]-Table1[[#This Row],[COGS]]</f>
        <v>144000</v>
      </c>
      <c r="Q2065" s="1">
        <v>2064</v>
      </c>
    </row>
    <row r="2066" spans="1:17">
      <c r="A2066" t="s">
        <v>117</v>
      </c>
      <c r="B2066" t="str">
        <f>TEXT(Table1[[#This Row],[Date]],"MMMM")</f>
        <v>January</v>
      </c>
      <c r="C2066" t="str">
        <f>TEXT(Table1[[#This Row],[Date]],"DDDD")</f>
        <v>Wednesday</v>
      </c>
      <c r="D2066" t="s">
        <v>49</v>
      </c>
      <c r="E2066" t="s">
        <v>45</v>
      </c>
      <c r="F2066" t="s">
        <v>41</v>
      </c>
      <c r="G2066" t="s">
        <v>37</v>
      </c>
      <c r="H2066" t="s">
        <v>31</v>
      </c>
      <c r="I2066" t="s">
        <v>32</v>
      </c>
      <c r="J2066" s="3">
        <v>85000</v>
      </c>
      <c r="K2066">
        <v>8</v>
      </c>
      <c r="L2066" t="s">
        <v>33</v>
      </c>
      <c r="M2066" s="3">
        <v>68000</v>
      </c>
      <c r="N2066" s="3">
        <f>Table1[[#This Row],[Unit Price]]*Table1[[#This Row],[Quantity]]</f>
        <v>680000</v>
      </c>
      <c r="O2066" s="3">
        <f>Table1[[#This Row],[Cost Price]]*Table1[[#This Row],[Quantity]]</f>
        <v>544000</v>
      </c>
      <c r="P2066" s="3">
        <f>Table1[[#This Row],[Revenue]]-Table1[[#This Row],[COGS]]</f>
        <v>136000</v>
      </c>
      <c r="Q2066" s="1">
        <v>2065</v>
      </c>
    </row>
    <row r="2067" spans="1:17">
      <c r="A2067" t="s">
        <v>164</v>
      </c>
      <c r="B2067" t="str">
        <f>TEXT(Table1[[#This Row],[Date]],"MMMM")</f>
        <v>March</v>
      </c>
      <c r="C2067" t="str">
        <f>TEXT(Table1[[#This Row],[Date]],"DDDD")</f>
        <v>Tuesday</v>
      </c>
      <c r="D2067" t="s">
        <v>49</v>
      </c>
      <c r="E2067" t="s">
        <v>53</v>
      </c>
      <c r="F2067" t="s">
        <v>41</v>
      </c>
      <c r="G2067" t="s">
        <v>37</v>
      </c>
      <c r="H2067" t="s">
        <v>56</v>
      </c>
      <c r="I2067" t="s">
        <v>32</v>
      </c>
      <c r="J2067" s="3">
        <v>320000</v>
      </c>
      <c r="K2067">
        <v>4</v>
      </c>
      <c r="L2067" t="s">
        <v>42</v>
      </c>
      <c r="M2067" s="3">
        <v>256000</v>
      </c>
      <c r="N2067" s="3">
        <f>Table1[[#This Row],[Unit Price]]*Table1[[#This Row],[Quantity]]</f>
        <v>1280000</v>
      </c>
      <c r="O2067" s="3">
        <f>Table1[[#This Row],[Cost Price]]*Table1[[#This Row],[Quantity]]</f>
        <v>1024000</v>
      </c>
      <c r="P2067" s="3">
        <f>Table1[[#This Row],[Revenue]]-Table1[[#This Row],[COGS]]</f>
        <v>256000</v>
      </c>
      <c r="Q2067" s="1">
        <v>2066</v>
      </c>
    </row>
    <row r="2068" spans="1:17">
      <c r="A2068" t="s">
        <v>81</v>
      </c>
      <c r="B2068" t="str">
        <f>TEXT(Table1[[#This Row],[Date]],"MMMM")</f>
        <v>March</v>
      </c>
      <c r="C2068" t="str">
        <f>TEXT(Table1[[#This Row],[Date]],"DDDD")</f>
        <v>Sunday</v>
      </c>
      <c r="D2068" t="s">
        <v>27</v>
      </c>
      <c r="E2068" t="s">
        <v>45</v>
      </c>
      <c r="F2068" t="s">
        <v>29</v>
      </c>
      <c r="G2068" t="s">
        <v>37</v>
      </c>
      <c r="H2068" t="s">
        <v>71</v>
      </c>
      <c r="I2068" t="s">
        <v>51</v>
      </c>
      <c r="J2068" s="3">
        <v>250000</v>
      </c>
      <c r="K2068">
        <v>6</v>
      </c>
      <c r="L2068" t="s">
        <v>58</v>
      </c>
      <c r="M2068" s="3">
        <v>200000</v>
      </c>
      <c r="N2068" s="3">
        <f>Table1[[#This Row],[Unit Price]]*Table1[[#This Row],[Quantity]]</f>
        <v>1500000</v>
      </c>
      <c r="O2068" s="3">
        <f>Table1[[#This Row],[Cost Price]]*Table1[[#This Row],[Quantity]]</f>
        <v>1200000</v>
      </c>
      <c r="P2068" s="3">
        <f>Table1[[#This Row],[Revenue]]-Table1[[#This Row],[COGS]]</f>
        <v>300000</v>
      </c>
      <c r="Q2068" s="1">
        <v>2067</v>
      </c>
    </row>
    <row r="2069" spans="1:17">
      <c r="A2069" t="s">
        <v>122</v>
      </c>
      <c r="B2069" t="str">
        <f>TEXT(Table1[[#This Row],[Date]],"MMMM")</f>
        <v>March</v>
      </c>
      <c r="C2069" t="str">
        <f>TEXT(Table1[[#This Row],[Date]],"DDDD")</f>
        <v>Thursday</v>
      </c>
      <c r="D2069" t="s">
        <v>27</v>
      </c>
      <c r="E2069" t="s">
        <v>45</v>
      </c>
      <c r="F2069" t="s">
        <v>29</v>
      </c>
      <c r="G2069" t="s">
        <v>37</v>
      </c>
      <c r="H2069" t="s">
        <v>73</v>
      </c>
      <c r="I2069" t="s">
        <v>39</v>
      </c>
      <c r="J2069" s="3">
        <v>220000</v>
      </c>
      <c r="K2069">
        <v>5</v>
      </c>
      <c r="L2069" t="s">
        <v>47</v>
      </c>
      <c r="M2069" s="3">
        <v>176000</v>
      </c>
      <c r="N2069" s="3">
        <f>Table1[[#This Row],[Unit Price]]*Table1[[#This Row],[Quantity]]</f>
        <v>1100000</v>
      </c>
      <c r="O2069" s="3">
        <f>Table1[[#This Row],[Cost Price]]*Table1[[#This Row],[Quantity]]</f>
        <v>880000</v>
      </c>
      <c r="P2069" s="3">
        <f>Table1[[#This Row],[Revenue]]-Table1[[#This Row],[COGS]]</f>
        <v>220000</v>
      </c>
      <c r="Q2069" s="1">
        <v>2068</v>
      </c>
    </row>
    <row r="2070" spans="1:17">
      <c r="A2070" t="s">
        <v>90</v>
      </c>
      <c r="B2070" t="str">
        <f>TEXT(Table1[[#This Row],[Date]],"MMMM")</f>
        <v>February</v>
      </c>
      <c r="C2070" t="str">
        <f>TEXT(Table1[[#This Row],[Date]],"DDDD")</f>
        <v>Tuesday</v>
      </c>
      <c r="D2070" t="s">
        <v>44</v>
      </c>
      <c r="E2070" t="s">
        <v>36</v>
      </c>
      <c r="F2070" t="s">
        <v>41</v>
      </c>
      <c r="G2070" t="s">
        <v>37</v>
      </c>
      <c r="H2070" t="s">
        <v>50</v>
      </c>
      <c r="I2070" t="s">
        <v>51</v>
      </c>
      <c r="J2070" s="3">
        <v>300000</v>
      </c>
      <c r="K2070">
        <v>8</v>
      </c>
      <c r="L2070" t="s">
        <v>65</v>
      </c>
      <c r="M2070" s="3">
        <v>240000</v>
      </c>
      <c r="N2070" s="3">
        <f>Table1[[#This Row],[Unit Price]]*Table1[[#This Row],[Quantity]]</f>
        <v>2400000</v>
      </c>
      <c r="O2070" s="3">
        <f>Table1[[#This Row],[Cost Price]]*Table1[[#This Row],[Quantity]]</f>
        <v>1920000</v>
      </c>
      <c r="P2070" s="3">
        <f>Table1[[#This Row],[Revenue]]-Table1[[#This Row],[COGS]]</f>
        <v>480000</v>
      </c>
      <c r="Q2070" s="1">
        <v>2069</v>
      </c>
    </row>
    <row r="2071" spans="1:17">
      <c r="A2071" t="s">
        <v>105</v>
      </c>
      <c r="B2071" t="str">
        <f>TEXT(Table1[[#This Row],[Date]],"MMMM")</f>
        <v>March</v>
      </c>
      <c r="C2071" t="str">
        <f>TEXT(Table1[[#This Row],[Date]],"DDDD")</f>
        <v>Friday</v>
      </c>
      <c r="D2071" t="s">
        <v>44</v>
      </c>
      <c r="E2071" t="s">
        <v>53</v>
      </c>
      <c r="F2071" t="s">
        <v>29</v>
      </c>
      <c r="G2071" t="s">
        <v>37</v>
      </c>
      <c r="H2071" t="s">
        <v>46</v>
      </c>
      <c r="I2071" t="s">
        <v>39</v>
      </c>
      <c r="J2071" s="3">
        <v>60000</v>
      </c>
      <c r="K2071">
        <v>10</v>
      </c>
      <c r="L2071" t="s">
        <v>47</v>
      </c>
      <c r="M2071" s="3">
        <v>48000</v>
      </c>
      <c r="N2071" s="3">
        <f>Table1[[#This Row],[Unit Price]]*Table1[[#This Row],[Quantity]]</f>
        <v>600000</v>
      </c>
      <c r="O2071" s="3">
        <f>Table1[[#This Row],[Cost Price]]*Table1[[#This Row],[Quantity]]</f>
        <v>480000</v>
      </c>
      <c r="P2071" s="3">
        <f>Table1[[#This Row],[Revenue]]-Table1[[#This Row],[COGS]]</f>
        <v>120000</v>
      </c>
      <c r="Q2071" s="1">
        <v>2070</v>
      </c>
    </row>
    <row r="2072" spans="1:17">
      <c r="A2072" t="s">
        <v>100</v>
      </c>
      <c r="B2072" t="str">
        <f>TEXT(Table1[[#This Row],[Date]],"MMMM")</f>
        <v>January</v>
      </c>
      <c r="C2072" t="str">
        <f>TEXT(Table1[[#This Row],[Date]],"DDDD")</f>
        <v>Monday</v>
      </c>
      <c r="D2072" t="s">
        <v>44</v>
      </c>
      <c r="E2072" t="s">
        <v>36</v>
      </c>
      <c r="F2072" t="s">
        <v>29</v>
      </c>
      <c r="G2072" t="s">
        <v>37</v>
      </c>
      <c r="H2072" t="s">
        <v>54</v>
      </c>
      <c r="I2072" t="s">
        <v>39</v>
      </c>
      <c r="J2072" s="3">
        <v>180000</v>
      </c>
      <c r="K2072">
        <v>6</v>
      </c>
      <c r="L2072" t="s">
        <v>69</v>
      </c>
      <c r="M2072" s="3">
        <v>144000</v>
      </c>
      <c r="N2072" s="3">
        <f>Table1[[#This Row],[Unit Price]]*Table1[[#This Row],[Quantity]]</f>
        <v>1080000</v>
      </c>
      <c r="O2072" s="3">
        <f>Table1[[#This Row],[Cost Price]]*Table1[[#This Row],[Quantity]]</f>
        <v>864000</v>
      </c>
      <c r="P2072" s="3">
        <f>Table1[[#This Row],[Revenue]]-Table1[[#This Row],[COGS]]</f>
        <v>216000</v>
      </c>
      <c r="Q2072" s="1">
        <v>2071</v>
      </c>
    </row>
    <row r="2073" spans="1:17">
      <c r="A2073" t="s">
        <v>165</v>
      </c>
      <c r="B2073" t="str">
        <f>TEXT(Table1[[#This Row],[Date]],"MMMM")</f>
        <v>April</v>
      </c>
      <c r="C2073" t="str">
        <f>TEXT(Table1[[#This Row],[Date]],"DDDD")</f>
        <v>Sunday</v>
      </c>
      <c r="D2073" t="s">
        <v>44</v>
      </c>
      <c r="E2073" t="s">
        <v>45</v>
      </c>
      <c r="F2073" t="s">
        <v>41</v>
      </c>
      <c r="G2073" t="s">
        <v>37</v>
      </c>
      <c r="H2073" t="s">
        <v>46</v>
      </c>
      <c r="I2073" t="s">
        <v>39</v>
      </c>
      <c r="J2073" s="3">
        <v>60000</v>
      </c>
      <c r="K2073">
        <v>3</v>
      </c>
      <c r="L2073" t="s">
        <v>65</v>
      </c>
      <c r="M2073" s="3">
        <v>48000</v>
      </c>
      <c r="N2073" s="3">
        <f>Table1[[#This Row],[Unit Price]]*Table1[[#This Row],[Quantity]]</f>
        <v>180000</v>
      </c>
      <c r="O2073" s="3">
        <f>Table1[[#This Row],[Cost Price]]*Table1[[#This Row],[Quantity]]</f>
        <v>144000</v>
      </c>
      <c r="P2073" s="3">
        <f>Table1[[#This Row],[Revenue]]-Table1[[#This Row],[COGS]]</f>
        <v>36000</v>
      </c>
      <c r="Q2073" s="1">
        <v>2072</v>
      </c>
    </row>
    <row r="2074" spans="1:17">
      <c r="A2074" t="s">
        <v>133</v>
      </c>
      <c r="B2074" t="str">
        <f>TEXT(Table1[[#This Row],[Date]],"MMMM")</f>
        <v>January</v>
      </c>
      <c r="C2074" t="str">
        <f>TEXT(Table1[[#This Row],[Date]],"DDDD")</f>
        <v>Wednesday</v>
      </c>
      <c r="D2074" t="s">
        <v>44</v>
      </c>
      <c r="E2074" t="s">
        <v>45</v>
      </c>
      <c r="F2074" t="s">
        <v>29</v>
      </c>
      <c r="G2074" t="s">
        <v>37</v>
      </c>
      <c r="H2074" t="s">
        <v>38</v>
      </c>
      <c r="I2074" t="s">
        <v>39</v>
      </c>
      <c r="J2074" s="3">
        <v>30000</v>
      </c>
      <c r="K2074">
        <v>4</v>
      </c>
      <c r="L2074" t="s">
        <v>42</v>
      </c>
      <c r="M2074" s="3">
        <v>24000</v>
      </c>
      <c r="N2074" s="3">
        <f>Table1[[#This Row],[Unit Price]]*Table1[[#This Row],[Quantity]]</f>
        <v>120000</v>
      </c>
      <c r="O2074" s="3">
        <f>Table1[[#This Row],[Cost Price]]*Table1[[#This Row],[Quantity]]</f>
        <v>96000</v>
      </c>
      <c r="P2074" s="3">
        <f>Table1[[#This Row],[Revenue]]-Table1[[#This Row],[COGS]]</f>
        <v>24000</v>
      </c>
      <c r="Q2074" s="1">
        <v>2073</v>
      </c>
    </row>
    <row r="2075" spans="1:17">
      <c r="A2075" t="s">
        <v>162</v>
      </c>
      <c r="B2075" t="str">
        <f>TEXT(Table1[[#This Row],[Date]],"MMMM")</f>
        <v>April</v>
      </c>
      <c r="C2075" t="str">
        <f>TEXT(Table1[[#This Row],[Date]],"DDDD")</f>
        <v>Tuesday</v>
      </c>
      <c r="D2075" t="s">
        <v>35</v>
      </c>
      <c r="E2075" t="s">
        <v>28</v>
      </c>
      <c r="F2075" t="s">
        <v>41</v>
      </c>
      <c r="G2075" t="s">
        <v>37</v>
      </c>
      <c r="H2075" t="s">
        <v>46</v>
      </c>
      <c r="I2075" t="s">
        <v>39</v>
      </c>
      <c r="J2075" s="3">
        <v>60000</v>
      </c>
      <c r="K2075">
        <v>4</v>
      </c>
      <c r="L2075" t="s">
        <v>65</v>
      </c>
      <c r="M2075" s="3">
        <v>48000</v>
      </c>
      <c r="N2075" s="3">
        <f>Table1[[#This Row],[Unit Price]]*Table1[[#This Row],[Quantity]]</f>
        <v>240000</v>
      </c>
      <c r="O2075" s="3">
        <f>Table1[[#This Row],[Cost Price]]*Table1[[#This Row],[Quantity]]</f>
        <v>192000</v>
      </c>
      <c r="P2075" s="3">
        <f>Table1[[#This Row],[Revenue]]-Table1[[#This Row],[COGS]]</f>
        <v>48000</v>
      </c>
      <c r="Q2075" s="1">
        <v>2074</v>
      </c>
    </row>
    <row r="2076" spans="1:17">
      <c r="A2076" t="s">
        <v>141</v>
      </c>
      <c r="B2076" t="str">
        <f>TEXT(Table1[[#This Row],[Date]],"MMMM")</f>
        <v>March</v>
      </c>
      <c r="C2076" t="str">
        <f>TEXT(Table1[[#This Row],[Date]],"DDDD")</f>
        <v>Sunday</v>
      </c>
      <c r="D2076" t="s">
        <v>27</v>
      </c>
      <c r="E2076" t="s">
        <v>45</v>
      </c>
      <c r="F2076" t="s">
        <v>41</v>
      </c>
      <c r="G2076" t="s">
        <v>37</v>
      </c>
      <c r="H2076" t="s">
        <v>54</v>
      </c>
      <c r="I2076" t="s">
        <v>39</v>
      </c>
      <c r="J2076" s="3">
        <v>180000</v>
      </c>
      <c r="K2076">
        <v>5</v>
      </c>
      <c r="L2076" t="s">
        <v>47</v>
      </c>
      <c r="M2076" s="3">
        <v>144000</v>
      </c>
      <c r="N2076" s="3">
        <f>Table1[[#This Row],[Unit Price]]*Table1[[#This Row],[Quantity]]</f>
        <v>900000</v>
      </c>
      <c r="O2076" s="3">
        <f>Table1[[#This Row],[Cost Price]]*Table1[[#This Row],[Quantity]]</f>
        <v>720000</v>
      </c>
      <c r="P2076" s="3">
        <f>Table1[[#This Row],[Revenue]]-Table1[[#This Row],[COGS]]</f>
        <v>180000</v>
      </c>
      <c r="Q2076" s="1">
        <v>2075</v>
      </c>
    </row>
    <row r="2077" spans="1:17">
      <c r="A2077" t="s">
        <v>139</v>
      </c>
      <c r="B2077" t="str">
        <f>TEXT(Table1[[#This Row],[Date]],"MMMM")</f>
        <v>January</v>
      </c>
      <c r="C2077" t="str">
        <f>TEXT(Table1[[#This Row],[Date]],"DDDD")</f>
        <v>Monday</v>
      </c>
      <c r="D2077" t="s">
        <v>49</v>
      </c>
      <c r="E2077" t="s">
        <v>28</v>
      </c>
      <c r="F2077" t="s">
        <v>29</v>
      </c>
      <c r="G2077" t="s">
        <v>37</v>
      </c>
      <c r="H2077" t="s">
        <v>31</v>
      </c>
      <c r="I2077" t="s">
        <v>32</v>
      </c>
      <c r="J2077" s="3">
        <v>85000</v>
      </c>
      <c r="K2077">
        <v>9</v>
      </c>
      <c r="L2077" t="s">
        <v>42</v>
      </c>
      <c r="M2077" s="3">
        <v>68000</v>
      </c>
      <c r="N2077" s="3">
        <f>Table1[[#This Row],[Unit Price]]*Table1[[#This Row],[Quantity]]</f>
        <v>765000</v>
      </c>
      <c r="O2077" s="3">
        <f>Table1[[#This Row],[Cost Price]]*Table1[[#This Row],[Quantity]]</f>
        <v>612000</v>
      </c>
      <c r="P2077" s="3">
        <f>Table1[[#This Row],[Revenue]]-Table1[[#This Row],[COGS]]</f>
        <v>153000</v>
      </c>
      <c r="Q2077" s="1">
        <v>2076</v>
      </c>
    </row>
    <row r="2078" spans="1:17">
      <c r="A2078" t="s">
        <v>81</v>
      </c>
      <c r="B2078" t="str">
        <f>TEXT(Table1[[#This Row],[Date]],"MMMM")</f>
        <v>March</v>
      </c>
      <c r="C2078" t="str">
        <f>TEXT(Table1[[#This Row],[Date]],"DDDD")</f>
        <v>Sunday</v>
      </c>
      <c r="D2078" t="s">
        <v>27</v>
      </c>
      <c r="E2078" t="s">
        <v>53</v>
      </c>
      <c r="F2078" t="s">
        <v>29</v>
      </c>
      <c r="G2078" t="s">
        <v>37</v>
      </c>
      <c r="H2078" t="s">
        <v>31</v>
      </c>
      <c r="I2078" t="s">
        <v>32</v>
      </c>
      <c r="J2078" s="3">
        <v>85000</v>
      </c>
      <c r="K2078">
        <v>9</v>
      </c>
      <c r="L2078" t="s">
        <v>65</v>
      </c>
      <c r="M2078" s="3">
        <v>68000</v>
      </c>
      <c r="N2078" s="3">
        <f>Table1[[#This Row],[Unit Price]]*Table1[[#This Row],[Quantity]]</f>
        <v>765000</v>
      </c>
      <c r="O2078" s="3">
        <f>Table1[[#This Row],[Cost Price]]*Table1[[#This Row],[Quantity]]</f>
        <v>612000</v>
      </c>
      <c r="P2078" s="3">
        <f>Table1[[#This Row],[Revenue]]-Table1[[#This Row],[COGS]]</f>
        <v>153000</v>
      </c>
      <c r="Q2078" s="1">
        <v>2077</v>
      </c>
    </row>
    <row r="2079" spans="1:17">
      <c r="A2079" t="s">
        <v>152</v>
      </c>
      <c r="B2079" t="str">
        <f>TEXT(Table1[[#This Row],[Date]],"MMMM")</f>
        <v>January</v>
      </c>
      <c r="C2079" t="str">
        <f>TEXT(Table1[[#This Row],[Date]],"DDDD")</f>
        <v>Friday</v>
      </c>
      <c r="D2079" t="s">
        <v>49</v>
      </c>
      <c r="E2079" t="s">
        <v>28</v>
      </c>
      <c r="F2079" t="s">
        <v>41</v>
      </c>
      <c r="G2079" t="s">
        <v>37</v>
      </c>
      <c r="H2079" t="s">
        <v>54</v>
      </c>
      <c r="I2079" t="s">
        <v>39</v>
      </c>
      <c r="J2079" s="3">
        <v>180000</v>
      </c>
      <c r="K2079">
        <v>8</v>
      </c>
      <c r="L2079" t="s">
        <v>69</v>
      </c>
      <c r="M2079" s="3">
        <v>144000</v>
      </c>
      <c r="N2079" s="3">
        <f>Table1[[#This Row],[Unit Price]]*Table1[[#This Row],[Quantity]]</f>
        <v>1440000</v>
      </c>
      <c r="O2079" s="3">
        <f>Table1[[#This Row],[Cost Price]]*Table1[[#This Row],[Quantity]]</f>
        <v>1152000</v>
      </c>
      <c r="P2079" s="3">
        <f>Table1[[#This Row],[Revenue]]-Table1[[#This Row],[COGS]]</f>
        <v>288000</v>
      </c>
      <c r="Q2079" s="1">
        <v>2078</v>
      </c>
    </row>
    <row r="2080" spans="1:17">
      <c r="A2080" t="s">
        <v>145</v>
      </c>
      <c r="B2080" t="str">
        <f>TEXT(Table1[[#This Row],[Date]],"MMMM")</f>
        <v>January</v>
      </c>
      <c r="C2080" t="str">
        <f>TEXT(Table1[[#This Row],[Date]],"DDDD")</f>
        <v>Friday</v>
      </c>
      <c r="D2080" t="s">
        <v>49</v>
      </c>
      <c r="E2080" t="s">
        <v>36</v>
      </c>
      <c r="F2080" t="s">
        <v>41</v>
      </c>
      <c r="G2080" t="s">
        <v>37</v>
      </c>
      <c r="H2080" t="s">
        <v>62</v>
      </c>
      <c r="I2080" t="s">
        <v>51</v>
      </c>
      <c r="J2080" s="3">
        <v>150000</v>
      </c>
      <c r="K2080">
        <v>2</v>
      </c>
      <c r="L2080" t="s">
        <v>69</v>
      </c>
      <c r="M2080" s="3">
        <v>120000</v>
      </c>
      <c r="N2080" s="3">
        <f>Table1[[#This Row],[Unit Price]]*Table1[[#This Row],[Quantity]]</f>
        <v>300000</v>
      </c>
      <c r="O2080" s="3">
        <f>Table1[[#This Row],[Cost Price]]*Table1[[#This Row],[Quantity]]</f>
        <v>240000</v>
      </c>
      <c r="P2080" s="3">
        <f>Table1[[#This Row],[Revenue]]-Table1[[#This Row],[COGS]]</f>
        <v>60000</v>
      </c>
      <c r="Q2080" s="1">
        <v>2079</v>
      </c>
    </row>
    <row r="2081" spans="1:17">
      <c r="A2081" t="s">
        <v>100</v>
      </c>
      <c r="B2081" t="str">
        <f>TEXT(Table1[[#This Row],[Date]],"MMMM")</f>
        <v>January</v>
      </c>
      <c r="C2081" t="str">
        <f>TEXT(Table1[[#This Row],[Date]],"DDDD")</f>
        <v>Monday</v>
      </c>
      <c r="D2081" t="s">
        <v>35</v>
      </c>
      <c r="E2081" t="s">
        <v>45</v>
      </c>
      <c r="F2081" t="s">
        <v>41</v>
      </c>
      <c r="G2081" t="s">
        <v>37</v>
      </c>
      <c r="H2081" t="s">
        <v>38</v>
      </c>
      <c r="I2081" t="s">
        <v>39</v>
      </c>
      <c r="J2081" s="3">
        <v>30000</v>
      </c>
      <c r="K2081">
        <v>3</v>
      </c>
      <c r="L2081" t="s">
        <v>33</v>
      </c>
      <c r="M2081" s="3">
        <v>24000</v>
      </c>
      <c r="N2081" s="3">
        <f>Table1[[#This Row],[Unit Price]]*Table1[[#This Row],[Quantity]]</f>
        <v>90000</v>
      </c>
      <c r="O2081" s="3">
        <f>Table1[[#This Row],[Cost Price]]*Table1[[#This Row],[Quantity]]</f>
        <v>72000</v>
      </c>
      <c r="P2081" s="3">
        <f>Table1[[#This Row],[Revenue]]-Table1[[#This Row],[COGS]]</f>
        <v>18000</v>
      </c>
      <c r="Q2081" s="1">
        <v>2080</v>
      </c>
    </row>
    <row r="2082" spans="1:17">
      <c r="A2082" t="s">
        <v>81</v>
      </c>
      <c r="B2082" t="str">
        <f>TEXT(Table1[[#This Row],[Date]],"MMMM")</f>
        <v>March</v>
      </c>
      <c r="C2082" t="str">
        <f>TEXT(Table1[[#This Row],[Date]],"DDDD")</f>
        <v>Sunday</v>
      </c>
      <c r="D2082" t="s">
        <v>49</v>
      </c>
      <c r="E2082" t="s">
        <v>28</v>
      </c>
      <c r="F2082" t="s">
        <v>41</v>
      </c>
      <c r="G2082" t="s">
        <v>37</v>
      </c>
      <c r="H2082" t="s">
        <v>38</v>
      </c>
      <c r="I2082" t="s">
        <v>39</v>
      </c>
      <c r="J2082" s="3">
        <v>30000</v>
      </c>
      <c r="K2082">
        <v>5</v>
      </c>
      <c r="L2082" t="s">
        <v>42</v>
      </c>
      <c r="M2082" s="3">
        <v>24000</v>
      </c>
      <c r="N2082" s="3">
        <f>Table1[[#This Row],[Unit Price]]*Table1[[#This Row],[Quantity]]</f>
        <v>150000</v>
      </c>
      <c r="O2082" s="3">
        <f>Table1[[#This Row],[Cost Price]]*Table1[[#This Row],[Quantity]]</f>
        <v>120000</v>
      </c>
      <c r="P2082" s="3">
        <f>Table1[[#This Row],[Revenue]]-Table1[[#This Row],[COGS]]</f>
        <v>30000</v>
      </c>
      <c r="Q2082" s="1">
        <v>2081</v>
      </c>
    </row>
    <row r="2083" spans="1:17">
      <c r="A2083" t="s">
        <v>43</v>
      </c>
      <c r="B2083" t="str">
        <f>TEXT(Table1[[#This Row],[Date]],"MMMM")</f>
        <v>April</v>
      </c>
      <c r="C2083" t="str">
        <f>TEXT(Table1[[#This Row],[Date]],"DDDD")</f>
        <v>Friday</v>
      </c>
      <c r="D2083" t="s">
        <v>35</v>
      </c>
      <c r="E2083" t="s">
        <v>36</v>
      </c>
      <c r="F2083" t="s">
        <v>41</v>
      </c>
      <c r="G2083" t="s">
        <v>37</v>
      </c>
      <c r="H2083" t="s">
        <v>38</v>
      </c>
      <c r="I2083" t="s">
        <v>39</v>
      </c>
      <c r="J2083" s="3">
        <v>30000</v>
      </c>
      <c r="K2083">
        <v>7</v>
      </c>
      <c r="L2083" t="s">
        <v>69</v>
      </c>
      <c r="M2083" s="3">
        <v>24000</v>
      </c>
      <c r="N2083" s="3">
        <f>Table1[[#This Row],[Unit Price]]*Table1[[#This Row],[Quantity]]</f>
        <v>210000</v>
      </c>
      <c r="O2083" s="3">
        <f>Table1[[#This Row],[Cost Price]]*Table1[[#This Row],[Quantity]]</f>
        <v>168000</v>
      </c>
      <c r="P2083" s="3">
        <f>Table1[[#This Row],[Revenue]]-Table1[[#This Row],[COGS]]</f>
        <v>42000</v>
      </c>
      <c r="Q2083" s="1">
        <v>2082</v>
      </c>
    </row>
    <row r="2084" spans="1:17">
      <c r="A2084" t="s">
        <v>162</v>
      </c>
      <c r="B2084" t="str">
        <f>TEXT(Table1[[#This Row],[Date]],"MMMM")</f>
        <v>April</v>
      </c>
      <c r="C2084" t="str">
        <f>TEXT(Table1[[#This Row],[Date]],"DDDD")</f>
        <v>Tuesday</v>
      </c>
      <c r="D2084" t="s">
        <v>35</v>
      </c>
      <c r="E2084" t="s">
        <v>28</v>
      </c>
      <c r="F2084" t="s">
        <v>29</v>
      </c>
      <c r="G2084" t="s">
        <v>37</v>
      </c>
      <c r="H2084" t="s">
        <v>54</v>
      </c>
      <c r="I2084" t="s">
        <v>39</v>
      </c>
      <c r="J2084" s="3">
        <v>180000</v>
      </c>
      <c r="K2084">
        <v>4</v>
      </c>
      <c r="L2084" t="s">
        <v>33</v>
      </c>
      <c r="M2084" s="3">
        <v>144000</v>
      </c>
      <c r="N2084" s="3">
        <f>Table1[[#This Row],[Unit Price]]*Table1[[#This Row],[Quantity]]</f>
        <v>720000</v>
      </c>
      <c r="O2084" s="3">
        <f>Table1[[#This Row],[Cost Price]]*Table1[[#This Row],[Quantity]]</f>
        <v>576000</v>
      </c>
      <c r="P2084" s="3">
        <f>Table1[[#This Row],[Revenue]]-Table1[[#This Row],[COGS]]</f>
        <v>144000</v>
      </c>
      <c r="Q2084" s="1">
        <v>2083</v>
      </c>
    </row>
    <row r="2085" spans="1:17">
      <c r="A2085" t="s">
        <v>144</v>
      </c>
      <c r="B2085" t="str">
        <f>TEXT(Table1[[#This Row],[Date]],"MMMM")</f>
        <v>February</v>
      </c>
      <c r="C2085" t="str">
        <f>TEXT(Table1[[#This Row],[Date]],"DDDD")</f>
        <v>Friday</v>
      </c>
      <c r="D2085" t="s">
        <v>35</v>
      </c>
      <c r="E2085" t="s">
        <v>28</v>
      </c>
      <c r="F2085" t="s">
        <v>41</v>
      </c>
      <c r="G2085" t="s">
        <v>37</v>
      </c>
      <c r="H2085" t="s">
        <v>54</v>
      </c>
      <c r="I2085" t="s">
        <v>39</v>
      </c>
      <c r="J2085" s="3">
        <v>180000</v>
      </c>
      <c r="K2085">
        <v>1</v>
      </c>
      <c r="L2085" t="s">
        <v>58</v>
      </c>
      <c r="M2085" s="3">
        <v>144000</v>
      </c>
      <c r="N2085" s="3">
        <f>Table1[[#This Row],[Unit Price]]*Table1[[#This Row],[Quantity]]</f>
        <v>180000</v>
      </c>
      <c r="O2085" s="3">
        <f>Table1[[#This Row],[Cost Price]]*Table1[[#This Row],[Quantity]]</f>
        <v>144000</v>
      </c>
      <c r="P2085" s="3">
        <f>Table1[[#This Row],[Revenue]]-Table1[[#This Row],[COGS]]</f>
        <v>36000</v>
      </c>
      <c r="Q2085" s="1">
        <v>2084</v>
      </c>
    </row>
    <row r="2086" spans="1:17">
      <c r="A2086" t="s">
        <v>131</v>
      </c>
      <c r="B2086" t="str">
        <f>TEXT(Table1[[#This Row],[Date]],"MMMM")</f>
        <v>March</v>
      </c>
      <c r="C2086" t="str">
        <f>TEXT(Table1[[#This Row],[Date]],"DDDD")</f>
        <v>Friday</v>
      </c>
      <c r="D2086" t="s">
        <v>44</v>
      </c>
      <c r="E2086" t="s">
        <v>36</v>
      </c>
      <c r="F2086" t="s">
        <v>29</v>
      </c>
      <c r="G2086" t="s">
        <v>37</v>
      </c>
      <c r="H2086" t="s">
        <v>46</v>
      </c>
      <c r="I2086" t="s">
        <v>39</v>
      </c>
      <c r="J2086" s="3">
        <v>60000</v>
      </c>
      <c r="K2086">
        <v>10</v>
      </c>
      <c r="L2086" t="s">
        <v>65</v>
      </c>
      <c r="M2086" s="3">
        <v>48000</v>
      </c>
      <c r="N2086" s="3">
        <f>Table1[[#This Row],[Unit Price]]*Table1[[#This Row],[Quantity]]</f>
        <v>600000</v>
      </c>
      <c r="O2086" s="3">
        <f>Table1[[#This Row],[Cost Price]]*Table1[[#This Row],[Quantity]]</f>
        <v>480000</v>
      </c>
      <c r="P2086" s="3">
        <f>Table1[[#This Row],[Revenue]]-Table1[[#This Row],[COGS]]</f>
        <v>120000</v>
      </c>
      <c r="Q2086" s="1">
        <v>2085</v>
      </c>
    </row>
    <row r="2087" spans="1:17">
      <c r="A2087" t="s">
        <v>75</v>
      </c>
      <c r="B2087" t="str">
        <f>TEXT(Table1[[#This Row],[Date]],"MMMM")</f>
        <v>March</v>
      </c>
      <c r="C2087" t="str">
        <f>TEXT(Table1[[#This Row],[Date]],"DDDD")</f>
        <v>Monday</v>
      </c>
      <c r="D2087" t="s">
        <v>49</v>
      </c>
      <c r="E2087" t="s">
        <v>36</v>
      </c>
      <c r="F2087" t="s">
        <v>29</v>
      </c>
      <c r="G2087" t="s">
        <v>37</v>
      </c>
      <c r="H2087" t="s">
        <v>71</v>
      </c>
      <c r="I2087" t="s">
        <v>51</v>
      </c>
      <c r="J2087" s="3">
        <v>250000</v>
      </c>
      <c r="K2087">
        <v>8</v>
      </c>
      <c r="L2087" t="s">
        <v>47</v>
      </c>
      <c r="M2087" s="3">
        <v>200000</v>
      </c>
      <c r="N2087" s="3">
        <f>Table1[[#This Row],[Unit Price]]*Table1[[#This Row],[Quantity]]</f>
        <v>2000000</v>
      </c>
      <c r="O2087" s="3">
        <f>Table1[[#This Row],[Cost Price]]*Table1[[#This Row],[Quantity]]</f>
        <v>1600000</v>
      </c>
      <c r="P2087" s="3">
        <f>Table1[[#This Row],[Revenue]]-Table1[[#This Row],[COGS]]</f>
        <v>400000</v>
      </c>
      <c r="Q2087" s="1">
        <v>2086</v>
      </c>
    </row>
    <row r="2088" spans="1:17">
      <c r="A2088" t="s">
        <v>126</v>
      </c>
      <c r="B2088" t="str">
        <f>TEXT(Table1[[#This Row],[Date]],"MMMM")</f>
        <v>January</v>
      </c>
      <c r="C2088" t="str">
        <f>TEXT(Table1[[#This Row],[Date]],"DDDD")</f>
        <v>Thursday</v>
      </c>
      <c r="D2088" t="s">
        <v>49</v>
      </c>
      <c r="E2088" t="s">
        <v>45</v>
      </c>
      <c r="F2088" t="s">
        <v>29</v>
      </c>
      <c r="G2088" t="s">
        <v>37</v>
      </c>
      <c r="H2088" t="s">
        <v>38</v>
      </c>
      <c r="I2088" t="s">
        <v>39</v>
      </c>
      <c r="J2088" s="3">
        <v>30000</v>
      </c>
      <c r="K2088">
        <v>8</v>
      </c>
      <c r="L2088" t="s">
        <v>65</v>
      </c>
      <c r="M2088" s="3">
        <v>24000</v>
      </c>
      <c r="N2088" s="3">
        <f>Table1[[#This Row],[Unit Price]]*Table1[[#This Row],[Quantity]]</f>
        <v>240000</v>
      </c>
      <c r="O2088" s="3">
        <f>Table1[[#This Row],[Cost Price]]*Table1[[#This Row],[Quantity]]</f>
        <v>192000</v>
      </c>
      <c r="P2088" s="3">
        <f>Table1[[#This Row],[Revenue]]-Table1[[#This Row],[COGS]]</f>
        <v>48000</v>
      </c>
      <c r="Q2088" s="1">
        <v>2087</v>
      </c>
    </row>
    <row r="2089" spans="1:17">
      <c r="A2089" t="s">
        <v>60</v>
      </c>
      <c r="B2089" t="str">
        <f>TEXT(Table1[[#This Row],[Date]],"MMMM")</f>
        <v>March</v>
      </c>
      <c r="C2089" t="str">
        <f>TEXT(Table1[[#This Row],[Date]],"DDDD")</f>
        <v>Wednesday</v>
      </c>
      <c r="D2089" t="s">
        <v>49</v>
      </c>
      <c r="E2089" t="s">
        <v>28</v>
      </c>
      <c r="F2089" t="s">
        <v>41</v>
      </c>
      <c r="G2089" t="s">
        <v>30</v>
      </c>
      <c r="H2089" t="s">
        <v>54</v>
      </c>
      <c r="I2089" t="s">
        <v>39</v>
      </c>
      <c r="J2089" s="3">
        <v>180000</v>
      </c>
      <c r="K2089">
        <v>4</v>
      </c>
      <c r="L2089" t="s">
        <v>47</v>
      </c>
      <c r="M2089" s="3">
        <v>144000</v>
      </c>
      <c r="N2089" s="3">
        <f>Table1[[#This Row],[Unit Price]]*Table1[[#This Row],[Quantity]]</f>
        <v>720000</v>
      </c>
      <c r="O2089" s="3">
        <f>Table1[[#This Row],[Cost Price]]*Table1[[#This Row],[Quantity]]</f>
        <v>576000</v>
      </c>
      <c r="P2089" s="3">
        <f>Table1[[#This Row],[Revenue]]-Table1[[#This Row],[COGS]]</f>
        <v>144000</v>
      </c>
      <c r="Q2089" s="1">
        <v>2088</v>
      </c>
    </row>
    <row r="2090" spans="1:17">
      <c r="A2090" t="s">
        <v>144</v>
      </c>
      <c r="B2090" t="str">
        <f>TEXT(Table1[[#This Row],[Date]],"MMMM")</f>
        <v>February</v>
      </c>
      <c r="C2090" t="str">
        <f>TEXT(Table1[[#This Row],[Date]],"DDDD")</f>
        <v>Friday</v>
      </c>
      <c r="D2090" t="s">
        <v>35</v>
      </c>
      <c r="E2090" t="s">
        <v>36</v>
      </c>
      <c r="F2090" t="s">
        <v>41</v>
      </c>
      <c r="G2090" t="s">
        <v>30</v>
      </c>
      <c r="H2090" t="s">
        <v>62</v>
      </c>
      <c r="I2090" t="s">
        <v>51</v>
      </c>
      <c r="J2090" s="3">
        <v>150000</v>
      </c>
      <c r="K2090">
        <v>1</v>
      </c>
      <c r="L2090" t="s">
        <v>47</v>
      </c>
      <c r="M2090" s="3">
        <v>120000</v>
      </c>
      <c r="N2090" s="3">
        <f>Table1[[#This Row],[Unit Price]]*Table1[[#This Row],[Quantity]]</f>
        <v>150000</v>
      </c>
      <c r="O2090" s="3">
        <f>Table1[[#This Row],[Cost Price]]*Table1[[#This Row],[Quantity]]</f>
        <v>120000</v>
      </c>
      <c r="P2090" s="3">
        <f>Table1[[#This Row],[Revenue]]-Table1[[#This Row],[COGS]]</f>
        <v>30000</v>
      </c>
      <c r="Q2090" s="1">
        <v>2089</v>
      </c>
    </row>
    <row r="2091" spans="1:17">
      <c r="A2091" t="s">
        <v>168</v>
      </c>
      <c r="B2091" t="str">
        <f>TEXT(Table1[[#This Row],[Date]],"MMMM")</f>
        <v>April</v>
      </c>
      <c r="C2091" t="str">
        <f>TEXT(Table1[[#This Row],[Date]],"DDDD")</f>
        <v>Wednesday</v>
      </c>
      <c r="D2091" t="s">
        <v>49</v>
      </c>
      <c r="E2091" t="s">
        <v>53</v>
      </c>
      <c r="F2091" t="s">
        <v>29</v>
      </c>
      <c r="G2091" t="s">
        <v>37</v>
      </c>
      <c r="H2091" t="s">
        <v>50</v>
      </c>
      <c r="I2091" t="s">
        <v>51</v>
      </c>
      <c r="J2091" s="3">
        <v>300000</v>
      </c>
      <c r="K2091">
        <v>3</v>
      </c>
      <c r="L2091" t="s">
        <v>33</v>
      </c>
      <c r="M2091" s="3">
        <v>240000</v>
      </c>
      <c r="N2091" s="3">
        <f>Table1[[#This Row],[Unit Price]]*Table1[[#This Row],[Quantity]]</f>
        <v>900000</v>
      </c>
      <c r="O2091" s="3">
        <f>Table1[[#This Row],[Cost Price]]*Table1[[#This Row],[Quantity]]</f>
        <v>720000</v>
      </c>
      <c r="P2091" s="3">
        <f>Table1[[#This Row],[Revenue]]-Table1[[#This Row],[COGS]]</f>
        <v>180000</v>
      </c>
      <c r="Q2091" s="1">
        <v>2090</v>
      </c>
    </row>
    <row r="2092" spans="1:17">
      <c r="A2092" t="s">
        <v>162</v>
      </c>
      <c r="B2092" t="str">
        <f>TEXT(Table1[[#This Row],[Date]],"MMMM")</f>
        <v>April</v>
      </c>
      <c r="C2092" t="str">
        <f>TEXT(Table1[[#This Row],[Date]],"DDDD")</f>
        <v>Tuesday</v>
      </c>
      <c r="D2092" t="s">
        <v>27</v>
      </c>
      <c r="E2092" t="s">
        <v>45</v>
      </c>
      <c r="F2092" t="s">
        <v>29</v>
      </c>
      <c r="G2092" t="s">
        <v>30</v>
      </c>
      <c r="H2092" t="s">
        <v>56</v>
      </c>
      <c r="I2092" t="s">
        <v>32</v>
      </c>
      <c r="J2092" s="3">
        <v>320000</v>
      </c>
      <c r="K2092">
        <v>5</v>
      </c>
      <c r="L2092" t="s">
        <v>33</v>
      </c>
      <c r="M2092" s="3">
        <v>256000</v>
      </c>
      <c r="N2092" s="3">
        <f>Table1[[#This Row],[Unit Price]]*Table1[[#This Row],[Quantity]]</f>
        <v>1600000</v>
      </c>
      <c r="O2092" s="3">
        <f>Table1[[#This Row],[Cost Price]]*Table1[[#This Row],[Quantity]]</f>
        <v>1280000</v>
      </c>
      <c r="P2092" s="3">
        <f>Table1[[#This Row],[Revenue]]-Table1[[#This Row],[COGS]]</f>
        <v>320000</v>
      </c>
      <c r="Q2092" s="1">
        <v>2091</v>
      </c>
    </row>
    <row r="2093" spans="1:17">
      <c r="A2093" t="s">
        <v>148</v>
      </c>
      <c r="B2093" t="str">
        <f>TEXT(Table1[[#This Row],[Date]],"MMMM")</f>
        <v>February</v>
      </c>
      <c r="C2093" t="str">
        <f>TEXT(Table1[[#This Row],[Date]],"DDDD")</f>
        <v>Sunday</v>
      </c>
      <c r="D2093" t="s">
        <v>27</v>
      </c>
      <c r="E2093" t="s">
        <v>53</v>
      </c>
      <c r="F2093" t="s">
        <v>41</v>
      </c>
      <c r="G2093" t="s">
        <v>30</v>
      </c>
      <c r="H2093" t="s">
        <v>50</v>
      </c>
      <c r="I2093" t="s">
        <v>51</v>
      </c>
      <c r="J2093" s="3">
        <v>300000</v>
      </c>
      <c r="K2093">
        <v>1</v>
      </c>
      <c r="L2093" t="s">
        <v>42</v>
      </c>
      <c r="M2093" s="3">
        <v>240000</v>
      </c>
      <c r="N2093" s="3">
        <f>Table1[[#This Row],[Unit Price]]*Table1[[#This Row],[Quantity]]</f>
        <v>300000</v>
      </c>
      <c r="O2093" s="3">
        <f>Table1[[#This Row],[Cost Price]]*Table1[[#This Row],[Quantity]]</f>
        <v>240000</v>
      </c>
      <c r="P2093" s="3">
        <f>Table1[[#This Row],[Revenue]]-Table1[[#This Row],[COGS]]</f>
        <v>60000</v>
      </c>
      <c r="Q2093" s="1">
        <v>2092</v>
      </c>
    </row>
    <row r="2094" spans="1:17">
      <c r="A2094" t="s">
        <v>151</v>
      </c>
      <c r="B2094" t="str">
        <f>TEXT(Table1[[#This Row],[Date]],"MMMM")</f>
        <v>February</v>
      </c>
      <c r="C2094" t="str">
        <f>TEXT(Table1[[#This Row],[Date]],"DDDD")</f>
        <v>Tuesday</v>
      </c>
      <c r="D2094" t="s">
        <v>27</v>
      </c>
      <c r="E2094" t="s">
        <v>36</v>
      </c>
      <c r="F2094" t="s">
        <v>41</v>
      </c>
      <c r="G2094" t="s">
        <v>30</v>
      </c>
      <c r="H2094" t="s">
        <v>62</v>
      </c>
      <c r="I2094" t="s">
        <v>51</v>
      </c>
      <c r="J2094" s="3">
        <v>150000</v>
      </c>
      <c r="K2094">
        <v>4</v>
      </c>
      <c r="L2094" t="s">
        <v>47</v>
      </c>
      <c r="M2094" s="3">
        <v>120000</v>
      </c>
      <c r="N2094" s="3">
        <f>Table1[[#This Row],[Unit Price]]*Table1[[#This Row],[Quantity]]</f>
        <v>600000</v>
      </c>
      <c r="O2094" s="3">
        <f>Table1[[#This Row],[Cost Price]]*Table1[[#This Row],[Quantity]]</f>
        <v>480000</v>
      </c>
      <c r="P2094" s="3">
        <f>Table1[[#This Row],[Revenue]]-Table1[[#This Row],[COGS]]</f>
        <v>120000</v>
      </c>
      <c r="Q2094" s="1">
        <v>2093</v>
      </c>
    </row>
    <row r="2095" spans="1:17">
      <c r="A2095" t="s">
        <v>121</v>
      </c>
      <c r="B2095" t="str">
        <f>TEXT(Table1[[#This Row],[Date]],"MMMM")</f>
        <v>April</v>
      </c>
      <c r="C2095" t="str">
        <f>TEXT(Table1[[#This Row],[Date]],"DDDD")</f>
        <v>Wednesday</v>
      </c>
      <c r="D2095" t="s">
        <v>44</v>
      </c>
      <c r="E2095" t="s">
        <v>28</v>
      </c>
      <c r="F2095" t="s">
        <v>41</v>
      </c>
      <c r="G2095" t="s">
        <v>30</v>
      </c>
      <c r="H2095" t="s">
        <v>71</v>
      </c>
      <c r="I2095" t="s">
        <v>51</v>
      </c>
      <c r="J2095" s="3">
        <v>250000</v>
      </c>
      <c r="K2095">
        <v>2</v>
      </c>
      <c r="L2095" t="s">
        <v>58</v>
      </c>
      <c r="M2095" s="3">
        <v>200000</v>
      </c>
      <c r="N2095" s="3">
        <f>Table1[[#This Row],[Unit Price]]*Table1[[#This Row],[Quantity]]</f>
        <v>500000</v>
      </c>
      <c r="O2095" s="3">
        <f>Table1[[#This Row],[Cost Price]]*Table1[[#This Row],[Quantity]]</f>
        <v>400000</v>
      </c>
      <c r="P2095" s="3">
        <f>Table1[[#This Row],[Revenue]]-Table1[[#This Row],[COGS]]</f>
        <v>100000</v>
      </c>
      <c r="Q2095" s="1">
        <v>2094</v>
      </c>
    </row>
    <row r="2096" spans="1:17">
      <c r="A2096" t="s">
        <v>165</v>
      </c>
      <c r="B2096" t="str">
        <f>TEXT(Table1[[#This Row],[Date]],"MMMM")</f>
        <v>April</v>
      </c>
      <c r="C2096" t="str">
        <f>TEXT(Table1[[#This Row],[Date]],"DDDD")</f>
        <v>Sunday</v>
      </c>
      <c r="D2096" t="s">
        <v>49</v>
      </c>
      <c r="E2096" t="s">
        <v>36</v>
      </c>
      <c r="F2096" t="s">
        <v>29</v>
      </c>
      <c r="G2096" t="s">
        <v>37</v>
      </c>
      <c r="H2096" t="s">
        <v>71</v>
      </c>
      <c r="I2096" t="s">
        <v>51</v>
      </c>
      <c r="J2096" s="3">
        <v>250000</v>
      </c>
      <c r="K2096">
        <v>10</v>
      </c>
      <c r="L2096" t="s">
        <v>65</v>
      </c>
      <c r="M2096" s="3">
        <v>200000</v>
      </c>
      <c r="N2096" s="3">
        <f>Table1[[#This Row],[Unit Price]]*Table1[[#This Row],[Quantity]]</f>
        <v>2500000</v>
      </c>
      <c r="O2096" s="3">
        <f>Table1[[#This Row],[Cost Price]]*Table1[[#This Row],[Quantity]]</f>
        <v>2000000</v>
      </c>
      <c r="P2096" s="3">
        <f>Table1[[#This Row],[Revenue]]-Table1[[#This Row],[COGS]]</f>
        <v>500000</v>
      </c>
      <c r="Q2096" s="1">
        <v>2095</v>
      </c>
    </row>
    <row r="2097" spans="1:17">
      <c r="A2097" t="s">
        <v>116</v>
      </c>
      <c r="B2097" t="str">
        <f>TEXT(Table1[[#This Row],[Date]],"MMMM")</f>
        <v>April</v>
      </c>
      <c r="C2097" t="str">
        <f>TEXT(Table1[[#This Row],[Date]],"DDDD")</f>
        <v>Saturday</v>
      </c>
      <c r="D2097" t="s">
        <v>44</v>
      </c>
      <c r="E2097" t="s">
        <v>53</v>
      </c>
      <c r="F2097" t="s">
        <v>41</v>
      </c>
      <c r="G2097" t="s">
        <v>37</v>
      </c>
      <c r="H2097" t="s">
        <v>62</v>
      </c>
      <c r="I2097" t="s">
        <v>51</v>
      </c>
      <c r="J2097" s="3">
        <v>150000</v>
      </c>
      <c r="K2097">
        <v>2</v>
      </c>
      <c r="L2097" t="s">
        <v>33</v>
      </c>
      <c r="M2097" s="3">
        <v>120000</v>
      </c>
      <c r="N2097" s="3">
        <f>Table1[[#This Row],[Unit Price]]*Table1[[#This Row],[Quantity]]</f>
        <v>300000</v>
      </c>
      <c r="O2097" s="3">
        <f>Table1[[#This Row],[Cost Price]]*Table1[[#This Row],[Quantity]]</f>
        <v>240000</v>
      </c>
      <c r="P2097" s="3">
        <f>Table1[[#This Row],[Revenue]]-Table1[[#This Row],[COGS]]</f>
        <v>60000</v>
      </c>
      <c r="Q2097" s="1">
        <v>2096</v>
      </c>
    </row>
    <row r="2098" spans="1:17">
      <c r="A2098" t="s">
        <v>52</v>
      </c>
      <c r="B2098" t="str">
        <f>TEXT(Table1[[#This Row],[Date]],"MMMM")</f>
        <v>March</v>
      </c>
      <c r="C2098" t="str">
        <f>TEXT(Table1[[#This Row],[Date]],"DDDD")</f>
        <v>Saturday</v>
      </c>
      <c r="D2098" t="s">
        <v>44</v>
      </c>
      <c r="E2098" t="s">
        <v>28</v>
      </c>
      <c r="F2098" t="s">
        <v>29</v>
      </c>
      <c r="G2098" t="s">
        <v>30</v>
      </c>
      <c r="H2098" t="s">
        <v>71</v>
      </c>
      <c r="I2098" t="s">
        <v>51</v>
      </c>
      <c r="J2098" s="3">
        <v>250000</v>
      </c>
      <c r="K2098">
        <v>9</v>
      </c>
      <c r="L2098" t="s">
        <v>58</v>
      </c>
      <c r="M2098" s="3">
        <v>200000</v>
      </c>
      <c r="N2098" s="3">
        <f>Table1[[#This Row],[Unit Price]]*Table1[[#This Row],[Quantity]]</f>
        <v>2250000</v>
      </c>
      <c r="O2098" s="3">
        <f>Table1[[#This Row],[Cost Price]]*Table1[[#This Row],[Quantity]]</f>
        <v>1800000</v>
      </c>
      <c r="P2098" s="3">
        <f>Table1[[#This Row],[Revenue]]-Table1[[#This Row],[COGS]]</f>
        <v>450000</v>
      </c>
      <c r="Q2098" s="1">
        <v>2097</v>
      </c>
    </row>
    <row r="2099" spans="1:17">
      <c r="A2099" t="s">
        <v>107</v>
      </c>
      <c r="B2099" t="str">
        <f>TEXT(Table1[[#This Row],[Date]],"MMMM")</f>
        <v>February</v>
      </c>
      <c r="C2099" t="str">
        <f>TEXT(Table1[[#This Row],[Date]],"DDDD")</f>
        <v>Wednesday</v>
      </c>
      <c r="D2099" t="s">
        <v>44</v>
      </c>
      <c r="E2099" t="s">
        <v>28</v>
      </c>
      <c r="F2099" t="s">
        <v>29</v>
      </c>
      <c r="G2099" t="s">
        <v>30</v>
      </c>
      <c r="H2099" t="s">
        <v>56</v>
      </c>
      <c r="I2099" t="s">
        <v>32</v>
      </c>
      <c r="J2099" s="3">
        <v>320000</v>
      </c>
      <c r="K2099">
        <v>4</v>
      </c>
      <c r="L2099" t="s">
        <v>42</v>
      </c>
      <c r="M2099" s="3">
        <v>256000</v>
      </c>
      <c r="N2099" s="3">
        <f>Table1[[#This Row],[Unit Price]]*Table1[[#This Row],[Quantity]]</f>
        <v>1280000</v>
      </c>
      <c r="O2099" s="3">
        <f>Table1[[#This Row],[Cost Price]]*Table1[[#This Row],[Quantity]]</f>
        <v>1024000</v>
      </c>
      <c r="P2099" s="3">
        <f>Table1[[#This Row],[Revenue]]-Table1[[#This Row],[COGS]]</f>
        <v>256000</v>
      </c>
      <c r="Q2099" s="1">
        <v>2098</v>
      </c>
    </row>
  </sheetData>
  <phoneticPr fontId="2" type="noConversion"/>
  <pageMargins left="0.75" right="0.75" top="1" bottom="1" header="0.5" footer="0.5"/>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BD8A-7CAC-496A-8CBA-59A17FC7BA6F}">
  <dimension ref="A3:C47"/>
  <sheetViews>
    <sheetView topLeftCell="A28" workbookViewId="0">
      <selection activeCell="A42" sqref="A42:B42"/>
      <pivotSelection pane="bottomRight" showHeader="1" extendable="1" start="1" max="6" activeRow="42" click="1" r:id="rId3">
        <pivotArea dataOnly="0" fieldPosition="0">
          <references count="1">
            <reference field="1" count="1">
              <x v="0"/>
            </reference>
          </references>
        </pivotArea>
      </pivotSelection>
    </sheetView>
  </sheetViews>
  <sheetFormatPr defaultRowHeight="15"/>
  <cols>
    <col min="1" max="1" width="13.140625" bestFit="1" customWidth="1"/>
    <col min="2" max="2" width="20.140625" bestFit="1" customWidth="1"/>
    <col min="3" max="3" width="14.28515625" bestFit="1" customWidth="1"/>
  </cols>
  <sheetData>
    <row r="3" spans="1:2">
      <c r="A3" s="5" t="s">
        <v>181</v>
      </c>
      <c r="B3" s="11" t="s">
        <v>183</v>
      </c>
    </row>
    <row r="4" spans="1:2">
      <c r="A4" s="6" t="s">
        <v>38</v>
      </c>
      <c r="B4" s="11">
        <v>6870000</v>
      </c>
    </row>
    <row r="5" spans="1:2">
      <c r="A5" s="6" t="s">
        <v>46</v>
      </c>
      <c r="B5" s="11">
        <v>13416000</v>
      </c>
    </row>
    <row r="6" spans="1:2">
      <c r="A6" s="6" t="s">
        <v>31</v>
      </c>
      <c r="B6" s="11">
        <v>18088000</v>
      </c>
    </row>
    <row r="7" spans="1:2">
      <c r="A7" s="6" t="s">
        <v>62</v>
      </c>
      <c r="B7" s="11">
        <v>38850000</v>
      </c>
    </row>
    <row r="8" spans="1:2">
      <c r="A8" s="6" t="s">
        <v>54</v>
      </c>
      <c r="B8" s="11">
        <v>44964000</v>
      </c>
    </row>
    <row r="9" spans="1:2">
      <c r="A9" s="6" t="s">
        <v>73</v>
      </c>
      <c r="B9" s="11">
        <v>48312000</v>
      </c>
    </row>
    <row r="10" spans="1:2">
      <c r="A10" s="6" t="s">
        <v>71</v>
      </c>
      <c r="B10" s="11">
        <v>51950000</v>
      </c>
    </row>
    <row r="11" spans="1:2">
      <c r="A11" s="6" t="s">
        <v>50</v>
      </c>
      <c r="B11" s="11">
        <v>68640000</v>
      </c>
    </row>
    <row r="12" spans="1:2">
      <c r="A12" s="6" t="s">
        <v>56</v>
      </c>
      <c r="B12" s="11">
        <v>69248000</v>
      </c>
    </row>
    <row r="13" spans="1:2">
      <c r="A13" s="6" t="s">
        <v>67</v>
      </c>
      <c r="B13" s="11">
        <v>105336000</v>
      </c>
    </row>
    <row r="14" spans="1:2">
      <c r="A14" s="6" t="s">
        <v>182</v>
      </c>
      <c r="B14" s="11">
        <v>465674000</v>
      </c>
    </row>
    <row r="19" spans="1:3">
      <c r="A19" s="5" t="s">
        <v>181</v>
      </c>
      <c r="B19" s="13" t="s">
        <v>184</v>
      </c>
      <c r="C19" s="5"/>
    </row>
    <row r="20" spans="1:3">
      <c r="A20" s="6" t="s">
        <v>58</v>
      </c>
      <c r="B20" s="13">
        <v>434805000</v>
      </c>
    </row>
    <row r="21" spans="1:3">
      <c r="A21" s="6" t="s">
        <v>47</v>
      </c>
      <c r="B21" s="13">
        <v>397665000</v>
      </c>
    </row>
    <row r="22" spans="1:3">
      <c r="A22" s="6" t="s">
        <v>42</v>
      </c>
      <c r="B22" s="13">
        <v>378660000</v>
      </c>
    </row>
    <row r="23" spans="1:3">
      <c r="A23" s="6" t="s">
        <v>65</v>
      </c>
      <c r="B23" s="13">
        <v>378035000</v>
      </c>
    </row>
    <row r="24" spans="1:3">
      <c r="A24" s="6" t="s">
        <v>33</v>
      </c>
      <c r="B24" s="13">
        <v>371370000</v>
      </c>
    </row>
    <row r="25" spans="1:3">
      <c r="A25" s="6" t="s">
        <v>69</v>
      </c>
      <c r="B25" s="13">
        <v>367835000</v>
      </c>
    </row>
    <row r="26" spans="1:3">
      <c r="A26" s="6" t="s">
        <v>182</v>
      </c>
      <c r="B26" s="13">
        <v>2328370000</v>
      </c>
    </row>
    <row r="31" spans="1:3">
      <c r="A31" s="5" t="s">
        <v>181</v>
      </c>
      <c r="B31" s="13" t="s">
        <v>185</v>
      </c>
    </row>
    <row r="32" spans="1:3">
      <c r="A32" s="6" t="s">
        <v>36</v>
      </c>
      <c r="B32" s="13">
        <v>493812000</v>
      </c>
    </row>
    <row r="33" spans="1:2">
      <c r="A33" s="6" t="s">
        <v>45</v>
      </c>
      <c r="B33" s="13">
        <v>486788000</v>
      </c>
    </row>
    <row r="34" spans="1:2">
      <c r="A34" s="6" t="s">
        <v>28</v>
      </c>
      <c r="B34" s="13">
        <v>458784000</v>
      </c>
    </row>
    <row r="35" spans="1:2">
      <c r="A35" s="6" t="s">
        <v>53</v>
      </c>
      <c r="B35" s="13">
        <v>423312000</v>
      </c>
    </row>
    <row r="36" spans="1:2">
      <c r="A36" s="6" t="s">
        <v>182</v>
      </c>
      <c r="B36" s="13">
        <v>1862696000</v>
      </c>
    </row>
    <row r="41" spans="1:2">
      <c r="A41" s="5" t="s">
        <v>181</v>
      </c>
      <c r="B41" s="3" t="s">
        <v>194</v>
      </c>
    </row>
    <row r="42" spans="1:2">
      <c r="A42" s="6" t="s">
        <v>189</v>
      </c>
      <c r="B42" s="12">
        <v>520</v>
      </c>
    </row>
    <row r="43" spans="1:2">
      <c r="A43" s="6" t="s">
        <v>190</v>
      </c>
      <c r="B43" s="12">
        <v>499</v>
      </c>
    </row>
    <row r="44" spans="1:2">
      <c r="A44" s="6" t="s">
        <v>191</v>
      </c>
      <c r="B44" s="12">
        <v>525</v>
      </c>
    </row>
    <row r="45" spans="1:2">
      <c r="A45" s="6" t="s">
        <v>192</v>
      </c>
      <c r="B45" s="12">
        <v>536</v>
      </c>
    </row>
    <row r="46" spans="1:2">
      <c r="A46" s="6" t="s">
        <v>193</v>
      </c>
      <c r="B46" s="12">
        <v>18</v>
      </c>
    </row>
    <row r="47" spans="1:2">
      <c r="A47" s="6" t="s">
        <v>182</v>
      </c>
      <c r="B47" s="12">
        <v>2098</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5485E-47EA-4EC5-81B4-4C34C3A0BDB1}">
  <dimension ref="A1"/>
  <sheetViews>
    <sheetView showGridLines="0" showRowColHeaders="0" tabSelected="1" topLeftCell="F1" zoomScale="65" zoomScaleNormal="65" workbookViewId="0">
      <selection activeCell="AL31" sqref="AL31"/>
    </sheetView>
  </sheetViews>
  <sheetFormatPr defaultRowHeight="15"/>
  <cols>
    <col min="1" max="16384" width="9.140625" style="10"/>
  </cols>
  <sheetData>
    <row r="1" spans="1:1">
      <c r="A1" s="9"/>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Amarachi</cp:lastModifiedBy>
  <dcterms:created xsi:type="dcterms:W3CDTF">2025-11-23T23:32:00Z</dcterms:created>
  <dcterms:modified xsi:type="dcterms:W3CDTF">2026-01-21T22:22:34Z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